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/Users/ritikajain/Desktop/"/>
    </mc:Choice>
  </mc:AlternateContent>
  <xr:revisionPtr revIDLastSave="0" documentId="13_ncr:1_{D84D0BCA-5916-664E-8F0E-433820494780}" xr6:coauthVersionLast="47" xr6:coauthVersionMax="47" xr10:uidLastSave="{00000000-0000-0000-0000-000000000000}"/>
  <bookViews>
    <workbookView minimized="1" xWindow="4680" yWindow="780" windowWidth="20500" windowHeight="20040" firstSheet="1" activeTab="1" xr2:uid="{3A50E011-D904-4749-9A44-73B76B4F6C13}"/>
  </bookViews>
  <sheets>
    <sheet name="Original Clinical" sheetId="1" r:id="rId1"/>
    <sheet name="Original Count data" sheetId="2" r:id="rId2"/>
    <sheet name="Merged" sheetId="3" r:id="rId3"/>
    <sheet name="athero" sheetId="4" r:id="rId4"/>
    <sheet name="athero_norm_live cell" sheetId="6" r:id="rId5"/>
    <sheet name="Sex" sheetId="5" r:id="rId6"/>
    <sheet name="Sex_norm_live Cell" sheetId="7" r:id="rId7"/>
    <sheet name="Age" sheetId="8" r:id="rId8"/>
    <sheet name="Age_norm_liveCell" sheetId="9" r:id="rId9"/>
    <sheet name="Diabetes " sheetId="10" r:id="rId10"/>
  </sheets>
  <definedNames>
    <definedName name="_xlnm._FilterDatabase" localSheetId="8" hidden="1">Age_norm_liveCell!$A$2:$BC$78</definedName>
    <definedName name="_xlnm._FilterDatabase" localSheetId="3" hidden="1">athero!$A$1:$BC$1</definedName>
    <definedName name="_xlnm._FilterDatabase" localSheetId="4" hidden="1">'athero_norm_live cell'!$A$1:$BC$1</definedName>
    <definedName name="_xlnm._FilterDatabase" localSheetId="2" hidden="1">Merged!$A$1:$BX$76</definedName>
    <definedName name="_xlnm._FilterDatabase" localSheetId="5" hidden="1">Sex!$A$2:$BC$79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9" l="1"/>
  <c r="J8" i="7"/>
  <c r="AJ81" i="7"/>
  <c r="AJ80" i="7"/>
  <c r="O81" i="7"/>
  <c r="O80" i="7"/>
  <c r="R80" i="7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U78" i="9" s="1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G4" i="9"/>
  <c r="H4" i="9"/>
  <c r="I4" i="9"/>
  <c r="J4" i="9"/>
  <c r="J78" i="9" s="1"/>
  <c r="K4" i="9"/>
  <c r="L4" i="9"/>
  <c r="M4" i="9"/>
  <c r="N4" i="9"/>
  <c r="O4" i="9"/>
  <c r="P4" i="9"/>
  <c r="Q4" i="9"/>
  <c r="R4" i="9"/>
  <c r="S4" i="9"/>
  <c r="T4" i="9"/>
  <c r="T78" i="9" s="1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H78" i="9" s="1"/>
  <c r="AI4" i="9"/>
  <c r="AJ4" i="9"/>
  <c r="AK4" i="9"/>
  <c r="AL4" i="9"/>
  <c r="AM4" i="9"/>
  <c r="AN4" i="9"/>
  <c r="AO4" i="9"/>
  <c r="AP4" i="9"/>
  <c r="AP78" i="9" s="1"/>
  <c r="AQ4" i="9"/>
  <c r="AR4" i="9"/>
  <c r="AS4" i="9"/>
  <c r="AT4" i="9"/>
  <c r="AU4" i="9"/>
  <c r="AV4" i="9"/>
  <c r="AW4" i="9"/>
  <c r="AX4" i="9"/>
  <c r="AY4" i="9"/>
  <c r="AZ4" i="9"/>
  <c r="AZ78" i="9" s="1"/>
  <c r="BA4" i="9"/>
  <c r="BB4" i="9"/>
  <c r="BC4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G78" i="9" s="1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Y78" i="9" s="1"/>
  <c r="AZ5" i="9"/>
  <c r="BA5" i="9"/>
  <c r="BB5" i="9"/>
  <c r="BC5" i="9"/>
  <c r="G6" i="9"/>
  <c r="H6" i="9"/>
  <c r="I6" i="9"/>
  <c r="J6" i="9"/>
  <c r="K6" i="9"/>
  <c r="L6" i="9"/>
  <c r="M6" i="9"/>
  <c r="N6" i="9"/>
  <c r="O6" i="9"/>
  <c r="P6" i="9"/>
  <c r="P78" i="9" s="1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Q78" i="9" s="1"/>
  <c r="AR6" i="9"/>
  <c r="AS6" i="9"/>
  <c r="AT6" i="9"/>
  <c r="AU6" i="9"/>
  <c r="AV6" i="9"/>
  <c r="AW6" i="9"/>
  <c r="AX6" i="9"/>
  <c r="AX78" i="9" s="1"/>
  <c r="AY6" i="9"/>
  <c r="AZ6" i="9"/>
  <c r="BA6" i="9"/>
  <c r="BB6" i="9"/>
  <c r="BC6" i="9"/>
  <c r="G7" i="9"/>
  <c r="H7" i="9"/>
  <c r="I7" i="9"/>
  <c r="I78" i="9" s="1"/>
  <c r="J7" i="9"/>
  <c r="K7" i="9"/>
  <c r="L7" i="9"/>
  <c r="M7" i="9"/>
  <c r="N7" i="9"/>
  <c r="O7" i="9"/>
  <c r="P7" i="9"/>
  <c r="Q7" i="9"/>
  <c r="Q78" i="9" s="1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O78" i="9" s="1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X78" i="9" s="1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N78" i="9" s="1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A32" i="9"/>
  <c r="BB32" i="9"/>
  <c r="BC32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A33" i="9"/>
  <c r="BB33" i="9"/>
  <c r="BC33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A38" i="9"/>
  <c r="BB38" i="9"/>
  <c r="BC38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A40" i="9"/>
  <c r="BB40" i="9"/>
  <c r="BC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BA41" i="9"/>
  <c r="BB41" i="9"/>
  <c r="BC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X42" i="9"/>
  <c r="AY42" i="9"/>
  <c r="AZ42" i="9"/>
  <c r="BA42" i="9"/>
  <c r="BB42" i="9"/>
  <c r="BC42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BA44" i="9"/>
  <c r="BB44" i="9"/>
  <c r="BC44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AV45" i="9"/>
  <c r="AW45" i="9"/>
  <c r="AX45" i="9"/>
  <c r="AY45" i="9"/>
  <c r="AZ45" i="9"/>
  <c r="BA45" i="9"/>
  <c r="BB45" i="9"/>
  <c r="BC45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AV46" i="9"/>
  <c r="AW46" i="9"/>
  <c r="AX46" i="9"/>
  <c r="AY46" i="9"/>
  <c r="AZ46" i="9"/>
  <c r="BA46" i="9"/>
  <c r="BB46" i="9"/>
  <c r="BC46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AS47" i="9"/>
  <c r="AT47" i="9"/>
  <c r="AU47" i="9"/>
  <c r="AV47" i="9"/>
  <c r="AW47" i="9"/>
  <c r="AX47" i="9"/>
  <c r="AY47" i="9"/>
  <c r="AZ47" i="9"/>
  <c r="BA47" i="9"/>
  <c r="BB47" i="9"/>
  <c r="BC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AS48" i="9"/>
  <c r="AT48" i="9"/>
  <c r="AU48" i="9"/>
  <c r="AV48" i="9"/>
  <c r="AW48" i="9"/>
  <c r="AX48" i="9"/>
  <c r="AY48" i="9"/>
  <c r="AZ48" i="9"/>
  <c r="BA48" i="9"/>
  <c r="BB48" i="9"/>
  <c r="BC48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AS49" i="9"/>
  <c r="AT49" i="9"/>
  <c r="AU49" i="9"/>
  <c r="AV49" i="9"/>
  <c r="AW49" i="9"/>
  <c r="AX49" i="9"/>
  <c r="AY49" i="9"/>
  <c r="AZ49" i="9"/>
  <c r="BA49" i="9"/>
  <c r="BB49" i="9"/>
  <c r="BC49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AS50" i="9"/>
  <c r="AT50" i="9"/>
  <c r="AU50" i="9"/>
  <c r="AV50" i="9"/>
  <c r="AW50" i="9"/>
  <c r="AX50" i="9"/>
  <c r="AY50" i="9"/>
  <c r="AZ50" i="9"/>
  <c r="BA50" i="9"/>
  <c r="BB50" i="9"/>
  <c r="BC50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AS51" i="9"/>
  <c r="AT51" i="9"/>
  <c r="AU51" i="9"/>
  <c r="AV51" i="9"/>
  <c r="AW51" i="9"/>
  <c r="AX51" i="9"/>
  <c r="AY51" i="9"/>
  <c r="AZ51" i="9"/>
  <c r="BA51" i="9"/>
  <c r="BB51" i="9"/>
  <c r="BC51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AS52" i="9"/>
  <c r="AT52" i="9"/>
  <c r="AU52" i="9"/>
  <c r="AV52" i="9"/>
  <c r="AW52" i="9"/>
  <c r="AX52" i="9"/>
  <c r="AY52" i="9"/>
  <c r="AZ52" i="9"/>
  <c r="BA52" i="9"/>
  <c r="BB52" i="9"/>
  <c r="BC52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AS53" i="9"/>
  <c r="AT53" i="9"/>
  <c r="AU53" i="9"/>
  <c r="AV53" i="9"/>
  <c r="AW53" i="9"/>
  <c r="AX53" i="9"/>
  <c r="AY53" i="9"/>
  <c r="AZ53" i="9"/>
  <c r="BA53" i="9"/>
  <c r="BB53" i="9"/>
  <c r="BC53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AS54" i="9"/>
  <c r="AT54" i="9"/>
  <c r="AU54" i="9"/>
  <c r="AV54" i="9"/>
  <c r="AW54" i="9"/>
  <c r="AX54" i="9"/>
  <c r="AY54" i="9"/>
  <c r="AZ54" i="9"/>
  <c r="BA54" i="9"/>
  <c r="BB54" i="9"/>
  <c r="BC54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AS56" i="9"/>
  <c r="AT56" i="9"/>
  <c r="AU56" i="9"/>
  <c r="AV56" i="9"/>
  <c r="AW56" i="9"/>
  <c r="AX56" i="9"/>
  <c r="AY56" i="9"/>
  <c r="AZ56" i="9"/>
  <c r="BA56" i="9"/>
  <c r="BB56" i="9"/>
  <c r="BC56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BB57" i="9"/>
  <c r="BC57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AS58" i="9"/>
  <c r="AT58" i="9"/>
  <c r="AU58" i="9"/>
  <c r="AV58" i="9"/>
  <c r="AW58" i="9"/>
  <c r="AX58" i="9"/>
  <c r="AY58" i="9"/>
  <c r="AZ58" i="9"/>
  <c r="BA58" i="9"/>
  <c r="BB58" i="9"/>
  <c r="BC58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D78" i="9" s="1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AS60" i="9"/>
  <c r="AT60" i="9"/>
  <c r="AU60" i="9"/>
  <c r="AV60" i="9"/>
  <c r="AW60" i="9"/>
  <c r="AX60" i="9"/>
  <c r="AY60" i="9"/>
  <c r="AZ60" i="9"/>
  <c r="BA60" i="9"/>
  <c r="BB60" i="9"/>
  <c r="BC60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J78" i="9" s="1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AI78" i="9" s="1"/>
  <c r="AJ62" i="9"/>
  <c r="AK62" i="9"/>
  <c r="AL62" i="9"/>
  <c r="AM62" i="9"/>
  <c r="AN62" i="9"/>
  <c r="AO62" i="9"/>
  <c r="AP62" i="9"/>
  <c r="AQ62" i="9"/>
  <c r="AR62" i="9"/>
  <c r="AS62" i="9"/>
  <c r="AT62" i="9"/>
  <c r="AU62" i="9"/>
  <c r="AV62" i="9"/>
  <c r="AW62" i="9"/>
  <c r="AX62" i="9"/>
  <c r="AY62" i="9"/>
  <c r="AZ62" i="9"/>
  <c r="BA62" i="9"/>
  <c r="BB62" i="9"/>
  <c r="BC62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B63" i="9"/>
  <c r="BC63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AS64" i="9"/>
  <c r="AT64" i="9"/>
  <c r="AU64" i="9"/>
  <c r="AV64" i="9"/>
  <c r="AW64" i="9"/>
  <c r="AX64" i="9"/>
  <c r="AY64" i="9"/>
  <c r="AZ64" i="9"/>
  <c r="BA64" i="9"/>
  <c r="BB64" i="9"/>
  <c r="BC64" i="9"/>
  <c r="G65" i="9"/>
  <c r="H65" i="9"/>
  <c r="H78" i="9" s="1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AS65" i="9"/>
  <c r="AT65" i="9"/>
  <c r="AU65" i="9"/>
  <c r="AV65" i="9"/>
  <c r="AW65" i="9"/>
  <c r="AX65" i="9"/>
  <c r="AY65" i="9"/>
  <c r="AZ65" i="9"/>
  <c r="BA65" i="9"/>
  <c r="BB65" i="9"/>
  <c r="BC65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AS66" i="9"/>
  <c r="AT66" i="9"/>
  <c r="AU66" i="9"/>
  <c r="AV66" i="9"/>
  <c r="AW66" i="9"/>
  <c r="AX66" i="9"/>
  <c r="AY66" i="9"/>
  <c r="AZ66" i="9"/>
  <c r="BA66" i="9"/>
  <c r="BB66" i="9"/>
  <c r="BC66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AJ68" i="9"/>
  <c r="AK68" i="9"/>
  <c r="AL68" i="9"/>
  <c r="AM68" i="9"/>
  <c r="AN68" i="9"/>
  <c r="AO68" i="9"/>
  <c r="AP68" i="9"/>
  <c r="AQ68" i="9"/>
  <c r="AR68" i="9"/>
  <c r="AS68" i="9"/>
  <c r="AT68" i="9"/>
  <c r="AU68" i="9"/>
  <c r="AV68" i="9"/>
  <c r="AW68" i="9"/>
  <c r="AX68" i="9"/>
  <c r="AY68" i="9"/>
  <c r="AZ68" i="9"/>
  <c r="BA68" i="9"/>
  <c r="BB68" i="9"/>
  <c r="BC68" i="9"/>
  <c r="G69" i="9"/>
  <c r="H69" i="9"/>
  <c r="I69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AJ69" i="9"/>
  <c r="AK69" i="9"/>
  <c r="AL69" i="9"/>
  <c r="AM69" i="9"/>
  <c r="AN69" i="9"/>
  <c r="AO69" i="9"/>
  <c r="AP69" i="9"/>
  <c r="AQ69" i="9"/>
  <c r="AR69" i="9"/>
  <c r="AS69" i="9"/>
  <c r="AT69" i="9"/>
  <c r="AU69" i="9"/>
  <c r="AV69" i="9"/>
  <c r="AW69" i="9"/>
  <c r="AX69" i="9"/>
  <c r="AY69" i="9"/>
  <c r="AZ69" i="9"/>
  <c r="BA69" i="9"/>
  <c r="BB69" i="9"/>
  <c r="BC69" i="9"/>
  <c r="G70" i="9"/>
  <c r="H70" i="9"/>
  <c r="I70" i="9"/>
  <c r="J70" i="9"/>
  <c r="K70" i="9"/>
  <c r="L70" i="9"/>
  <c r="M70" i="9"/>
  <c r="N70" i="9"/>
  <c r="O70" i="9"/>
  <c r="P70" i="9"/>
  <c r="Q70" i="9"/>
  <c r="R70" i="9"/>
  <c r="S70" i="9"/>
  <c r="S78" i="9" s="1"/>
  <c r="T70" i="9"/>
  <c r="U70" i="9"/>
  <c r="V70" i="9"/>
  <c r="W70" i="9"/>
  <c r="X70" i="9"/>
  <c r="Y70" i="9"/>
  <c r="Z70" i="9"/>
  <c r="AA70" i="9"/>
  <c r="AA78" i="9" s="1"/>
  <c r="AB70" i="9"/>
  <c r="AC70" i="9"/>
  <c r="AD70" i="9"/>
  <c r="AE70" i="9"/>
  <c r="AF70" i="9"/>
  <c r="AG70" i="9"/>
  <c r="AH70" i="9"/>
  <c r="AI70" i="9"/>
  <c r="AJ70" i="9"/>
  <c r="AK70" i="9"/>
  <c r="AL70" i="9"/>
  <c r="AM70" i="9"/>
  <c r="AN70" i="9"/>
  <c r="AO70" i="9"/>
  <c r="AP70" i="9"/>
  <c r="AQ70" i="9"/>
  <c r="AR70" i="9"/>
  <c r="AS70" i="9"/>
  <c r="AT70" i="9"/>
  <c r="AU70" i="9"/>
  <c r="AV70" i="9"/>
  <c r="AW70" i="9"/>
  <c r="AX70" i="9"/>
  <c r="AY70" i="9"/>
  <c r="AZ70" i="9"/>
  <c r="BA70" i="9"/>
  <c r="BB70" i="9"/>
  <c r="BC70" i="9"/>
  <c r="G71" i="9"/>
  <c r="H71" i="9"/>
  <c r="I71" i="9"/>
  <c r="J71" i="9"/>
  <c r="K71" i="9"/>
  <c r="L71" i="9"/>
  <c r="M71" i="9"/>
  <c r="N71" i="9"/>
  <c r="O71" i="9"/>
  <c r="P71" i="9"/>
  <c r="Q71" i="9"/>
  <c r="R71" i="9"/>
  <c r="R78" i="9" s="1"/>
  <c r="S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AJ71" i="9"/>
  <c r="AK71" i="9"/>
  <c r="AL71" i="9"/>
  <c r="AM71" i="9"/>
  <c r="AN71" i="9"/>
  <c r="AO71" i="9"/>
  <c r="AP71" i="9"/>
  <c r="AQ71" i="9"/>
  <c r="AR71" i="9"/>
  <c r="AS71" i="9"/>
  <c r="AT71" i="9"/>
  <c r="AU71" i="9"/>
  <c r="AV71" i="9"/>
  <c r="AW71" i="9"/>
  <c r="AX71" i="9"/>
  <c r="AY71" i="9"/>
  <c r="AZ71" i="9"/>
  <c r="BA71" i="9"/>
  <c r="BB71" i="9"/>
  <c r="BC71" i="9"/>
  <c r="G72" i="9"/>
  <c r="H72" i="9"/>
  <c r="I72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AJ72" i="9"/>
  <c r="AK72" i="9"/>
  <c r="AL72" i="9"/>
  <c r="AM72" i="9"/>
  <c r="AN72" i="9"/>
  <c r="AO72" i="9"/>
  <c r="AP72" i="9"/>
  <c r="AQ72" i="9"/>
  <c r="AR72" i="9"/>
  <c r="AS72" i="9"/>
  <c r="AT72" i="9"/>
  <c r="AU72" i="9"/>
  <c r="AV72" i="9"/>
  <c r="AW72" i="9"/>
  <c r="AX72" i="9"/>
  <c r="AY72" i="9"/>
  <c r="AZ72" i="9"/>
  <c r="BA72" i="9"/>
  <c r="BB72" i="9"/>
  <c r="BC72" i="9"/>
  <c r="G73" i="9"/>
  <c r="H73" i="9"/>
  <c r="I73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AJ73" i="9"/>
  <c r="AK73" i="9"/>
  <c r="AL73" i="9"/>
  <c r="AM73" i="9"/>
  <c r="AN73" i="9"/>
  <c r="AO73" i="9"/>
  <c r="AP73" i="9"/>
  <c r="AQ73" i="9"/>
  <c r="AR73" i="9"/>
  <c r="AS73" i="9"/>
  <c r="AT73" i="9"/>
  <c r="AU73" i="9"/>
  <c r="AV73" i="9"/>
  <c r="AW73" i="9"/>
  <c r="AX73" i="9"/>
  <c r="AY73" i="9"/>
  <c r="AZ73" i="9"/>
  <c r="BA73" i="9"/>
  <c r="BB73" i="9"/>
  <c r="BC73" i="9"/>
  <c r="G74" i="9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BB74" i="9"/>
  <c r="BC74" i="9"/>
  <c r="G75" i="9"/>
  <c r="H75" i="9"/>
  <c r="I75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E75" i="9"/>
  <c r="AF75" i="9"/>
  <c r="AG75" i="9"/>
  <c r="AH75" i="9"/>
  <c r="AI75" i="9"/>
  <c r="AJ75" i="9"/>
  <c r="AK75" i="9"/>
  <c r="AL75" i="9"/>
  <c r="AM75" i="9"/>
  <c r="AN75" i="9"/>
  <c r="AO75" i="9"/>
  <c r="AP75" i="9"/>
  <c r="AQ75" i="9"/>
  <c r="AR75" i="9"/>
  <c r="AS75" i="9"/>
  <c r="AT75" i="9"/>
  <c r="AU75" i="9"/>
  <c r="AV75" i="9"/>
  <c r="AW75" i="9"/>
  <c r="AX75" i="9"/>
  <c r="AY75" i="9"/>
  <c r="AZ75" i="9"/>
  <c r="BA75" i="9"/>
  <c r="BB75" i="9"/>
  <c r="BC75" i="9"/>
  <c r="G76" i="9"/>
  <c r="H76" i="9"/>
  <c r="I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AJ76" i="9"/>
  <c r="AK76" i="9"/>
  <c r="AL76" i="9"/>
  <c r="AM76" i="9"/>
  <c r="AN76" i="9"/>
  <c r="AO76" i="9"/>
  <c r="AP76" i="9"/>
  <c r="AQ76" i="9"/>
  <c r="AR76" i="9"/>
  <c r="AS76" i="9"/>
  <c r="AT76" i="9"/>
  <c r="AU76" i="9"/>
  <c r="AV76" i="9"/>
  <c r="AW76" i="9"/>
  <c r="AX76" i="9"/>
  <c r="AY76" i="9"/>
  <c r="AZ76" i="9"/>
  <c r="BA76" i="9"/>
  <c r="BB76" i="9"/>
  <c r="BC76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B78" i="9" s="1"/>
  <c r="AC77" i="9"/>
  <c r="AD77" i="9"/>
  <c r="AE77" i="9"/>
  <c r="AF77" i="9"/>
  <c r="AG77" i="9"/>
  <c r="AH77" i="9"/>
  <c r="AI77" i="9"/>
  <c r="AJ77" i="9"/>
  <c r="AK77" i="9"/>
  <c r="AL77" i="9"/>
  <c r="AM77" i="9"/>
  <c r="AN77" i="9"/>
  <c r="AO77" i="9"/>
  <c r="AP77" i="9"/>
  <c r="AQ77" i="9"/>
  <c r="AR77" i="9"/>
  <c r="AS77" i="9"/>
  <c r="AT77" i="9"/>
  <c r="AU77" i="9"/>
  <c r="AV77" i="9"/>
  <c r="AW77" i="9"/>
  <c r="AX77" i="9"/>
  <c r="AY77" i="9"/>
  <c r="AZ77" i="9"/>
  <c r="BA77" i="9"/>
  <c r="BB77" i="9"/>
  <c r="BC77" i="9"/>
  <c r="Z78" i="9"/>
  <c r="AW78" i="9"/>
  <c r="AV78" i="9"/>
  <c r="Y78" i="9"/>
  <c r="AM78" i="9"/>
  <c r="AF78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G2" i="9"/>
  <c r="AC78" i="9"/>
  <c r="R81" i="7"/>
  <c r="BF3" i="9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F26" i="9"/>
  <c r="BF27" i="9"/>
  <c r="BF28" i="9"/>
  <c r="BF29" i="9"/>
  <c r="BF30" i="9"/>
  <c r="BF31" i="9"/>
  <c r="BF32" i="9"/>
  <c r="BF34" i="9"/>
  <c r="BF35" i="9"/>
  <c r="BF36" i="9"/>
  <c r="BF37" i="9"/>
  <c r="BF38" i="9"/>
  <c r="BF39" i="9"/>
  <c r="BF40" i="9"/>
  <c r="BF41" i="9"/>
  <c r="BF42" i="9"/>
  <c r="BF43" i="9"/>
  <c r="BF44" i="9"/>
  <c r="BF45" i="9"/>
  <c r="BF46" i="9"/>
  <c r="BF47" i="9"/>
  <c r="BF48" i="9"/>
  <c r="BF49" i="9"/>
  <c r="BF50" i="9"/>
  <c r="BF51" i="9"/>
  <c r="BF52" i="9"/>
  <c r="BF53" i="9"/>
  <c r="BF54" i="9"/>
  <c r="BF55" i="9"/>
  <c r="BF56" i="9"/>
  <c r="BF57" i="9"/>
  <c r="BF58" i="9"/>
  <c r="BF59" i="9"/>
  <c r="BF60" i="9"/>
  <c r="BF61" i="9"/>
  <c r="BF62" i="9"/>
  <c r="BF63" i="9"/>
  <c r="BF64" i="9"/>
  <c r="BF65" i="9"/>
  <c r="BF66" i="9"/>
  <c r="BF67" i="9"/>
  <c r="BF68" i="9"/>
  <c r="BF69" i="9"/>
  <c r="BF70" i="9"/>
  <c r="BF71" i="9"/>
  <c r="BF72" i="9"/>
  <c r="BF73" i="9"/>
  <c r="BF74" i="9"/>
  <c r="BF75" i="9"/>
  <c r="BF76" i="9"/>
  <c r="BF77" i="9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G8" i="7"/>
  <c r="H8" i="7"/>
  <c r="I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G2" i="7"/>
  <c r="G78" i="6"/>
  <c r="G2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C78" i="6" s="1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T78" i="6" s="1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D78" i="6" s="1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3" i="6"/>
  <c r="H2" i="6"/>
  <c r="I2" i="6"/>
  <c r="J2" i="6"/>
  <c r="K2" i="6"/>
  <c r="K78" i="6" s="1"/>
  <c r="L2" i="6"/>
  <c r="M2" i="6"/>
  <c r="N2" i="6"/>
  <c r="O2" i="6"/>
  <c r="P2" i="6"/>
  <c r="Q2" i="6"/>
  <c r="R2" i="6"/>
  <c r="S2" i="6"/>
  <c r="S78" i="6" s="1"/>
  <c r="T2" i="6"/>
  <c r="U2" i="6"/>
  <c r="V2" i="6"/>
  <c r="W2" i="6"/>
  <c r="X2" i="6"/>
  <c r="Y2" i="6"/>
  <c r="Z2" i="6"/>
  <c r="AA2" i="6"/>
  <c r="AA78" i="6" s="1"/>
  <c r="AB2" i="6"/>
  <c r="AB78" i="6" s="1"/>
  <c r="AC2" i="6"/>
  <c r="AD2" i="6"/>
  <c r="AE2" i="6"/>
  <c r="AF2" i="6"/>
  <c r="AG2" i="6"/>
  <c r="AH2" i="6"/>
  <c r="AI2" i="6"/>
  <c r="AJ2" i="6"/>
  <c r="AJ78" i="6" s="1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Y78" i="6" s="1"/>
  <c r="AZ2" i="6"/>
  <c r="AZ78" i="6" s="1"/>
  <c r="BA2" i="6"/>
  <c r="BB2" i="6"/>
  <c r="BC2" i="6"/>
  <c r="AC78" i="6"/>
  <c r="AK78" i="6"/>
  <c r="AW78" i="6"/>
  <c r="F78" i="6"/>
  <c r="AX78" i="6"/>
  <c r="AV78" i="6"/>
  <c r="AR78" i="6"/>
  <c r="AQ78" i="6"/>
  <c r="AP78" i="6"/>
  <c r="AO78" i="6"/>
  <c r="AN78" i="6"/>
  <c r="AI78" i="6"/>
  <c r="AH78" i="6"/>
  <c r="AG78" i="6"/>
  <c r="AF78" i="6"/>
  <c r="Z78" i="6"/>
  <c r="Y78" i="6"/>
  <c r="X78" i="6"/>
  <c r="R78" i="6"/>
  <c r="Q78" i="6"/>
  <c r="P78" i="6"/>
  <c r="L78" i="6"/>
  <c r="J78" i="6"/>
  <c r="I78" i="6"/>
  <c r="H78" i="6"/>
  <c r="E78" i="6"/>
  <c r="D78" i="6"/>
  <c r="D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E78" i="4"/>
  <c r="BC78" i="9" l="1"/>
  <c r="AU78" i="9"/>
  <c r="AE78" i="9"/>
  <c r="W78" i="9"/>
  <c r="O78" i="9"/>
  <c r="BB78" i="9"/>
  <c r="AT78" i="9"/>
  <c r="AL78" i="9"/>
  <c r="V78" i="9"/>
  <c r="N78" i="9"/>
  <c r="BA78" i="9"/>
  <c r="AS78" i="9"/>
  <c r="AK78" i="9"/>
  <c r="M78" i="9"/>
  <c r="AR78" i="9"/>
  <c r="L78" i="9"/>
  <c r="K78" i="9"/>
  <c r="AT78" i="7"/>
  <c r="AL78" i="7"/>
  <c r="AD78" i="7"/>
  <c r="V78" i="7"/>
  <c r="N78" i="7"/>
  <c r="G78" i="7"/>
  <c r="S78" i="7"/>
  <c r="BA78" i="7"/>
  <c r="AS78" i="7"/>
  <c r="AK78" i="7"/>
  <c r="AC78" i="7"/>
  <c r="U78" i="7"/>
  <c r="M78" i="7"/>
  <c r="AE78" i="7"/>
  <c r="AZ78" i="7"/>
  <c r="L78" i="7"/>
  <c r="BC78" i="7"/>
  <c r="W78" i="7"/>
  <c r="T78" i="7"/>
  <c r="AY78" i="7"/>
  <c r="AQ78" i="7"/>
  <c r="AI78" i="7"/>
  <c r="AA78" i="7"/>
  <c r="K78" i="7"/>
  <c r="AM78" i="7"/>
  <c r="AJ78" i="7"/>
  <c r="AX78" i="7"/>
  <c r="AP78" i="7"/>
  <c r="AH78" i="7"/>
  <c r="Z78" i="7"/>
  <c r="R78" i="7"/>
  <c r="J78" i="7"/>
  <c r="BB78" i="7"/>
  <c r="O78" i="7"/>
  <c r="AB78" i="7"/>
  <c r="AW78" i="7"/>
  <c r="AO78" i="7"/>
  <c r="AG78" i="7"/>
  <c r="Y78" i="7"/>
  <c r="Q78" i="7"/>
  <c r="I78" i="7"/>
  <c r="AU78" i="7"/>
  <c r="AR78" i="7"/>
  <c r="AV78" i="7"/>
  <c r="AN78" i="7"/>
  <c r="AF78" i="7"/>
  <c r="X78" i="7"/>
  <c r="P78" i="7"/>
  <c r="H78" i="7"/>
  <c r="AU78" i="6"/>
  <c r="AM78" i="6"/>
  <c r="AE78" i="6"/>
  <c r="W78" i="6"/>
  <c r="O78" i="6"/>
  <c r="BB78" i="6"/>
  <c r="AT78" i="6"/>
  <c r="AL78" i="6"/>
  <c r="V78" i="6"/>
  <c r="N78" i="6"/>
  <c r="BA78" i="6"/>
  <c r="AS78" i="6"/>
  <c r="U78" i="6"/>
  <c r="M78" i="6"/>
</calcChain>
</file>

<file path=xl/sharedStrings.xml><?xml version="1.0" encoding="utf-8"?>
<sst xmlns="http://schemas.openxmlformats.org/spreadsheetml/2006/main" count="4372" uniqueCount="246">
  <si>
    <t>Record ID</t>
  </si>
  <si>
    <t>Procedure(s) - notes</t>
  </si>
  <si>
    <t>Primary pre-operative diagnosis - checkboxes (choice=Coronary artery disease)</t>
  </si>
  <si>
    <t>Primary pre-operative diagnosis - checkboxes (choice=Valve disease)</t>
  </si>
  <si>
    <t>Primary pre-operative diagnosis - checkboxes (choice=Endocarditis)</t>
  </si>
  <si>
    <t>Primary pre-operative diagnosis - checkboxes (choice=Heart failure)</t>
  </si>
  <si>
    <t>Sex assigned at birth</t>
  </si>
  <si>
    <t>Age at enrollment</t>
  </si>
  <si>
    <t>Ethnicity</t>
  </si>
  <si>
    <t>Race</t>
  </si>
  <si>
    <t>BMI</t>
  </si>
  <si>
    <t>Smoking</t>
  </si>
  <si>
    <t>Current smoker</t>
  </si>
  <si>
    <t>Diabetes</t>
  </si>
  <si>
    <t>History of cancer</t>
  </si>
  <si>
    <t>Cancer type, years since treatment, other</t>
  </si>
  <si>
    <t>Hypertension</t>
  </si>
  <si>
    <t>Peripheral vascular disease</t>
  </si>
  <si>
    <t>Hyperlipidemia</t>
  </si>
  <si>
    <t>Stroke</t>
  </si>
  <si>
    <t>Hypothyroidism</t>
  </si>
  <si>
    <t>Autoimmune disease</t>
  </si>
  <si>
    <t>History of thrombosis/pulmonary embolism</t>
  </si>
  <si>
    <t>Repair Mitral Valve</t>
  </si>
  <si>
    <t>Unchecked</t>
  </si>
  <si>
    <t>Checked</t>
  </si>
  <si>
    <t>Female</t>
  </si>
  <si>
    <t>Not Hispanic or Latino</t>
  </si>
  <si>
    <t>White</t>
  </si>
  <si>
    <t>No</t>
  </si>
  <si>
    <t>REPLACE SYSTEMIC TRICUSPID VALVE IN CCTGA  CLOSURE PATENT FORAMEN OVALE  PLACEMENT VENTRICUALR EPICARDIAL LEADS</t>
  </si>
  <si>
    <t>REPLACEMENT AORTIC VALVE  REPLACEMENT HEMI ARCH ASCENDING AORTIC ANEURYSM  MAZE PROCEDURE  AMPUTATION LEFT ATRIAL APPENDAGE</t>
  </si>
  <si>
    <t>Male</t>
  </si>
  <si>
    <t>EXPLORATION AORTIC VALVE  REPLACEMENT MITRAL VALVE  AMPUTATION LEFT ATRIAL APPENDAGE  ISOLATION PULMONARY VEIN</t>
  </si>
  <si>
    <t>Yes</t>
  </si>
  <si>
    <t>CORONARY ARTERY BYPASS GRAFT x3, USING LIMA AND LEFT SAPHENOUS VEIN GRAFT (EVH)</t>
  </si>
  <si>
    <t>Reconstruction or replacement valve sparing aortic root</t>
  </si>
  <si>
    <t>Unavailable</t>
  </si>
  <si>
    <t>Coronary Artery Bypass  Isolation pulmonary vein</t>
  </si>
  <si>
    <t>Prostate cancer 2019    no surgery, currently on Lupron Q 3 months and daily Zytiga and Prednisone</t>
  </si>
  <si>
    <t xml:space="preserve">CORONARY ARTERY BYPASS GRAFT x 3 with SVG and LIMA, ENDOSCOPIC SAPHENOUS VEIN HARVEST LEFT LEG  </t>
  </si>
  <si>
    <t xml:space="preserve">THROMBOENDARTERECTOMY PULMONARY ARTERY WITH CARDIAC ARREST  REPAIR TRICUSPID VALVE    </t>
  </si>
  <si>
    <t xml:space="preserve">CORONARY ARTERY BYPASS GRAFT X2 W/ LIMA AND LEFT LEG ENDOSCOPIC SAPHENOUS VEIN HARVEST  </t>
  </si>
  <si>
    <t xml:space="preserve">Replacement Aortic Valve  </t>
  </si>
  <si>
    <t>CORONARY ARTERY BYPASS GRAFT OFF PUMP X  2</t>
  </si>
  <si>
    <t>right lung cancer s/p resection of RUL in 2010 and radiation and 2010 and 2017 with mets to left adrenal gland s/p L adrenalectomy</t>
  </si>
  <si>
    <t>REPLACEMENT MITRAL VALVE  RESECTION MASS AORTIC VALVE  REPAIR TRICUSPID VALVE  MAZE PROCEDURE, LEFT ATRIAL APPENDAGE AMPUTATION, RIGHT ATRIAL REDUCTION</t>
  </si>
  <si>
    <t xml:space="preserve">CORONARY ARTERY BYPASS GRAFT x 3  with LIMA and SVG, ENDOSCOPIC SAPHENOUS VEIN HARVEST LEFT LEG  </t>
  </si>
  <si>
    <t>CORONARY ARTERY BYPASS GRAFT x1, LEFT SAPHENOUS EVH</t>
  </si>
  <si>
    <t>Hispanic or Latino</t>
  </si>
  <si>
    <t xml:space="preserve">CORONARY ARTERY BYPASS GRAFT X5, LIMA, LEFT AND RIGHT LEG SAPHENOUS EVH    </t>
  </si>
  <si>
    <t xml:space="preserve">REPLACEMENT AORTIC VALVE  CORONARY ARTERY BYPASS GRAFT x3, LEFT LEG ENDOSCOPIC SAPHENOUS VEIN HARVEST  </t>
  </si>
  <si>
    <t>Adenocarcinoma of left lung 2021</t>
  </si>
  <si>
    <t xml:space="preserve">REPLACEMENT AORTIC VALVE (BIO), AORTIC ROOT ENLARGEMENT  </t>
  </si>
  <si>
    <t xml:space="preserve">CORONARY ARTERY BYPASS GRAFT x1, LIMA, LEFT SAPHENOUS VEIN HARVEST (EVH)   REPLACEMENT AORTIC VALVE  </t>
  </si>
  <si>
    <t>Skin Cancer</t>
  </si>
  <si>
    <t xml:space="preserve">REPLACEMENT AORTIC VALVE  CABG X 1, LEFT SV ENDOHARVEST  </t>
  </si>
  <si>
    <t xml:space="preserve">COMPOSITE AORTIC ROOT, RECONSTRUCTION HEMIARCH  REPLACEMENT VALVE SPARING AORTIC ROOT  MAZE PROCEDURE/ Left atrial appendage ligation  </t>
  </si>
  <si>
    <t xml:space="preserve">Removal of Right atrial foreing body, PARASTERNAL BLOCK  REPAIR TRICUSPID VALVE  </t>
  </si>
  <si>
    <t xml:space="preserve">CORONARY ARTERY BYPASS GRAFT X 4, LEFT SV HARVEST, LIMA  </t>
  </si>
  <si>
    <t xml:space="preserve">REPLACEMENT AORTIC VALVE  MAZE PROCEDURE/ left atrial appendage resection  AORTIC ROOT enlargement     </t>
  </si>
  <si>
    <t xml:space="preserve">REVISION AORTIC VALVE REPLACEMENT, AORTOPLASTY  AORTIC ROOT ENLARGEMENT    </t>
  </si>
  <si>
    <t>CORONARY ARTERY BYPASS GRAFT x 6  with BIMA and SVG,  ENDOSCOPIC SAPHENOUS VEIN HARVEST BILATERAL LEGS</t>
  </si>
  <si>
    <t>CORONARY ARTERY BYPASS GRAFT x2,  LEFT SVG</t>
  </si>
  <si>
    <t>Ascending aortic replacement (22 mm Gelweave tube graft/28 mm Gelweave tube graft).</t>
  </si>
  <si>
    <t xml:space="preserve">REPLACEMENT AORTIC VALVE  REPAIR  ANEURYSM  HEMI ARCH ASCENDING AORTA, ERAS    </t>
  </si>
  <si>
    <t>MYECTOMY SEPTAL, ERAS</t>
  </si>
  <si>
    <t xml:space="preserve">BENTALL WITH ASCENDING HEMIARCH, LEFT LEG ENDOSCOPIC SAPHENOUS VEIN HARVEST  </t>
  </si>
  <si>
    <t>CORONARY ARTERY BYPASS GRAFT x4, LEFT LEG ENDOSCOPIC SAPHENOUS VEIN HARVEST</t>
  </si>
  <si>
    <t>More than One Race</t>
  </si>
  <si>
    <t>MYECTOMY SEPTAL(ERAS)</t>
  </si>
  <si>
    <t xml:space="preserve">REPLACEMENT AORTIC VALVE(ERAS)  REPAIR OR REPLACEMENT HEMI ARCH ASCENDING AORTA  </t>
  </si>
  <si>
    <t xml:space="preserve">REPLACEMENT AORTIC VALVE  REPLACEMENT HEMI ARCH ASCENDING AORTA  CORONARY ARTERY BYPASS GRAFT x2 WITH LEFT LEG ENDOSCOPIC SAPHENOUS VEIN HARVEST                  </t>
  </si>
  <si>
    <t xml:space="preserve">REVISION CORONARY ARTERY BYPASS GRAFT WITH ALLOGRAFT SAPHENOUS VEIN x3, SAPHENOUS TO LIMA COMPOSITE GRAFT.  ATTEMPTED ENDOSCOPIC HARVESTING VEIN  RIGHT INTERNAL MAMMARY ARTERY TAKEDOWN  </t>
  </si>
  <si>
    <t>OFF PUMP CABG x 1, LIMA-LAD</t>
  </si>
  <si>
    <t>CORONARY ARTERY BYPASS GRAFT X 3 with LIMA and SVG , ENDARTERECTOMY,  ENDOSCOPIC SAPHENOUS VEIN HARVEST LEFT LEG , ERAS  INSERTION OF CENTRIMAG  RIGHT VENTRICULAR ASSIST DEVICE</t>
  </si>
  <si>
    <t>Asian</t>
  </si>
  <si>
    <t>Replacement Aortic Valve, ERAS  Coronary Artery Bypass Graft</t>
  </si>
  <si>
    <t>Prostate cancer, s/p radiation, s/p XRT . Followed DFCI  SSH , 2019</t>
  </si>
  <si>
    <t>Replacement Aortic Valve, ERAS (Mechanical)</t>
  </si>
  <si>
    <t>Coronary Artery Bypass Graft</t>
  </si>
  <si>
    <t>Valve Sparing Root Replacement</t>
  </si>
  <si>
    <t>Revision Aortic Valve Replacement</t>
  </si>
  <si>
    <t>Repair Mitral Valve (ERAS)    Repair Tricuspid Valve    Coronary Artery Bypass Graft</t>
  </si>
  <si>
    <t>Black or African American</t>
  </si>
  <si>
    <t>Coronary Artery Bypass Graft  Repair Mitral Valve</t>
  </si>
  <si>
    <t>Revision Mitral Valve Replacement</t>
  </si>
  <si>
    <t xml:space="preserve">  REPLACEMENT AORTIC ROOT  REPAIR OR REPLACEMENT HEMI ARCH ASCENDING AORTA  CORONARY ARTERY BYPASS GRAFT x1,  COMPOSITE AORTIC ROOT</t>
  </si>
  <si>
    <t>Coronary Artery Bypass Graft, ERAS</t>
  </si>
  <si>
    <t>Minimally Invasive Replacement Aortic Valve, ERAS</t>
  </si>
  <si>
    <t>basal cell carcinoma of the skin right abdomen</t>
  </si>
  <si>
    <t xml:space="preserve">Coronary Artery Bypass Graft (BIMA)  </t>
  </si>
  <si>
    <t>Minimally Invasive Replacement Aortic Valve</t>
  </si>
  <si>
    <t xml:space="preserve">  Repair/Replacement Mitral Valve</t>
  </si>
  <si>
    <t>REPLACEMENT AORTIC VALVE</t>
  </si>
  <si>
    <t>Prostate Cancer 06/04/2021  with metastases to inguinal and periaortic LN, no other distant sites of disease</t>
  </si>
  <si>
    <t>Repair Mitral Valve  MAZE procedure/left atrial appendage ligation</t>
  </si>
  <si>
    <t xml:space="preserve">ASCENDING AORTIC  HEMI- ARCH REPLACEMENT   ERAS      </t>
  </si>
  <si>
    <t>Repair Mitral Valve  Isolation Pulmonary Vein, Left Atrial Appendage Ligation  REPAIR TRICUSPID VALVE (32MM EDWARDS MC3 TRICUSPID ANNULOPLASTY RING)</t>
  </si>
  <si>
    <t>REPAIR MITRAL VALVE, RIGHT CORONARY ARTERY UNROOFING</t>
  </si>
  <si>
    <t>Replacement Ascending Aortic Arch (Revision)</t>
  </si>
  <si>
    <t xml:space="preserve">Revision Aortic Valve Replacement  Replacement Aortic Root (Aortic root enlargement)  </t>
  </si>
  <si>
    <t>Revision Aortic Valve Replacement  Replacement Mitral Valve  Coronary Artery Bypass Graft</t>
  </si>
  <si>
    <t xml:space="preserve">REPAIR MITRAL VALVE  AMPUTATION LEFT ATRIAL APPENDAGE    </t>
  </si>
  <si>
    <t>REOPERATIVE REPAIR MITRAL VALVE</t>
  </si>
  <si>
    <t>CORONARY ARTERY BYPASS GRAFT x5 w/ BIMA, LEFT RADIAL ARTERY HARVEST, LEFT ENDOSCOPIC SAPHENOUS VEIN HARVEST</t>
  </si>
  <si>
    <t xml:space="preserve">coronary artery bypass graft/LIMA, left radial and veins  HARVESTING RADIAL ARTERY  </t>
  </si>
  <si>
    <t>RESECTION PERICARDIAL MASS</t>
  </si>
  <si>
    <t>Mitral valve replacement (a 27 mm St. Jude mechanical prosthesis) and resection of left atrial appendage</t>
  </si>
  <si>
    <t xml:space="preserve">REPLACEMENT AORTIC VALVE, ERAS  REPLACEMENT ASCENDING AORTA    </t>
  </si>
  <si>
    <t xml:space="preserve">REPLACEMENT AORTIC VALVE, ERAS  REPLACE ANEURYSM ASCENDING AORTA  </t>
  </si>
  <si>
    <t>CORONARY ARTERY BYPASS GRAFT x2, ERAS, LIMA, LEFT LEG ENDOSCOPIC SAPHENOUS VEIN HARVEST</t>
  </si>
  <si>
    <t>file</t>
  </si>
  <si>
    <t>FlowCut-passed/Cells|count</t>
  </si>
  <si>
    <t>FlowCut-passed/Cells/Single Cells|count</t>
  </si>
  <si>
    <t>FlowCut-passed/Cells/Single Cells/Live Cells|count</t>
  </si>
  <si>
    <t>FlowCut-passed/Cells/Single Cells/Live Cells/CD45+|count</t>
  </si>
  <si>
    <t>FlowCut-passed/Cells/Single Cells/Live Cells/CD45+/CD3-/CD34+|count</t>
  </si>
  <si>
    <t>FlowCut-passed/Cells/Single Cells/Live Cells/CD45+/CD3-/CD34+/CD4-CD56-|count</t>
  </si>
  <si>
    <t>FlowCut-passed/Cells/Single Cells/Live Cells/CD45+/CD3-/CD34+/CD4-CD56-/CD20-CD123-|count</t>
  </si>
  <si>
    <t>FlowCut-passed/Cells/Single Cells/Live Cells/CD45+/CD3-/CD34+/CD4-CD56-/CD20-CD123-/CD14-CD16-|count</t>
  </si>
  <si>
    <t>FlowCut-passed/Cells/Single Cells/Live Cells/CD45+/CD3-/CD34+/CD4-CD56-/CD20-CD123-/CD14-CD16-/CD11b-CD11c-|count</t>
  </si>
  <si>
    <t>FlowCut-passed/Cells/Single Cells/Live Cells/CD45+/CD3-/CD34+/CD4-CD56-/CD20-CD123-/CD14-CD16-/CD11b-CD11c-/CD34+CD38-|count</t>
  </si>
  <si>
    <t>FlowCut-passed/Cells/Single Cells/Live Cells/CD45+/CD3-/CD34+/CD4-CD56-/CD20-CD123-/CD14-CD16-/CD11b-CD11c-/CD34+CD38+|count</t>
  </si>
  <si>
    <t>FlowCut-passed/Cells/Single Cells/Live Cells/CD45+/CD3-/CD34+/CD4-CD56-/CD20-CD123-/CD14-CD16-/CD11b-CD11c-/CD34+CD38+/Pro-B|count</t>
  </si>
  <si>
    <t>FlowCut-passed/Cells/Single Cells/Live Cells/CD45+/CD3-/CD34+/CD4-CD56-/CD20-CD123-/CD14-CD16-/CD11b-CD11c-/CD34+CD38+/Pre-pro-B|count</t>
  </si>
  <si>
    <t>FlowCut-passed/Cells/Single Cells/Live Cells/CD45+/CD3-/CD34-|count</t>
  </si>
  <si>
    <t>FlowCut-passed/Cells/Single Cells/Live Cells/CD45+/CD3-/CD34-/B Cells|count</t>
  </si>
  <si>
    <t>FlowCut-passed/Cells/Single Cells/Live Cells/CD45+/CD3-/CD34-/CD19-/CD20-|count</t>
  </si>
  <si>
    <t>FlowCut-passed/Cells/Single Cells/Live Cells/CD45+/CD3-/CD34-/CD19-/CD20-/Early NK|count</t>
  </si>
  <si>
    <t>FlowCut-passed/Cells/Single Cells/Live Cells/CD45+/CD3-/CD34-/CD19-/CD20-/Mature NK|count</t>
  </si>
  <si>
    <t>FlowCut-passed/Cells/Single Cells/Live Cells/CD45+/CD3-/CD34-/CD19-/CD20-/Non-Classical Monocyte|count</t>
  </si>
  <si>
    <t>FlowCut-passed/Cells/Single Cells/Live Cells/CD45+/CD3-/CD34-/CD19-/CD20-/Classical Monocyte|count</t>
  </si>
  <si>
    <t>FlowCut-passed/Cells/Single Cells/Live Cells/CD45+/CD3-/CD34-/CD19-/CD20-/CD14+/HLA-DR-|count</t>
  </si>
  <si>
    <t>FlowCut-passed/Cells/Single Cells/Live Cells/CD45+/CD3-/CD34-/CD19-/CD20-/CD14+/HLA-DR-/MDSC-like|count</t>
  </si>
  <si>
    <t>FlowCut-passed/Cells/Single Cells/Live Cells/CD45+/CD3-/CD34-/CD19-/CD20-/Dendritic Cells|count</t>
  </si>
  <si>
    <t>FlowCut-passed/Cells/Single Cells/Live Cells/CD45+/CD3-/CD34-/CD19-/CD20-/Dendritic Cells/pDC|count</t>
  </si>
  <si>
    <t>FlowCut-passed/Cells/Single Cells/Live Cells/CD45+/CD3-/CD34-/CD19-/CD20-/Dendritic Cells/cDC|count</t>
  </si>
  <si>
    <t>FlowCut-passed/Cells/Single Cells/Live Cells/CD45+/CD3-/CD34-/CD19-/CD20-/Dendritic Cells/cDC/CD16+ cDC|count</t>
  </si>
  <si>
    <t>FlowCut-passed/Cells/Single Cells/Live Cells/CD45+/CD3-/CD34-/CD19-/CD20-/Dendritic Cells/cDC/CD16- cDC|count</t>
  </si>
  <si>
    <t>FlowCut-passed/Cells/Single Cells/Live Cells/CD45+/CD3-/CD34-/CD19-/CD20-/CD14-/HLA-DR-|count</t>
  </si>
  <si>
    <t>FlowCut-passed/Cells/Single Cells/Live Cells/CD45+/CD3-/CD34-/CD19-/CD20-/CD14-/HLA-DR-/ILC|count</t>
  </si>
  <si>
    <t>FlowCut-passed/Cells/Single Cells/Live Cells/CD45+/CD3+/CD34-|count</t>
  </si>
  <si>
    <t>FlowCut-passed/Cells/Single Cells/Live Cells/CD45+/CD3+/CD34-/TCRab+|count</t>
  </si>
  <si>
    <t>FlowCut-passed/Cells/Single Cells/Live Cells/CD45+/CD3+/CD34-/TCRab+/NKT CD8-|count</t>
  </si>
  <si>
    <t>FlowCut-passed/Cells/Single Cells/Live Cells/CD45+/CD3+/CD34-/TCRab+/NKT CD8+|count</t>
  </si>
  <si>
    <t>FlowCut-passed/Cells/Single Cells/Live Cells/CD45+/CD3+/CD34-/TCRab+/T Cell|count</t>
  </si>
  <si>
    <t>FlowCut-passed/Cells/Single Cells/Live Cells/CD45+/CD3+/CD34-/TCRab+/T Cell/CD4+ T cell|count</t>
  </si>
  <si>
    <t>FlowCut-passed/Cells/Single Cells/Live Cells/CD45+/CD3+/CD34-/TCRab+/T Cell/CD4+ T cell/Tregs|count</t>
  </si>
  <si>
    <t>FlowCut-passed/Cells/Single Cells/Live Cells/CD45+/CD3+/CD34-/TCRab+/T Cell/CD4+ T cell/CD4+/CD197+|count</t>
  </si>
  <si>
    <t>FlowCut-passed/Cells/Single Cells/Live Cells/CD45+/CD3+/CD34-/TCRab+/T Cell/CD4+ T cell/CD4+/CD197+/Naive CD4+ T Cell|count</t>
  </si>
  <si>
    <t>FlowCut-passed/Cells/Single Cells/Live Cells/CD45+/CD3+/CD34-/TCRab+/T Cell/CD4+ T cell/CD4+/CD197+/Central Memory CD4+ T Cell|count</t>
  </si>
  <si>
    <t>FlowCut-passed/Cells/Single Cells/Live Cells/CD45+/CD3+/CD34-/TCRab+/T Cell/CD4+ T cell/CD4+/CD197-|count</t>
  </si>
  <si>
    <t>FlowCut-passed/Cells/Single Cells/Live Cells/CD45+/CD3+/CD34-/TCRab+/T Cell/CD4+ T cell/CD4+/CD197-/Effector CD4+ T Cell|count</t>
  </si>
  <si>
    <t>FlowCut-passed/Cells/Single Cells/Live Cells/CD45+/CD3+/CD34-/TCRab+/T Cell/CD4+ T cell/CD279+/CD4+ T Cell|count</t>
  </si>
  <si>
    <t>FlowCut-passed/Cells/Single Cells/Live Cells/CD45+/CD3+/CD34-/TCRab+/T Cell/CD4+ T cell/CD279+/CD4+ T Cell/CD4+ TPex|count</t>
  </si>
  <si>
    <t>FlowCut-passed/Cells/Single Cells/Live Cells/CD45+/CD3+/CD34-/TCRab+/T Cell/CD8+ T Cell|count</t>
  </si>
  <si>
    <t>FlowCut-passed/Cells/Single Cells/Live Cells/CD45+/CD3+/CD34-/TCRab+/T Cell/CD8+ T Cell/CD279+/CD8+ T Cell|count</t>
  </si>
  <si>
    <t>FlowCut-passed/Cells/Single Cells/Live Cells/CD45+/CD3+/CD34-/TCRab+/T Cell/CD8+ T Cell/CD279+/CD8+ T Cell/CD8+ TPex|count</t>
  </si>
  <si>
    <t>FlowCut-passed/Cells/Single Cells/Live Cells/CD45+/CD3+/CD34-/TCRab+/T Cell/CD8+ T Cell/CD197+/CD8+ T Cell|count</t>
  </si>
  <si>
    <t>FlowCut-passed/Cells/Single Cells/Live Cells/CD45+/CD3+/CD34-/TCRab+/T Cell/CD8+ T Cell/CD197+/CD8+ T Cell/Central Memory CD8+ T Cell|count</t>
  </si>
  <si>
    <t>FlowCut-passed/Cells/Single Cells/Live Cells/CD45+/CD3+/CD34-/TCRab+/T Cell/CD8+ T Cell/CD197+/CD8+ T Cell/Naive CD8+ T Cell|count</t>
  </si>
  <si>
    <t>FlowCut-passed/Cells/Single Cells/Live Cells/CD45+/CD3+/CD34-/TCRab+/T Cell/CD8+ T Cell/CD197-/CD8+ T Cell|count</t>
  </si>
  <si>
    <t>FlowCut-passed/Cells/Single Cells/Live Cells/CD45+/CD3+/CD34-/TCRab+/T Cell/CD8+ T Cell/CD197-/CD8+ T Cell/Effector CD8+ T Cell|count</t>
  </si>
  <si>
    <t>FlowCut-passed/Cells/Single Cells/Live Cells/CD45+/CD3+/CD34-/gd T cell|count</t>
  </si>
  <si>
    <t>SBM1001.fcs</t>
  </si>
  <si>
    <t>SBM1003.fcs</t>
  </si>
  <si>
    <t>SBM1004.fcs</t>
  </si>
  <si>
    <t>SBM1008.fcs</t>
  </si>
  <si>
    <t>SBM1010.fcs</t>
  </si>
  <si>
    <t>SBM1012.fcs</t>
  </si>
  <si>
    <t>SBM1013.fcs</t>
  </si>
  <si>
    <t>SBM1014.fcs</t>
  </si>
  <si>
    <t>SBM1015.fcs</t>
  </si>
  <si>
    <t>SBM1016.fcs</t>
  </si>
  <si>
    <t>SBM1020.fcs</t>
  </si>
  <si>
    <t>SBM1021.fcs</t>
  </si>
  <si>
    <t>SBM1022.fcs</t>
  </si>
  <si>
    <t>SBM1023.fcs</t>
  </si>
  <si>
    <t>SBM1026.fcs</t>
  </si>
  <si>
    <t>SBM1031.fcs</t>
  </si>
  <si>
    <t>SBM1033.fcs</t>
  </si>
  <si>
    <t>SBM1039.fcs</t>
  </si>
  <si>
    <t>SBM1040.fcs</t>
  </si>
  <si>
    <t>SBM1046.fcs</t>
  </si>
  <si>
    <t>SBM1047.fcs</t>
  </si>
  <si>
    <t>SBM1048.fcs</t>
  </si>
  <si>
    <t>SBM1050.fcs</t>
  </si>
  <si>
    <t>SBM1059.fcs</t>
  </si>
  <si>
    <t>SBM1061.fcs</t>
  </si>
  <si>
    <t>SBM1066.fcs</t>
  </si>
  <si>
    <t>SBM1069.fcs</t>
  </si>
  <si>
    <t>SBM1073.fcs</t>
  </si>
  <si>
    <t>SBM1086.fcs</t>
  </si>
  <si>
    <t>SBM1090.fcs</t>
  </si>
  <si>
    <t>SBM1091.fcs</t>
  </si>
  <si>
    <t>SBM1096.fcs</t>
  </si>
  <si>
    <t>SBM1097.fcs</t>
  </si>
  <si>
    <t>SBM1102.fcs</t>
  </si>
  <si>
    <t>SBM1103.fcs</t>
  </si>
  <si>
    <t>SBM1107.fcs</t>
  </si>
  <si>
    <t>SBM1118.fcs</t>
  </si>
  <si>
    <t>SBM1121.fcs</t>
  </si>
  <si>
    <t>SBM1145.fcs</t>
  </si>
  <si>
    <t>SBM1146.fcs</t>
  </si>
  <si>
    <t>SBM1149.fcs</t>
  </si>
  <si>
    <t>SBM1150.fcs</t>
  </si>
  <si>
    <t>SBM1153.fcs</t>
  </si>
  <si>
    <t>SBM1154.fcs</t>
  </si>
  <si>
    <t>SBM1155.fcs</t>
  </si>
  <si>
    <t>SBM1156.fcs</t>
  </si>
  <si>
    <t>SBM1157.fcs</t>
  </si>
  <si>
    <t>SBM1158.fcs</t>
  </si>
  <si>
    <t>SBM1159.fcs</t>
  </si>
  <si>
    <t>SBM1160.fcs</t>
  </si>
  <si>
    <t>SBM1162.fcs</t>
  </si>
  <si>
    <t>SBM1164.fcs</t>
  </si>
  <si>
    <t>SBM1165.fcs</t>
  </si>
  <si>
    <t>SBM1166.fcs</t>
  </si>
  <si>
    <t>SBM1168.fcs</t>
  </si>
  <si>
    <t>SBM1169.fcs</t>
  </si>
  <si>
    <t>SBM1172.fcs</t>
  </si>
  <si>
    <t>SBM1178.fcs</t>
  </si>
  <si>
    <t>SBM1181.fcs</t>
  </si>
  <si>
    <t>SBM1186.fcs</t>
  </si>
  <si>
    <t>SBM1204.fcs</t>
  </si>
  <si>
    <t>SBM1205.fcs</t>
  </si>
  <si>
    <t>SBM1207.fcs</t>
  </si>
  <si>
    <t>SBM1210.fcs</t>
  </si>
  <si>
    <t>SBM1226.fcs</t>
  </si>
  <si>
    <t>SBM1227.fcs</t>
  </si>
  <si>
    <t>SBM1235.fcs</t>
  </si>
  <si>
    <t>SBM1245.fcs</t>
  </si>
  <si>
    <t>SBM1258.fcs</t>
  </si>
  <si>
    <t>SBM1300.fcs</t>
  </si>
  <si>
    <t>SBM1306.fcs</t>
  </si>
  <si>
    <t>SBM1309.fcs</t>
  </si>
  <si>
    <t>SBM1315.fcs</t>
  </si>
  <si>
    <t>SBM1321.fcs</t>
  </si>
  <si>
    <t>SBM1337.fcs</t>
  </si>
  <si>
    <t>ttest</t>
  </si>
  <si>
    <t xml:space="preserve">mean men </t>
  </si>
  <si>
    <t xml:space="preserve">men: </t>
  </si>
  <si>
    <t xml:space="preserve">mean women </t>
  </si>
  <si>
    <t xml:space="preserve">Women: </t>
  </si>
  <si>
    <t>Age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</si>
</sst>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8"/>
      <name val="Aptos Narrow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8" fillId="0" borderId="0" xfId="0" applyFont="1" applyAlignment="1"/>
    <xf numFmtId="0" fontId="0" fillId="0" borderId="0" xfId="0" applyAlignme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1" fillId="0" borderId="0" xfId="0" applyFont="1"/>
    <xf numFmtId="0" fontId="21" fillId="0" borderId="0" xfId="0" applyNumberFormat="1" applyFont="1"/>
    <xf numFmtId="0" fontId="19" fillId="0" borderId="0" xfId="0" applyFont="1"/>
    <xf numFmtId="0" fontId="22" fillId="34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7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643B-96BB-1941-99B9-2D0323C9D143}">
  <dimension ref="A1:W76"/>
  <sheetViews>
    <sheetView zoomScale="141" workbookViewId="0">
      <selection activeCell="B8" sqref="B1:B1048576"/>
    </sheetView>
  </sheetViews>
  <sheetFormatPr defaultColWidth="11" defaultRowHeight="15.95"/>
  <cols>
    <col min="2" max="2" width="126.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>
        <v>1001</v>
      </c>
      <c r="B2" s="1" t="s">
        <v>23</v>
      </c>
      <c r="C2" s="1" t="s">
        <v>24</v>
      </c>
      <c r="D2" s="1" t="s">
        <v>25</v>
      </c>
      <c r="E2" s="1" t="s">
        <v>24</v>
      </c>
      <c r="F2" s="1" t="s">
        <v>24</v>
      </c>
      <c r="G2" s="1" t="s">
        <v>26</v>
      </c>
      <c r="H2" s="1">
        <v>34</v>
      </c>
      <c r="I2" s="1" t="s">
        <v>27</v>
      </c>
      <c r="J2" s="1" t="s">
        <v>28</v>
      </c>
      <c r="K2" s="1">
        <v>23.9</v>
      </c>
      <c r="L2" s="1" t="s">
        <v>29</v>
      </c>
      <c r="M2" s="1"/>
      <c r="N2" s="1" t="s">
        <v>29</v>
      </c>
      <c r="O2" s="1" t="s">
        <v>29</v>
      </c>
      <c r="P2" s="1"/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1" t="s">
        <v>29</v>
      </c>
    </row>
    <row r="3" spans="1:23">
      <c r="A3" s="1">
        <v>1003</v>
      </c>
      <c r="B3" s="1" t="s">
        <v>30</v>
      </c>
      <c r="C3" s="1" t="s">
        <v>24</v>
      </c>
      <c r="D3" s="1" t="s">
        <v>25</v>
      </c>
      <c r="E3" s="1" t="s">
        <v>24</v>
      </c>
      <c r="F3" s="1" t="s">
        <v>24</v>
      </c>
      <c r="G3" s="1" t="s">
        <v>26</v>
      </c>
      <c r="H3" s="1">
        <v>35</v>
      </c>
      <c r="I3" s="1" t="s">
        <v>27</v>
      </c>
      <c r="J3" s="1" t="s">
        <v>28</v>
      </c>
      <c r="K3" s="1">
        <v>26.5</v>
      </c>
      <c r="L3" s="1" t="s">
        <v>29</v>
      </c>
      <c r="M3" s="1"/>
      <c r="N3" s="1" t="s">
        <v>29</v>
      </c>
      <c r="O3" s="1" t="s">
        <v>29</v>
      </c>
      <c r="P3" s="1"/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</row>
    <row r="4" spans="1:23">
      <c r="A4" s="1">
        <v>1004</v>
      </c>
      <c r="B4" s="1" t="s">
        <v>31</v>
      </c>
      <c r="C4" s="1" t="s">
        <v>24</v>
      </c>
      <c r="D4" s="1" t="s">
        <v>25</v>
      </c>
      <c r="E4" s="1" t="s">
        <v>24</v>
      </c>
      <c r="F4" s="1" t="s">
        <v>24</v>
      </c>
      <c r="G4" s="1" t="s">
        <v>32</v>
      </c>
      <c r="H4" s="1">
        <v>68</v>
      </c>
      <c r="I4" s="1" t="s">
        <v>27</v>
      </c>
      <c r="J4" s="1" t="s">
        <v>28</v>
      </c>
      <c r="K4" s="1">
        <v>27.1</v>
      </c>
      <c r="L4" s="1" t="s">
        <v>29</v>
      </c>
      <c r="M4" s="1"/>
      <c r="N4" s="1" t="s">
        <v>29</v>
      </c>
      <c r="O4" s="1" t="s">
        <v>29</v>
      </c>
      <c r="P4" s="1"/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</row>
    <row r="5" spans="1:23">
      <c r="A5" s="1">
        <v>1008</v>
      </c>
      <c r="B5" s="1" t="s">
        <v>33</v>
      </c>
      <c r="C5" s="1" t="s">
        <v>24</v>
      </c>
      <c r="D5" s="1" t="s">
        <v>25</v>
      </c>
      <c r="E5" s="1" t="s">
        <v>24</v>
      </c>
      <c r="F5" s="1" t="s">
        <v>24</v>
      </c>
      <c r="G5" s="1" t="s">
        <v>32</v>
      </c>
      <c r="H5" s="1">
        <v>71</v>
      </c>
      <c r="I5" s="1" t="s">
        <v>27</v>
      </c>
      <c r="J5" s="1" t="s">
        <v>28</v>
      </c>
      <c r="K5" s="1">
        <v>19.3</v>
      </c>
      <c r="L5" s="1" t="s">
        <v>34</v>
      </c>
      <c r="M5" s="1" t="s">
        <v>29</v>
      </c>
      <c r="N5" s="1" t="s">
        <v>29</v>
      </c>
      <c r="O5" s="1" t="s">
        <v>29</v>
      </c>
      <c r="P5" s="1"/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</row>
    <row r="6" spans="1:23">
      <c r="A6" s="1">
        <v>1010</v>
      </c>
      <c r="B6" s="1" t="s">
        <v>35</v>
      </c>
      <c r="C6" s="1" t="s">
        <v>25</v>
      </c>
      <c r="D6" s="1" t="s">
        <v>24</v>
      </c>
      <c r="E6" s="1" t="s">
        <v>24</v>
      </c>
      <c r="F6" s="1" t="s">
        <v>24</v>
      </c>
      <c r="G6" s="1" t="s">
        <v>26</v>
      </c>
      <c r="H6" s="1">
        <v>70</v>
      </c>
      <c r="I6" s="1" t="s">
        <v>27</v>
      </c>
      <c r="J6" s="1" t="s">
        <v>28</v>
      </c>
      <c r="K6" s="1">
        <v>21.6</v>
      </c>
      <c r="L6" s="1" t="s">
        <v>29</v>
      </c>
      <c r="M6" s="1"/>
      <c r="N6" s="1" t="s">
        <v>34</v>
      </c>
      <c r="O6" s="1" t="s">
        <v>29</v>
      </c>
      <c r="P6" s="1"/>
      <c r="Q6" s="1" t="s">
        <v>34</v>
      </c>
      <c r="R6" s="1" t="s">
        <v>29</v>
      </c>
      <c r="S6" s="1" t="s">
        <v>34</v>
      </c>
      <c r="T6" s="1" t="s">
        <v>29</v>
      </c>
      <c r="U6" s="1" t="s">
        <v>29</v>
      </c>
      <c r="V6" s="1" t="s">
        <v>29</v>
      </c>
      <c r="W6" s="1" t="s">
        <v>29</v>
      </c>
    </row>
    <row r="7" spans="1:23">
      <c r="A7" s="1">
        <v>1012</v>
      </c>
      <c r="B7" s="1" t="s">
        <v>36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26</v>
      </c>
      <c r="H7" s="1">
        <v>31</v>
      </c>
      <c r="I7" s="1" t="s">
        <v>37</v>
      </c>
      <c r="J7" s="1" t="s">
        <v>37</v>
      </c>
      <c r="K7" s="1">
        <v>18.3</v>
      </c>
      <c r="L7" s="1" t="s">
        <v>29</v>
      </c>
      <c r="M7" s="1"/>
      <c r="N7" s="1" t="s">
        <v>29</v>
      </c>
      <c r="O7" s="1" t="s">
        <v>29</v>
      </c>
      <c r="P7" s="1"/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</row>
    <row r="8" spans="1:23">
      <c r="A8" s="1">
        <v>1013</v>
      </c>
      <c r="B8" s="1" t="s">
        <v>38</v>
      </c>
      <c r="C8" s="1" t="s">
        <v>25</v>
      </c>
      <c r="D8" s="1" t="s">
        <v>24</v>
      </c>
      <c r="E8" s="1" t="s">
        <v>24</v>
      </c>
      <c r="F8" s="1" t="s">
        <v>24</v>
      </c>
      <c r="G8" s="1" t="s">
        <v>32</v>
      </c>
      <c r="H8" s="1">
        <v>65</v>
      </c>
      <c r="I8" s="1" t="s">
        <v>27</v>
      </c>
      <c r="J8" s="1" t="s">
        <v>28</v>
      </c>
      <c r="K8" s="1">
        <v>32.6</v>
      </c>
      <c r="L8" s="1" t="s">
        <v>29</v>
      </c>
      <c r="M8" s="1"/>
      <c r="N8" s="1" t="s">
        <v>29</v>
      </c>
      <c r="O8" s="1" t="s">
        <v>34</v>
      </c>
      <c r="P8" s="1" t="s">
        <v>39</v>
      </c>
      <c r="Q8" s="1" t="s">
        <v>34</v>
      </c>
      <c r="R8" s="1" t="s">
        <v>29</v>
      </c>
      <c r="S8" s="1" t="s">
        <v>34</v>
      </c>
      <c r="T8" s="1" t="s">
        <v>29</v>
      </c>
      <c r="U8" s="1" t="s">
        <v>29</v>
      </c>
      <c r="V8" s="1" t="s">
        <v>29</v>
      </c>
      <c r="W8" s="1" t="s">
        <v>29</v>
      </c>
    </row>
    <row r="9" spans="1:23">
      <c r="A9" s="1">
        <v>1014</v>
      </c>
      <c r="B9" s="1" t="s">
        <v>40</v>
      </c>
      <c r="C9" s="1" t="s">
        <v>25</v>
      </c>
      <c r="D9" s="1" t="s">
        <v>24</v>
      </c>
      <c r="E9" s="1" t="s">
        <v>24</v>
      </c>
      <c r="F9" s="1" t="s">
        <v>24</v>
      </c>
      <c r="G9" s="1" t="s">
        <v>32</v>
      </c>
      <c r="H9" s="1">
        <v>75</v>
      </c>
      <c r="I9" s="1" t="s">
        <v>27</v>
      </c>
      <c r="J9" s="1" t="s">
        <v>28</v>
      </c>
      <c r="K9" s="1">
        <v>22.3</v>
      </c>
      <c r="L9" s="1" t="s">
        <v>34</v>
      </c>
      <c r="M9" s="1" t="s">
        <v>29</v>
      </c>
      <c r="N9" s="1" t="s">
        <v>29</v>
      </c>
      <c r="O9" s="1" t="s">
        <v>29</v>
      </c>
      <c r="P9" s="1"/>
      <c r="Q9" s="1" t="s">
        <v>29</v>
      </c>
      <c r="R9" s="1" t="s">
        <v>29</v>
      </c>
      <c r="S9" s="1" t="s">
        <v>34</v>
      </c>
      <c r="T9" s="1" t="s">
        <v>29</v>
      </c>
      <c r="U9" s="1" t="s">
        <v>34</v>
      </c>
      <c r="V9" s="1" t="s">
        <v>29</v>
      </c>
      <c r="W9" s="1" t="s">
        <v>29</v>
      </c>
    </row>
    <row r="10" spans="1:23">
      <c r="A10" s="1">
        <v>1015</v>
      </c>
      <c r="B10" s="1" t="s">
        <v>41</v>
      </c>
      <c r="C10" s="1" t="s">
        <v>24</v>
      </c>
      <c r="D10" s="1" t="s">
        <v>25</v>
      </c>
      <c r="E10" s="1" t="s">
        <v>24</v>
      </c>
      <c r="F10" s="1" t="s">
        <v>24</v>
      </c>
      <c r="G10" s="1" t="s">
        <v>26</v>
      </c>
      <c r="H10" s="1">
        <v>34</v>
      </c>
      <c r="I10" s="1" t="s">
        <v>27</v>
      </c>
      <c r="J10" s="1" t="s">
        <v>28</v>
      </c>
      <c r="K10" s="1">
        <v>41.9</v>
      </c>
      <c r="L10" s="1" t="s">
        <v>34</v>
      </c>
      <c r="M10" s="1" t="s">
        <v>29</v>
      </c>
      <c r="N10" s="1" t="s">
        <v>29</v>
      </c>
      <c r="O10" s="1" t="s">
        <v>29</v>
      </c>
      <c r="P10" s="1"/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34</v>
      </c>
    </row>
    <row r="11" spans="1:23">
      <c r="A11" s="1">
        <v>1016</v>
      </c>
      <c r="B11" s="1" t="s">
        <v>42</v>
      </c>
      <c r="C11" s="1" t="s">
        <v>25</v>
      </c>
      <c r="D11" s="1" t="s">
        <v>24</v>
      </c>
      <c r="E11" s="1" t="s">
        <v>24</v>
      </c>
      <c r="F11" s="1" t="s">
        <v>25</v>
      </c>
      <c r="G11" s="1" t="s">
        <v>32</v>
      </c>
      <c r="H11" s="1">
        <v>78</v>
      </c>
      <c r="I11" s="1" t="s">
        <v>27</v>
      </c>
      <c r="J11" s="1" t="s">
        <v>28</v>
      </c>
      <c r="K11" s="1">
        <v>24.6</v>
      </c>
      <c r="L11" s="1" t="s">
        <v>34</v>
      </c>
      <c r="M11" s="1" t="s">
        <v>29</v>
      </c>
      <c r="N11" s="1" t="s">
        <v>29</v>
      </c>
      <c r="O11" s="1" t="s">
        <v>29</v>
      </c>
      <c r="P11" s="1"/>
      <c r="Q11" s="1" t="s">
        <v>34</v>
      </c>
      <c r="R11" s="1" t="s">
        <v>34</v>
      </c>
      <c r="S11" s="1" t="s">
        <v>34</v>
      </c>
      <c r="T11" s="1" t="s">
        <v>29</v>
      </c>
      <c r="U11" s="1" t="s">
        <v>29</v>
      </c>
      <c r="V11" s="1" t="s">
        <v>29</v>
      </c>
      <c r="W11" s="1" t="s">
        <v>29</v>
      </c>
    </row>
    <row r="12" spans="1:23">
      <c r="A12" s="1">
        <v>1020</v>
      </c>
      <c r="B12" s="1" t="s">
        <v>43</v>
      </c>
      <c r="C12" s="1" t="s">
        <v>24</v>
      </c>
      <c r="D12" s="1" t="s">
        <v>25</v>
      </c>
      <c r="E12" s="1" t="s">
        <v>24</v>
      </c>
      <c r="F12" s="1" t="s">
        <v>24</v>
      </c>
      <c r="G12" s="1" t="s">
        <v>26</v>
      </c>
      <c r="H12" s="1">
        <v>66</v>
      </c>
      <c r="I12" s="1" t="s">
        <v>27</v>
      </c>
      <c r="J12" s="1" t="s">
        <v>28</v>
      </c>
      <c r="K12" s="1">
        <v>24.2</v>
      </c>
      <c r="L12" s="1" t="s">
        <v>34</v>
      </c>
      <c r="M12" s="1" t="s">
        <v>29</v>
      </c>
      <c r="N12" s="1" t="s">
        <v>29</v>
      </c>
      <c r="O12" s="1" t="s">
        <v>29</v>
      </c>
      <c r="P12" s="1"/>
      <c r="Q12" s="1" t="s">
        <v>34</v>
      </c>
      <c r="R12" s="1" t="s">
        <v>29</v>
      </c>
      <c r="S12" s="1" t="s">
        <v>34</v>
      </c>
      <c r="T12" s="1" t="s">
        <v>29</v>
      </c>
      <c r="U12" s="1" t="s">
        <v>29</v>
      </c>
      <c r="V12" s="1" t="s">
        <v>29</v>
      </c>
      <c r="W12" s="1" t="s">
        <v>29</v>
      </c>
    </row>
    <row r="13" spans="1:23">
      <c r="A13" s="1">
        <v>1021</v>
      </c>
      <c r="B13" s="1" t="s">
        <v>44</v>
      </c>
      <c r="C13" s="1" t="s">
        <v>25</v>
      </c>
      <c r="D13" s="1" t="s">
        <v>24</v>
      </c>
      <c r="E13" s="1" t="s">
        <v>24</v>
      </c>
      <c r="F13" s="1" t="s">
        <v>24</v>
      </c>
      <c r="G13" s="1" t="s">
        <v>26</v>
      </c>
      <c r="H13" s="1">
        <v>71</v>
      </c>
      <c r="I13" s="1" t="s">
        <v>27</v>
      </c>
      <c r="J13" s="1" t="s">
        <v>28</v>
      </c>
      <c r="K13" s="1">
        <v>34.6</v>
      </c>
      <c r="L13" s="1" t="s">
        <v>34</v>
      </c>
      <c r="M13" s="1" t="s">
        <v>29</v>
      </c>
      <c r="N13" s="1" t="s">
        <v>29</v>
      </c>
      <c r="O13" s="1" t="s">
        <v>34</v>
      </c>
      <c r="P13" s="1" t="s">
        <v>45</v>
      </c>
      <c r="Q13" s="1" t="s">
        <v>34</v>
      </c>
      <c r="R13" s="1" t="s">
        <v>29</v>
      </c>
      <c r="S13" s="1" t="s">
        <v>34</v>
      </c>
      <c r="T13" s="1" t="s">
        <v>29</v>
      </c>
      <c r="U13" s="1" t="s">
        <v>29</v>
      </c>
      <c r="V13" s="1" t="s">
        <v>29</v>
      </c>
      <c r="W13" s="1" t="s">
        <v>29</v>
      </c>
    </row>
    <row r="14" spans="1:23">
      <c r="A14" s="1">
        <v>1022</v>
      </c>
      <c r="B14" s="1" t="s">
        <v>46</v>
      </c>
      <c r="C14" s="1" t="s">
        <v>25</v>
      </c>
      <c r="D14" s="1" t="s">
        <v>25</v>
      </c>
      <c r="E14" s="1" t="s">
        <v>24</v>
      </c>
      <c r="F14" s="1" t="s">
        <v>25</v>
      </c>
      <c r="G14" s="1" t="s">
        <v>26</v>
      </c>
      <c r="H14" s="1">
        <v>79</v>
      </c>
      <c r="I14" s="1" t="s">
        <v>27</v>
      </c>
      <c r="J14" s="1" t="s">
        <v>28</v>
      </c>
      <c r="K14" s="1">
        <v>22.1</v>
      </c>
      <c r="L14" s="1" t="s">
        <v>29</v>
      </c>
      <c r="M14" s="1"/>
      <c r="N14" s="1" t="s">
        <v>29</v>
      </c>
      <c r="O14" s="1" t="s">
        <v>29</v>
      </c>
      <c r="P14" s="1"/>
      <c r="Q14" s="1" t="s">
        <v>34</v>
      </c>
      <c r="R14" s="1" t="s">
        <v>29</v>
      </c>
      <c r="S14" s="1" t="s">
        <v>34</v>
      </c>
      <c r="T14" s="1" t="s">
        <v>34</v>
      </c>
      <c r="U14" s="1" t="s">
        <v>29</v>
      </c>
      <c r="V14" s="1" t="s">
        <v>29</v>
      </c>
      <c r="W14" s="1" t="s">
        <v>29</v>
      </c>
    </row>
    <row r="15" spans="1:23">
      <c r="A15" s="1">
        <v>1023</v>
      </c>
      <c r="B15" s="1" t="s">
        <v>47</v>
      </c>
      <c r="C15" s="1" t="s">
        <v>25</v>
      </c>
      <c r="D15" s="1" t="s">
        <v>24</v>
      </c>
      <c r="E15" s="1" t="s">
        <v>24</v>
      </c>
      <c r="F15" s="1" t="s">
        <v>24</v>
      </c>
      <c r="G15" s="1" t="s">
        <v>32</v>
      </c>
      <c r="H15" s="1">
        <v>47</v>
      </c>
      <c r="I15" s="1" t="s">
        <v>27</v>
      </c>
      <c r="J15" s="1" t="s">
        <v>28</v>
      </c>
      <c r="K15" s="1">
        <v>27</v>
      </c>
      <c r="L15" s="1" t="s">
        <v>34</v>
      </c>
      <c r="M15" s="1" t="s">
        <v>29</v>
      </c>
      <c r="N15" s="1" t="s">
        <v>29</v>
      </c>
      <c r="O15" s="1" t="s">
        <v>29</v>
      </c>
      <c r="P15" s="1"/>
      <c r="Q15" s="1" t="s">
        <v>34</v>
      </c>
      <c r="R15" s="1" t="s">
        <v>29</v>
      </c>
      <c r="S15" s="1" t="s">
        <v>34</v>
      </c>
      <c r="T15" s="1" t="s">
        <v>34</v>
      </c>
      <c r="U15" s="1" t="s">
        <v>29</v>
      </c>
      <c r="V15" s="1" t="s">
        <v>29</v>
      </c>
      <c r="W15" s="1" t="s">
        <v>29</v>
      </c>
    </row>
    <row r="16" spans="1:23">
      <c r="A16" s="1">
        <v>1026</v>
      </c>
      <c r="B16" s="1" t="s">
        <v>48</v>
      </c>
      <c r="C16" s="1" t="s">
        <v>25</v>
      </c>
      <c r="D16" s="1" t="s">
        <v>24</v>
      </c>
      <c r="E16" s="1" t="s">
        <v>24</v>
      </c>
      <c r="F16" s="1" t="s">
        <v>24</v>
      </c>
      <c r="G16" s="1" t="s">
        <v>26</v>
      </c>
      <c r="H16" s="1">
        <v>58</v>
      </c>
      <c r="I16" s="1" t="s">
        <v>49</v>
      </c>
      <c r="J16" s="1" t="s">
        <v>37</v>
      </c>
      <c r="K16" s="1">
        <v>30.7</v>
      </c>
      <c r="L16" s="1" t="s">
        <v>29</v>
      </c>
      <c r="M16" s="1"/>
      <c r="N16" s="1" t="s">
        <v>29</v>
      </c>
      <c r="O16" s="1" t="s">
        <v>29</v>
      </c>
      <c r="P16" s="1"/>
      <c r="Q16" s="1" t="s">
        <v>34</v>
      </c>
      <c r="R16" s="1" t="s">
        <v>29</v>
      </c>
      <c r="S16" s="1" t="s">
        <v>34</v>
      </c>
      <c r="T16" s="1" t="s">
        <v>29</v>
      </c>
      <c r="U16" s="1" t="s">
        <v>29</v>
      </c>
      <c r="V16" s="1" t="s">
        <v>29</v>
      </c>
      <c r="W16" s="1" t="s">
        <v>29</v>
      </c>
    </row>
    <row r="17" spans="1:23">
      <c r="A17" s="1">
        <v>1031</v>
      </c>
      <c r="B17" s="1" t="s">
        <v>50</v>
      </c>
      <c r="C17" s="1" t="s">
        <v>25</v>
      </c>
      <c r="D17" s="1" t="s">
        <v>24</v>
      </c>
      <c r="E17" s="1" t="s">
        <v>24</v>
      </c>
      <c r="F17" s="1" t="s">
        <v>24</v>
      </c>
      <c r="G17" s="1" t="s">
        <v>32</v>
      </c>
      <c r="H17" s="1">
        <v>63</v>
      </c>
      <c r="I17" s="1" t="s">
        <v>27</v>
      </c>
      <c r="J17" s="1" t="s">
        <v>28</v>
      </c>
      <c r="K17" s="1">
        <v>34.1</v>
      </c>
      <c r="L17" s="1" t="s">
        <v>34</v>
      </c>
      <c r="M17" s="1" t="s">
        <v>34</v>
      </c>
      <c r="N17" s="1" t="s">
        <v>34</v>
      </c>
      <c r="O17" s="1" t="s">
        <v>29</v>
      </c>
      <c r="P17" s="1"/>
      <c r="Q17" s="1" t="s">
        <v>34</v>
      </c>
      <c r="R17" s="1" t="s">
        <v>29</v>
      </c>
      <c r="S17" s="1" t="s">
        <v>34</v>
      </c>
      <c r="T17" s="1" t="s">
        <v>29</v>
      </c>
      <c r="U17" s="1" t="s">
        <v>29</v>
      </c>
      <c r="V17" s="1" t="s">
        <v>29</v>
      </c>
      <c r="W17" s="1" t="s">
        <v>29</v>
      </c>
    </row>
    <row r="18" spans="1:23">
      <c r="A18" s="1">
        <v>1033</v>
      </c>
      <c r="B18" s="1" t="s">
        <v>51</v>
      </c>
      <c r="C18" s="1" t="s">
        <v>25</v>
      </c>
      <c r="D18" s="1" t="s">
        <v>25</v>
      </c>
      <c r="E18" s="1" t="s">
        <v>24</v>
      </c>
      <c r="F18" s="1" t="s">
        <v>24</v>
      </c>
      <c r="G18" s="1" t="s">
        <v>32</v>
      </c>
      <c r="H18" s="1">
        <v>79</v>
      </c>
      <c r="I18" s="1" t="s">
        <v>27</v>
      </c>
      <c r="J18" s="1" t="s">
        <v>28</v>
      </c>
      <c r="K18" s="1">
        <v>21.8</v>
      </c>
      <c r="L18" s="1" t="s">
        <v>34</v>
      </c>
      <c r="M18" s="1" t="s">
        <v>29</v>
      </c>
      <c r="N18" s="1" t="s">
        <v>29</v>
      </c>
      <c r="O18" s="1" t="s">
        <v>34</v>
      </c>
      <c r="P18" s="1" t="s">
        <v>52</v>
      </c>
      <c r="Q18" s="1" t="s">
        <v>34</v>
      </c>
      <c r="R18" s="1" t="s">
        <v>34</v>
      </c>
      <c r="S18" s="1" t="s">
        <v>29</v>
      </c>
      <c r="T18" s="1" t="s">
        <v>29</v>
      </c>
      <c r="U18" s="1" t="s">
        <v>34</v>
      </c>
      <c r="V18" s="1" t="s">
        <v>29</v>
      </c>
      <c r="W18" s="1" t="s">
        <v>29</v>
      </c>
    </row>
    <row r="19" spans="1:23">
      <c r="A19" s="1">
        <v>1039</v>
      </c>
      <c r="B19" s="1" t="s">
        <v>53</v>
      </c>
      <c r="C19" s="1" t="s">
        <v>24</v>
      </c>
      <c r="D19" s="1" t="s">
        <v>25</v>
      </c>
      <c r="E19" s="1" t="s">
        <v>24</v>
      </c>
      <c r="F19" s="1" t="s">
        <v>24</v>
      </c>
      <c r="G19" s="1" t="s">
        <v>26</v>
      </c>
      <c r="H19" s="1">
        <v>56</v>
      </c>
      <c r="I19" s="1" t="s">
        <v>27</v>
      </c>
      <c r="J19" s="1" t="s">
        <v>28</v>
      </c>
      <c r="K19" s="1">
        <v>41.6</v>
      </c>
      <c r="L19" s="1" t="s">
        <v>29</v>
      </c>
      <c r="M19" s="1"/>
      <c r="N19" s="1" t="s">
        <v>34</v>
      </c>
      <c r="O19" s="1" t="s">
        <v>29</v>
      </c>
      <c r="P19" s="1"/>
      <c r="Q19" s="1" t="s">
        <v>34</v>
      </c>
      <c r="R19" s="1" t="s">
        <v>29</v>
      </c>
      <c r="S19" s="1" t="s">
        <v>34</v>
      </c>
      <c r="T19" s="1" t="s">
        <v>29</v>
      </c>
      <c r="U19" s="1" t="s">
        <v>34</v>
      </c>
      <c r="V19" s="1" t="s">
        <v>29</v>
      </c>
      <c r="W19" s="1" t="s">
        <v>29</v>
      </c>
    </row>
    <row r="20" spans="1:23">
      <c r="A20" s="1">
        <v>1040</v>
      </c>
      <c r="B20" s="1" t="s">
        <v>54</v>
      </c>
      <c r="C20" s="1" t="s">
        <v>25</v>
      </c>
      <c r="D20" s="1" t="s">
        <v>25</v>
      </c>
      <c r="E20" s="1" t="s">
        <v>24</v>
      </c>
      <c r="F20" s="1" t="s">
        <v>24</v>
      </c>
      <c r="G20" s="1" t="s">
        <v>26</v>
      </c>
      <c r="H20" s="1">
        <v>80</v>
      </c>
      <c r="I20" s="1" t="s">
        <v>27</v>
      </c>
      <c r="J20" s="1" t="s">
        <v>28</v>
      </c>
      <c r="K20" s="1">
        <v>41.9</v>
      </c>
      <c r="L20" s="1" t="s">
        <v>34</v>
      </c>
      <c r="M20" s="1" t="s">
        <v>29</v>
      </c>
      <c r="N20" s="1" t="s">
        <v>29</v>
      </c>
      <c r="O20" s="1" t="s">
        <v>34</v>
      </c>
      <c r="P20" s="1" t="s">
        <v>55</v>
      </c>
      <c r="Q20" s="1" t="s">
        <v>34</v>
      </c>
      <c r="R20" s="1" t="s">
        <v>29</v>
      </c>
      <c r="S20" s="1" t="s">
        <v>34</v>
      </c>
      <c r="T20" s="1" t="s">
        <v>29</v>
      </c>
      <c r="U20" s="1" t="s">
        <v>29</v>
      </c>
      <c r="V20" s="1" t="s">
        <v>34</v>
      </c>
      <c r="W20" s="1" t="s">
        <v>29</v>
      </c>
    </row>
    <row r="21" spans="1:23">
      <c r="A21" s="1">
        <v>1046</v>
      </c>
      <c r="B21" s="1" t="s">
        <v>56</v>
      </c>
      <c r="C21" s="1" t="s">
        <v>25</v>
      </c>
      <c r="D21" s="1" t="s">
        <v>25</v>
      </c>
      <c r="E21" s="1" t="s">
        <v>24</v>
      </c>
      <c r="F21" s="1" t="s">
        <v>24</v>
      </c>
      <c r="G21" s="1" t="s">
        <v>32</v>
      </c>
      <c r="H21" s="1">
        <v>58</v>
      </c>
      <c r="I21" s="1" t="s">
        <v>27</v>
      </c>
      <c r="J21" s="1" t="s">
        <v>28</v>
      </c>
      <c r="K21" s="1">
        <v>32.799999999999997</v>
      </c>
      <c r="L21" s="1" t="s">
        <v>34</v>
      </c>
      <c r="M21" s="1" t="s">
        <v>34</v>
      </c>
      <c r="N21" s="1" t="s">
        <v>34</v>
      </c>
      <c r="O21" s="1" t="s">
        <v>29</v>
      </c>
      <c r="P21" s="1"/>
      <c r="Q21" s="1" t="s">
        <v>34</v>
      </c>
      <c r="R21" s="1" t="s">
        <v>29</v>
      </c>
      <c r="S21" s="1" t="s">
        <v>34</v>
      </c>
      <c r="T21" s="1" t="s">
        <v>29</v>
      </c>
      <c r="U21" s="1" t="s">
        <v>29</v>
      </c>
      <c r="V21" s="1" t="s">
        <v>29</v>
      </c>
      <c r="W21" s="1" t="s">
        <v>29</v>
      </c>
    </row>
    <row r="22" spans="1:23">
      <c r="A22" s="1">
        <v>1047</v>
      </c>
      <c r="B22" s="1" t="s">
        <v>57</v>
      </c>
      <c r="C22" s="1" t="s">
        <v>24</v>
      </c>
      <c r="D22" s="1" t="s">
        <v>25</v>
      </c>
      <c r="E22" s="1" t="s">
        <v>24</v>
      </c>
      <c r="F22" s="1" t="s">
        <v>24</v>
      </c>
      <c r="G22" s="1" t="s">
        <v>32</v>
      </c>
      <c r="H22" s="1">
        <v>69</v>
      </c>
      <c r="I22" s="1" t="s">
        <v>27</v>
      </c>
      <c r="J22" s="1" t="s">
        <v>28</v>
      </c>
      <c r="K22" s="1">
        <v>23.5</v>
      </c>
      <c r="L22" s="1" t="s">
        <v>29</v>
      </c>
      <c r="M22" s="1"/>
      <c r="N22" s="1" t="s">
        <v>29</v>
      </c>
      <c r="O22" s="1" t="s">
        <v>29</v>
      </c>
      <c r="P22" s="1"/>
      <c r="Q22" s="1" t="s">
        <v>34</v>
      </c>
      <c r="R22" s="1" t="s">
        <v>29</v>
      </c>
      <c r="S22" s="1" t="s">
        <v>34</v>
      </c>
      <c r="T22" s="1" t="s">
        <v>29</v>
      </c>
      <c r="U22" s="1" t="s">
        <v>29</v>
      </c>
      <c r="V22" s="1" t="s">
        <v>29</v>
      </c>
      <c r="W22" s="1" t="s">
        <v>29</v>
      </c>
    </row>
    <row r="23" spans="1:23">
      <c r="A23" s="1">
        <v>1048</v>
      </c>
      <c r="B23" s="1" t="s">
        <v>58</v>
      </c>
      <c r="C23" s="1" t="s">
        <v>24</v>
      </c>
      <c r="D23" s="1" t="s">
        <v>25</v>
      </c>
      <c r="E23" s="1" t="s">
        <v>24</v>
      </c>
      <c r="F23" s="1" t="s">
        <v>24</v>
      </c>
      <c r="G23" s="1" t="s">
        <v>26</v>
      </c>
      <c r="H23" s="1">
        <v>24</v>
      </c>
      <c r="I23" s="1" t="s">
        <v>27</v>
      </c>
      <c r="J23" s="1" t="s">
        <v>28</v>
      </c>
      <c r="K23" s="1">
        <v>25.4</v>
      </c>
      <c r="L23" s="1" t="s">
        <v>29</v>
      </c>
      <c r="M23" s="1"/>
      <c r="N23" s="1" t="s">
        <v>29</v>
      </c>
      <c r="O23" s="1" t="s">
        <v>29</v>
      </c>
      <c r="P23" s="1"/>
      <c r="Q23" s="1" t="s">
        <v>29</v>
      </c>
      <c r="R23" s="1" t="s">
        <v>34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</row>
    <row r="24" spans="1:23">
      <c r="A24" s="1">
        <v>1050</v>
      </c>
      <c r="B24" s="1" t="s">
        <v>59</v>
      </c>
      <c r="C24" s="1" t="s">
        <v>25</v>
      </c>
      <c r="D24" s="1" t="s">
        <v>24</v>
      </c>
      <c r="E24" s="1" t="s">
        <v>24</v>
      </c>
      <c r="F24" s="1" t="s">
        <v>24</v>
      </c>
      <c r="G24" s="1" t="s">
        <v>32</v>
      </c>
      <c r="H24" s="1">
        <v>70</v>
      </c>
      <c r="I24" s="1" t="s">
        <v>27</v>
      </c>
      <c r="J24" s="1" t="s">
        <v>28</v>
      </c>
      <c r="K24" s="1">
        <v>34.6</v>
      </c>
      <c r="L24" s="1" t="s">
        <v>34</v>
      </c>
      <c r="M24" s="1" t="s">
        <v>29</v>
      </c>
      <c r="N24" s="1" t="s">
        <v>34</v>
      </c>
      <c r="O24" s="1" t="s">
        <v>29</v>
      </c>
      <c r="P24" s="1"/>
      <c r="Q24" s="1" t="s">
        <v>34</v>
      </c>
      <c r="R24" s="1" t="s">
        <v>29</v>
      </c>
      <c r="S24" s="1" t="s">
        <v>34</v>
      </c>
      <c r="T24" s="1" t="s">
        <v>29</v>
      </c>
      <c r="U24" s="1" t="s">
        <v>29</v>
      </c>
      <c r="V24" s="1" t="s">
        <v>29</v>
      </c>
      <c r="W24" s="1" t="s">
        <v>29</v>
      </c>
    </row>
    <row r="25" spans="1:23">
      <c r="A25" s="1">
        <v>1059</v>
      </c>
      <c r="B25" s="1" t="s">
        <v>60</v>
      </c>
      <c r="C25" s="1" t="s">
        <v>24</v>
      </c>
      <c r="D25" s="1" t="s">
        <v>25</v>
      </c>
      <c r="E25" s="1" t="s">
        <v>24</v>
      </c>
      <c r="F25" s="1" t="s">
        <v>24</v>
      </c>
      <c r="G25" s="1" t="s">
        <v>26</v>
      </c>
      <c r="H25" s="1">
        <v>60</v>
      </c>
      <c r="I25" s="1" t="s">
        <v>27</v>
      </c>
      <c r="J25" s="1" t="s">
        <v>28</v>
      </c>
      <c r="K25" s="1">
        <v>38.4</v>
      </c>
      <c r="L25" s="1" t="s">
        <v>34</v>
      </c>
      <c r="M25" s="1" t="s">
        <v>29</v>
      </c>
      <c r="N25" s="1" t="s">
        <v>29</v>
      </c>
      <c r="O25" s="1" t="s">
        <v>29</v>
      </c>
      <c r="P25" s="1"/>
      <c r="Q25" s="1" t="s">
        <v>34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W25" s="1" t="s">
        <v>29</v>
      </c>
    </row>
    <row r="26" spans="1:23">
      <c r="A26" s="1">
        <v>1061</v>
      </c>
      <c r="B26" s="1" t="s">
        <v>61</v>
      </c>
      <c r="C26" s="1" t="s">
        <v>24</v>
      </c>
      <c r="D26" s="1" t="s">
        <v>24</v>
      </c>
      <c r="E26" s="1" t="s">
        <v>24</v>
      </c>
      <c r="F26" s="1" t="s">
        <v>24</v>
      </c>
      <c r="G26" s="1" t="s">
        <v>26</v>
      </c>
      <c r="H26" s="1">
        <v>49</v>
      </c>
      <c r="I26" s="1" t="s">
        <v>27</v>
      </c>
      <c r="J26" s="1" t="s">
        <v>28</v>
      </c>
      <c r="K26" s="1">
        <v>27.8</v>
      </c>
      <c r="L26" s="1" t="s">
        <v>34</v>
      </c>
      <c r="M26" s="1" t="s">
        <v>29</v>
      </c>
      <c r="N26" s="1" t="s">
        <v>29</v>
      </c>
      <c r="O26" s="1" t="s">
        <v>29</v>
      </c>
      <c r="P26" s="1"/>
      <c r="Q26" s="1" t="s">
        <v>29</v>
      </c>
      <c r="R26" s="1" t="s">
        <v>29</v>
      </c>
      <c r="S26" s="1" t="s">
        <v>34</v>
      </c>
      <c r="T26" s="1" t="s">
        <v>29</v>
      </c>
      <c r="U26" s="1" t="s">
        <v>29</v>
      </c>
      <c r="V26" s="1" t="s">
        <v>34</v>
      </c>
      <c r="W26" s="1" t="s">
        <v>29</v>
      </c>
    </row>
    <row r="27" spans="1:23">
      <c r="A27" s="1">
        <v>1066</v>
      </c>
      <c r="B27" s="1" t="s">
        <v>62</v>
      </c>
      <c r="C27" s="1" t="s">
        <v>25</v>
      </c>
      <c r="D27" s="1" t="s">
        <v>24</v>
      </c>
      <c r="E27" s="1" t="s">
        <v>24</v>
      </c>
      <c r="F27" s="1" t="s">
        <v>24</v>
      </c>
      <c r="G27" s="1" t="s">
        <v>32</v>
      </c>
      <c r="H27" s="1">
        <v>55</v>
      </c>
      <c r="I27" s="1" t="s">
        <v>27</v>
      </c>
      <c r="J27" s="1" t="s">
        <v>28</v>
      </c>
      <c r="K27" s="1">
        <v>31.1</v>
      </c>
      <c r="L27" s="1" t="s">
        <v>29</v>
      </c>
      <c r="M27" s="1"/>
      <c r="N27" s="1" t="s">
        <v>29</v>
      </c>
      <c r="O27" s="1" t="s">
        <v>29</v>
      </c>
      <c r="P27" s="1"/>
      <c r="Q27" s="1" t="s">
        <v>29</v>
      </c>
      <c r="R27" s="1" t="s">
        <v>29</v>
      </c>
      <c r="S27" s="1" t="s">
        <v>34</v>
      </c>
      <c r="T27" s="1" t="s">
        <v>29</v>
      </c>
      <c r="U27" s="1" t="s">
        <v>29</v>
      </c>
      <c r="V27" s="1" t="s">
        <v>29</v>
      </c>
      <c r="W27" s="1" t="s">
        <v>29</v>
      </c>
    </row>
    <row r="28" spans="1:23">
      <c r="A28" s="1">
        <v>1069</v>
      </c>
      <c r="B28" s="1" t="s">
        <v>63</v>
      </c>
      <c r="C28" s="1" t="s">
        <v>25</v>
      </c>
      <c r="D28" s="1" t="s">
        <v>24</v>
      </c>
      <c r="E28" s="1" t="s">
        <v>24</v>
      </c>
      <c r="F28" s="1" t="s">
        <v>24</v>
      </c>
      <c r="G28" s="1" t="s">
        <v>26</v>
      </c>
      <c r="H28" s="1">
        <v>62</v>
      </c>
      <c r="I28" s="1" t="s">
        <v>37</v>
      </c>
      <c r="J28" s="1" t="s">
        <v>37</v>
      </c>
      <c r="K28" s="1">
        <v>31.6</v>
      </c>
      <c r="L28" s="1" t="s">
        <v>29</v>
      </c>
      <c r="M28" s="1"/>
      <c r="N28" s="1" t="s">
        <v>29</v>
      </c>
      <c r="O28" s="1" t="s">
        <v>29</v>
      </c>
      <c r="P28" s="1"/>
      <c r="Q28" s="1" t="s">
        <v>29</v>
      </c>
      <c r="R28" s="1" t="s">
        <v>29</v>
      </c>
      <c r="S28" s="1" t="s">
        <v>34</v>
      </c>
      <c r="T28" s="1" t="s">
        <v>29</v>
      </c>
      <c r="U28" s="1" t="s">
        <v>29</v>
      </c>
      <c r="V28" s="1" t="s">
        <v>29</v>
      </c>
      <c r="W28" s="1" t="s">
        <v>29</v>
      </c>
    </row>
    <row r="29" spans="1:23">
      <c r="A29" s="1">
        <v>1073</v>
      </c>
      <c r="B29" s="1" t="s">
        <v>64</v>
      </c>
      <c r="C29" s="1" t="s">
        <v>24</v>
      </c>
      <c r="D29" s="1" t="s">
        <v>24</v>
      </c>
      <c r="E29" s="1" t="s">
        <v>24</v>
      </c>
      <c r="F29" s="1" t="s">
        <v>24</v>
      </c>
      <c r="G29" s="1" t="s">
        <v>26</v>
      </c>
      <c r="H29" s="1">
        <v>78</v>
      </c>
      <c r="I29" s="1" t="s">
        <v>27</v>
      </c>
      <c r="J29" s="1" t="s">
        <v>28</v>
      </c>
      <c r="K29" s="1">
        <v>33.700000000000003</v>
      </c>
      <c r="L29" s="1" t="s">
        <v>34</v>
      </c>
      <c r="M29" s="1" t="s">
        <v>29</v>
      </c>
      <c r="N29" s="1" t="s">
        <v>29</v>
      </c>
      <c r="O29" s="1" t="s">
        <v>29</v>
      </c>
      <c r="P29" s="1"/>
      <c r="Q29" s="1" t="s">
        <v>34</v>
      </c>
      <c r="R29" s="1" t="s">
        <v>29</v>
      </c>
      <c r="S29" s="1" t="s">
        <v>29</v>
      </c>
      <c r="T29" s="1" t="s">
        <v>29</v>
      </c>
      <c r="U29" s="1" t="s">
        <v>34</v>
      </c>
      <c r="V29" s="1" t="s">
        <v>29</v>
      </c>
      <c r="W29" s="1" t="s">
        <v>29</v>
      </c>
    </row>
    <row r="30" spans="1:23">
      <c r="A30" s="1">
        <v>1086</v>
      </c>
      <c r="B30" s="1" t="s">
        <v>65</v>
      </c>
      <c r="C30" s="1" t="s">
        <v>24</v>
      </c>
      <c r="D30" s="1" t="s">
        <v>25</v>
      </c>
      <c r="E30" s="1" t="s">
        <v>24</v>
      </c>
      <c r="F30" s="1" t="s">
        <v>24</v>
      </c>
      <c r="G30" s="1" t="s">
        <v>32</v>
      </c>
      <c r="H30" s="1">
        <v>65</v>
      </c>
      <c r="I30" s="1" t="s">
        <v>27</v>
      </c>
      <c r="J30" s="1" t="s">
        <v>28</v>
      </c>
      <c r="K30" s="1">
        <v>42.6</v>
      </c>
      <c r="L30" s="1" t="s">
        <v>29</v>
      </c>
      <c r="M30" s="1"/>
      <c r="N30" s="1" t="s">
        <v>29</v>
      </c>
      <c r="O30" s="1" t="s">
        <v>29</v>
      </c>
      <c r="P30" s="1"/>
      <c r="Q30" s="1" t="s">
        <v>29</v>
      </c>
      <c r="R30" s="1" t="s">
        <v>29</v>
      </c>
      <c r="S30" s="1" t="s">
        <v>34</v>
      </c>
      <c r="T30" s="1" t="s">
        <v>29</v>
      </c>
      <c r="U30" s="1" t="s">
        <v>29</v>
      </c>
      <c r="V30" s="1" t="s">
        <v>29</v>
      </c>
      <c r="W30" s="1" t="s">
        <v>29</v>
      </c>
    </row>
    <row r="31" spans="1:23">
      <c r="A31" s="1">
        <v>1090</v>
      </c>
      <c r="B31" s="1" t="s">
        <v>66</v>
      </c>
      <c r="C31" s="1" t="s">
        <v>24</v>
      </c>
      <c r="D31" s="1" t="s">
        <v>24</v>
      </c>
      <c r="E31" s="1" t="s">
        <v>24</v>
      </c>
      <c r="F31" s="1" t="s">
        <v>24</v>
      </c>
      <c r="G31" s="1" t="s">
        <v>32</v>
      </c>
      <c r="H31" s="1">
        <v>29</v>
      </c>
      <c r="I31" s="1" t="s">
        <v>27</v>
      </c>
      <c r="J31" s="1" t="s">
        <v>28</v>
      </c>
      <c r="K31" s="1">
        <v>26.2</v>
      </c>
      <c r="L31" s="1" t="s">
        <v>29</v>
      </c>
      <c r="M31" s="1"/>
      <c r="N31" s="1" t="s">
        <v>29</v>
      </c>
      <c r="O31" s="1" t="s">
        <v>29</v>
      </c>
      <c r="P31" s="1"/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1" t="s">
        <v>29</v>
      </c>
    </row>
    <row r="32" spans="1:23">
      <c r="A32" s="1">
        <v>1091</v>
      </c>
      <c r="B32" s="1" t="s">
        <v>67</v>
      </c>
      <c r="C32" s="1" t="s">
        <v>24</v>
      </c>
      <c r="D32" s="1" t="s">
        <v>25</v>
      </c>
      <c r="E32" s="1" t="s">
        <v>24</v>
      </c>
      <c r="F32" s="1" t="s">
        <v>25</v>
      </c>
      <c r="G32" s="1" t="s">
        <v>26</v>
      </c>
      <c r="H32" s="1">
        <v>61</v>
      </c>
      <c r="I32" s="1" t="s">
        <v>27</v>
      </c>
      <c r="J32" s="1" t="s">
        <v>28</v>
      </c>
      <c r="K32" s="1">
        <v>33.799999999999997</v>
      </c>
      <c r="L32" s="1" t="s">
        <v>29</v>
      </c>
      <c r="M32" s="1"/>
      <c r="N32" s="1" t="s">
        <v>29</v>
      </c>
      <c r="O32" s="1" t="s">
        <v>29</v>
      </c>
      <c r="P32" s="1"/>
      <c r="Q32" s="1" t="s">
        <v>34</v>
      </c>
      <c r="R32" s="1" t="s">
        <v>29</v>
      </c>
      <c r="S32" s="1" t="s">
        <v>34</v>
      </c>
      <c r="T32" s="1" t="s">
        <v>29</v>
      </c>
      <c r="U32" s="1" t="s">
        <v>29</v>
      </c>
      <c r="V32" s="1" t="s">
        <v>29</v>
      </c>
      <c r="W32" s="1" t="s">
        <v>29</v>
      </c>
    </row>
    <row r="33" spans="1:23">
      <c r="A33" s="1">
        <v>1096</v>
      </c>
      <c r="B33" s="1" t="s">
        <v>68</v>
      </c>
      <c r="C33" s="1" t="s">
        <v>25</v>
      </c>
      <c r="D33" s="1" t="s">
        <v>24</v>
      </c>
      <c r="E33" s="1" t="s">
        <v>24</v>
      </c>
      <c r="F33" s="1" t="s">
        <v>24</v>
      </c>
      <c r="G33" s="1" t="s">
        <v>32</v>
      </c>
      <c r="H33" s="1">
        <v>66</v>
      </c>
      <c r="I33" s="1" t="s">
        <v>27</v>
      </c>
      <c r="J33" s="1" t="s">
        <v>69</v>
      </c>
      <c r="K33" s="1">
        <v>34.1</v>
      </c>
      <c r="L33" s="1" t="s">
        <v>34</v>
      </c>
      <c r="M33" s="1" t="s">
        <v>29</v>
      </c>
      <c r="N33" s="1" t="s">
        <v>29</v>
      </c>
      <c r="O33" s="1" t="s">
        <v>29</v>
      </c>
      <c r="P33" s="1"/>
      <c r="Q33" s="1" t="s">
        <v>34</v>
      </c>
      <c r="R33" s="1" t="s">
        <v>29</v>
      </c>
      <c r="S33" s="1" t="s">
        <v>34</v>
      </c>
      <c r="T33" s="1" t="s">
        <v>29</v>
      </c>
      <c r="U33" s="1" t="s">
        <v>29</v>
      </c>
      <c r="V33" s="1" t="s">
        <v>29</v>
      </c>
      <c r="W33" s="1" t="s">
        <v>29</v>
      </c>
    </row>
    <row r="34" spans="1:23">
      <c r="A34" s="1">
        <v>1097</v>
      </c>
      <c r="B34" s="1" t="s">
        <v>70</v>
      </c>
      <c r="C34" s="1" t="s">
        <v>24</v>
      </c>
      <c r="D34" s="1" t="s">
        <v>25</v>
      </c>
      <c r="E34" s="1" t="s">
        <v>24</v>
      </c>
      <c r="F34" s="1" t="s">
        <v>24</v>
      </c>
      <c r="G34" s="1" t="s">
        <v>32</v>
      </c>
      <c r="H34" s="1">
        <v>68</v>
      </c>
      <c r="I34" s="1" t="s">
        <v>27</v>
      </c>
      <c r="J34" s="1" t="s">
        <v>28</v>
      </c>
      <c r="K34" s="1">
        <v>37.4</v>
      </c>
      <c r="L34" s="1" t="s">
        <v>29</v>
      </c>
      <c r="M34" s="1"/>
      <c r="N34" s="1" t="s">
        <v>29</v>
      </c>
      <c r="O34" s="1" t="s">
        <v>29</v>
      </c>
      <c r="P34" s="1"/>
      <c r="Q34" s="1" t="s">
        <v>29</v>
      </c>
      <c r="R34" s="1" t="s">
        <v>29</v>
      </c>
      <c r="S34" s="1" t="s">
        <v>34</v>
      </c>
      <c r="T34" s="1" t="s">
        <v>29</v>
      </c>
      <c r="U34" s="1" t="s">
        <v>29</v>
      </c>
      <c r="V34" s="1" t="s">
        <v>29</v>
      </c>
      <c r="W34" s="1" t="s">
        <v>34</v>
      </c>
    </row>
    <row r="35" spans="1:23">
      <c r="A35" s="1">
        <v>1102</v>
      </c>
      <c r="B35" s="1" t="s">
        <v>71</v>
      </c>
      <c r="C35" s="1" t="s">
        <v>24</v>
      </c>
      <c r="D35" s="1" t="s">
        <v>25</v>
      </c>
      <c r="E35" s="1" t="s">
        <v>24</v>
      </c>
      <c r="F35" s="1" t="s">
        <v>24</v>
      </c>
      <c r="G35" s="1" t="s">
        <v>26</v>
      </c>
      <c r="H35" s="1">
        <v>57</v>
      </c>
      <c r="I35" s="1" t="s">
        <v>27</v>
      </c>
      <c r="J35" s="1" t="s">
        <v>28</v>
      </c>
      <c r="K35" s="1">
        <v>34.200000000000003</v>
      </c>
      <c r="L35" s="1" t="s">
        <v>29</v>
      </c>
      <c r="M35" s="1"/>
      <c r="N35" s="1" t="s">
        <v>34</v>
      </c>
      <c r="O35" s="1" t="s">
        <v>29</v>
      </c>
      <c r="P35" s="1"/>
      <c r="Q35" s="1" t="s">
        <v>34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</row>
    <row r="36" spans="1:23">
      <c r="A36" s="1">
        <v>1103</v>
      </c>
      <c r="B36" s="1" t="s">
        <v>72</v>
      </c>
      <c r="C36" s="1" t="s">
        <v>25</v>
      </c>
      <c r="D36" s="1" t="s">
        <v>25</v>
      </c>
      <c r="E36" s="1" t="s">
        <v>24</v>
      </c>
      <c r="F36" s="1" t="s">
        <v>24</v>
      </c>
      <c r="G36" s="1" t="s">
        <v>32</v>
      </c>
      <c r="H36" s="1">
        <v>67</v>
      </c>
      <c r="I36" s="1" t="s">
        <v>27</v>
      </c>
      <c r="J36" s="1" t="s">
        <v>28</v>
      </c>
      <c r="K36" s="1">
        <v>24.7</v>
      </c>
      <c r="L36" s="1" t="s">
        <v>29</v>
      </c>
      <c r="M36" s="1"/>
      <c r="N36" s="1" t="s">
        <v>34</v>
      </c>
      <c r="O36" s="1" t="s">
        <v>29</v>
      </c>
      <c r="P36" s="1"/>
      <c r="Q36" s="1" t="s">
        <v>34</v>
      </c>
      <c r="R36" s="1" t="s">
        <v>29</v>
      </c>
      <c r="S36" s="1" t="s">
        <v>34</v>
      </c>
      <c r="T36" s="1" t="s">
        <v>29</v>
      </c>
      <c r="U36" s="1" t="s">
        <v>29</v>
      </c>
      <c r="V36" s="1" t="s">
        <v>29</v>
      </c>
      <c r="W36" s="1" t="s">
        <v>29</v>
      </c>
    </row>
    <row r="37" spans="1:23">
      <c r="A37" s="1">
        <v>1107</v>
      </c>
      <c r="B37" s="1" t="s">
        <v>73</v>
      </c>
      <c r="C37" s="1" t="s">
        <v>25</v>
      </c>
      <c r="D37" s="1" t="s">
        <v>24</v>
      </c>
      <c r="E37" s="1" t="s">
        <v>24</v>
      </c>
      <c r="F37" s="1" t="s">
        <v>24</v>
      </c>
      <c r="G37" s="1" t="s">
        <v>32</v>
      </c>
      <c r="H37" s="1">
        <v>60</v>
      </c>
      <c r="I37" s="1" t="s">
        <v>27</v>
      </c>
      <c r="J37" s="1" t="s">
        <v>28</v>
      </c>
      <c r="K37" s="1">
        <v>30.3</v>
      </c>
      <c r="L37" s="1" t="s">
        <v>34</v>
      </c>
      <c r="M37" s="1" t="s">
        <v>34</v>
      </c>
      <c r="N37" s="1" t="s">
        <v>34</v>
      </c>
      <c r="O37" s="1" t="s">
        <v>29</v>
      </c>
      <c r="P37" s="1"/>
      <c r="Q37" s="1" t="s">
        <v>34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 s="1" t="s">
        <v>29</v>
      </c>
    </row>
    <row r="38" spans="1:23">
      <c r="A38" s="1">
        <v>1118</v>
      </c>
      <c r="B38" s="1" t="s">
        <v>74</v>
      </c>
      <c r="C38" s="1" t="s">
        <v>25</v>
      </c>
      <c r="D38" s="1" t="s">
        <v>24</v>
      </c>
      <c r="E38" s="1" t="s">
        <v>24</v>
      </c>
      <c r="F38" s="1" t="s">
        <v>24</v>
      </c>
      <c r="G38" s="1" t="s">
        <v>32</v>
      </c>
      <c r="H38" s="1">
        <v>41</v>
      </c>
      <c r="I38" s="1" t="s">
        <v>27</v>
      </c>
      <c r="J38" s="1" t="s">
        <v>28</v>
      </c>
      <c r="K38" s="1">
        <v>50.9</v>
      </c>
      <c r="L38" s="1" t="s">
        <v>34</v>
      </c>
      <c r="M38" s="1" t="s">
        <v>29</v>
      </c>
      <c r="N38" s="1" t="s">
        <v>29</v>
      </c>
      <c r="O38" s="1" t="s">
        <v>29</v>
      </c>
      <c r="P38" s="1"/>
      <c r="Q38" s="1" t="s">
        <v>34</v>
      </c>
      <c r="R38" s="1" t="s">
        <v>29</v>
      </c>
      <c r="S38" s="1" t="s">
        <v>34</v>
      </c>
      <c r="T38" s="1" t="s">
        <v>29</v>
      </c>
      <c r="U38" s="1" t="s">
        <v>29</v>
      </c>
      <c r="V38" s="1" t="s">
        <v>29</v>
      </c>
      <c r="W38" s="1" t="s">
        <v>29</v>
      </c>
    </row>
    <row r="39" spans="1:23">
      <c r="A39" s="1">
        <v>1121</v>
      </c>
      <c r="B39" s="1" t="s">
        <v>75</v>
      </c>
      <c r="C39" s="1" t="s">
        <v>25</v>
      </c>
      <c r="D39" s="1" t="s">
        <v>24</v>
      </c>
      <c r="E39" s="1" t="s">
        <v>24</v>
      </c>
      <c r="F39" s="1" t="s">
        <v>24</v>
      </c>
      <c r="G39" s="1" t="s">
        <v>32</v>
      </c>
      <c r="H39" s="1">
        <v>69</v>
      </c>
      <c r="I39" s="1" t="s">
        <v>27</v>
      </c>
      <c r="J39" s="1" t="s">
        <v>76</v>
      </c>
      <c r="K39" s="1">
        <v>22</v>
      </c>
      <c r="L39" s="1" t="s">
        <v>29</v>
      </c>
      <c r="M39" s="1"/>
      <c r="N39" s="1" t="s">
        <v>34</v>
      </c>
      <c r="O39" s="1" t="s">
        <v>29</v>
      </c>
      <c r="P39" s="1"/>
      <c r="Q39" s="1" t="s">
        <v>34</v>
      </c>
      <c r="R39" s="1" t="s">
        <v>29</v>
      </c>
      <c r="S39" s="1" t="s">
        <v>34</v>
      </c>
      <c r="T39" s="1" t="s">
        <v>29</v>
      </c>
      <c r="U39" s="1" t="s">
        <v>29</v>
      </c>
      <c r="V39" s="1" t="s">
        <v>29</v>
      </c>
      <c r="W39" s="1" t="s">
        <v>29</v>
      </c>
    </row>
    <row r="40" spans="1:23">
      <c r="A40" s="1">
        <v>1145</v>
      </c>
      <c r="B40" s="1" t="s">
        <v>77</v>
      </c>
      <c r="C40" s="1" t="s">
        <v>25</v>
      </c>
      <c r="D40" s="1" t="s">
        <v>25</v>
      </c>
      <c r="E40" s="1" t="s">
        <v>24</v>
      </c>
      <c r="F40" s="1" t="s">
        <v>24</v>
      </c>
      <c r="G40" s="1" t="s">
        <v>32</v>
      </c>
      <c r="H40" s="1">
        <v>73</v>
      </c>
      <c r="I40" s="1" t="s">
        <v>27</v>
      </c>
      <c r="J40" s="1" t="s">
        <v>28</v>
      </c>
      <c r="K40" s="1">
        <v>31.3</v>
      </c>
      <c r="L40" s="1" t="s">
        <v>29</v>
      </c>
      <c r="M40" s="1"/>
      <c r="N40" s="1" t="s">
        <v>29</v>
      </c>
      <c r="O40" s="1" t="s">
        <v>34</v>
      </c>
      <c r="P40" s="1" t="s">
        <v>78</v>
      </c>
      <c r="Q40" s="1" t="s">
        <v>34</v>
      </c>
      <c r="R40" s="1" t="s">
        <v>29</v>
      </c>
      <c r="S40" s="1" t="s">
        <v>34</v>
      </c>
      <c r="T40" s="1" t="s">
        <v>29</v>
      </c>
      <c r="U40" s="1" t="s">
        <v>29</v>
      </c>
      <c r="V40" s="1" t="s">
        <v>29</v>
      </c>
      <c r="W40" s="1" t="s">
        <v>29</v>
      </c>
    </row>
    <row r="41" spans="1:23">
      <c r="A41" s="1">
        <v>1146</v>
      </c>
      <c r="B41" s="1" t="s">
        <v>79</v>
      </c>
      <c r="C41" s="1" t="s">
        <v>24</v>
      </c>
      <c r="D41" s="1" t="s">
        <v>25</v>
      </c>
      <c r="E41" s="1" t="s">
        <v>24</v>
      </c>
      <c r="F41" s="1" t="s">
        <v>24</v>
      </c>
      <c r="G41" s="1" t="s">
        <v>32</v>
      </c>
      <c r="H41" s="1">
        <v>47</v>
      </c>
      <c r="I41" s="1" t="s">
        <v>27</v>
      </c>
      <c r="J41" s="1" t="s">
        <v>28</v>
      </c>
      <c r="K41" s="1">
        <v>22.8</v>
      </c>
      <c r="L41" s="1" t="s">
        <v>29</v>
      </c>
      <c r="M41" s="1"/>
      <c r="N41" s="1" t="s">
        <v>29</v>
      </c>
      <c r="O41" s="1" t="s">
        <v>29</v>
      </c>
      <c r="P41" s="1"/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</row>
    <row r="42" spans="1:23">
      <c r="A42" s="1">
        <v>1149</v>
      </c>
      <c r="B42" s="1" t="s">
        <v>80</v>
      </c>
      <c r="C42" s="1" t="s">
        <v>25</v>
      </c>
      <c r="D42" s="1" t="s">
        <v>24</v>
      </c>
      <c r="E42" s="1" t="s">
        <v>24</v>
      </c>
      <c r="F42" s="1" t="s">
        <v>24</v>
      </c>
      <c r="G42" s="1" t="s">
        <v>32</v>
      </c>
      <c r="H42" s="1">
        <v>70</v>
      </c>
      <c r="I42" s="1" t="s">
        <v>27</v>
      </c>
      <c r="J42" s="1" t="s">
        <v>28</v>
      </c>
      <c r="K42" s="1">
        <v>35.200000000000003</v>
      </c>
      <c r="L42" s="1" t="s">
        <v>34</v>
      </c>
      <c r="M42" s="1" t="s">
        <v>29</v>
      </c>
      <c r="N42" s="1" t="s">
        <v>29</v>
      </c>
      <c r="O42" s="1" t="s">
        <v>29</v>
      </c>
      <c r="P42" s="1"/>
      <c r="Q42" s="1" t="s">
        <v>34</v>
      </c>
      <c r="R42" s="1" t="s">
        <v>29</v>
      </c>
      <c r="S42" s="1" t="s">
        <v>34</v>
      </c>
      <c r="T42" s="1" t="s">
        <v>29</v>
      </c>
      <c r="U42" s="1" t="s">
        <v>29</v>
      </c>
      <c r="V42" s="1" t="s">
        <v>34</v>
      </c>
      <c r="W42" s="1" t="s">
        <v>29</v>
      </c>
    </row>
    <row r="43" spans="1:23">
      <c r="A43" s="1">
        <v>1150</v>
      </c>
      <c r="B43" s="1" t="s">
        <v>81</v>
      </c>
      <c r="C43" s="1" t="s">
        <v>24</v>
      </c>
      <c r="D43" s="1" t="s">
        <v>24</v>
      </c>
      <c r="E43" s="1" t="s">
        <v>24</v>
      </c>
      <c r="F43" s="1" t="s">
        <v>24</v>
      </c>
      <c r="G43" s="1" t="s">
        <v>32</v>
      </c>
      <c r="H43" s="1">
        <v>42</v>
      </c>
      <c r="I43" s="1" t="s">
        <v>27</v>
      </c>
      <c r="J43" s="1" t="s">
        <v>28</v>
      </c>
      <c r="K43" s="1">
        <v>24.5</v>
      </c>
      <c r="L43" s="1" t="s">
        <v>34</v>
      </c>
      <c r="M43" s="1" t="s">
        <v>29</v>
      </c>
      <c r="N43" s="1" t="s">
        <v>29</v>
      </c>
      <c r="O43" s="1" t="s">
        <v>29</v>
      </c>
      <c r="P43" s="1"/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1" t="s">
        <v>29</v>
      </c>
    </row>
    <row r="44" spans="1:23">
      <c r="A44" s="1">
        <v>1153</v>
      </c>
      <c r="B44" s="1" t="s">
        <v>82</v>
      </c>
      <c r="C44" s="1" t="s">
        <v>24</v>
      </c>
      <c r="D44" s="1" t="s">
        <v>24</v>
      </c>
      <c r="E44" s="1" t="s">
        <v>24</v>
      </c>
      <c r="F44" s="1" t="s">
        <v>24</v>
      </c>
      <c r="G44" s="1" t="s">
        <v>26</v>
      </c>
      <c r="H44" s="1">
        <v>70</v>
      </c>
      <c r="I44" s="1" t="s">
        <v>27</v>
      </c>
      <c r="J44" s="1" t="s">
        <v>28</v>
      </c>
      <c r="K44" s="1">
        <v>30.2</v>
      </c>
      <c r="L44" s="1" t="s">
        <v>29</v>
      </c>
      <c r="M44" s="1"/>
      <c r="N44" s="1" t="s">
        <v>29</v>
      </c>
      <c r="O44" s="1" t="s">
        <v>29</v>
      </c>
      <c r="P44" s="1"/>
      <c r="Q44" s="1" t="s">
        <v>34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W44" s="1" t="s">
        <v>29</v>
      </c>
    </row>
    <row r="45" spans="1:23">
      <c r="A45" s="1">
        <v>1154</v>
      </c>
      <c r="B45" s="1" t="s">
        <v>83</v>
      </c>
      <c r="C45" s="1" t="s">
        <v>25</v>
      </c>
      <c r="D45" s="1" t="s">
        <v>24</v>
      </c>
      <c r="E45" s="1" t="s">
        <v>24</v>
      </c>
      <c r="F45" s="1" t="s">
        <v>25</v>
      </c>
      <c r="G45" s="1" t="s">
        <v>32</v>
      </c>
      <c r="H45" s="1">
        <v>61</v>
      </c>
      <c r="I45" s="1" t="s">
        <v>27</v>
      </c>
      <c r="J45" s="1" t="s">
        <v>84</v>
      </c>
      <c r="K45" s="1">
        <v>24.5</v>
      </c>
      <c r="L45" s="1" t="s">
        <v>29</v>
      </c>
      <c r="M45" s="1"/>
      <c r="N45" s="1" t="s">
        <v>29</v>
      </c>
      <c r="O45" s="1" t="s">
        <v>29</v>
      </c>
      <c r="P45" s="1"/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</row>
    <row r="46" spans="1:23">
      <c r="A46" s="1">
        <v>1155</v>
      </c>
      <c r="B46" s="1" t="s">
        <v>80</v>
      </c>
      <c r="C46" s="1" t="s">
        <v>25</v>
      </c>
      <c r="D46" s="1" t="s">
        <v>24</v>
      </c>
      <c r="E46" s="1" t="s">
        <v>24</v>
      </c>
      <c r="F46" s="1" t="s">
        <v>24</v>
      </c>
      <c r="G46" s="1" t="s">
        <v>32</v>
      </c>
      <c r="H46" s="1">
        <v>89</v>
      </c>
      <c r="I46" s="1" t="s">
        <v>27</v>
      </c>
      <c r="J46" s="1" t="s">
        <v>28</v>
      </c>
      <c r="K46" s="1">
        <v>22.8</v>
      </c>
      <c r="L46" s="1" t="s">
        <v>29</v>
      </c>
      <c r="M46" s="1"/>
      <c r="N46" s="1" t="s">
        <v>34</v>
      </c>
      <c r="O46" s="1" t="s">
        <v>29</v>
      </c>
      <c r="P46" s="1"/>
      <c r="Q46" s="1" t="s">
        <v>34</v>
      </c>
      <c r="R46" s="1" t="s">
        <v>29</v>
      </c>
      <c r="S46" s="1" t="s">
        <v>34</v>
      </c>
      <c r="T46" s="1" t="s">
        <v>34</v>
      </c>
      <c r="U46" s="1" t="s">
        <v>29</v>
      </c>
      <c r="V46" s="1" t="s">
        <v>29</v>
      </c>
      <c r="W46" s="1" t="s">
        <v>29</v>
      </c>
    </row>
    <row r="47" spans="1:23">
      <c r="A47" s="1">
        <v>1156</v>
      </c>
      <c r="B47" s="1" t="s">
        <v>85</v>
      </c>
      <c r="C47" s="1" t="s">
        <v>25</v>
      </c>
      <c r="D47" s="1" t="s">
        <v>25</v>
      </c>
      <c r="E47" s="1" t="s">
        <v>24</v>
      </c>
      <c r="F47" s="1" t="s">
        <v>24</v>
      </c>
      <c r="G47" s="1" t="s">
        <v>26</v>
      </c>
      <c r="H47" s="1">
        <v>78</v>
      </c>
      <c r="I47" s="1" t="s">
        <v>27</v>
      </c>
      <c r="J47" s="1" t="s">
        <v>28</v>
      </c>
      <c r="K47" s="1">
        <v>26.9</v>
      </c>
      <c r="L47" s="1" t="s">
        <v>29</v>
      </c>
      <c r="M47" s="1"/>
      <c r="N47" s="1" t="s">
        <v>29</v>
      </c>
      <c r="O47" s="1" t="s">
        <v>29</v>
      </c>
      <c r="P47" s="1"/>
      <c r="Q47" s="1" t="s">
        <v>34</v>
      </c>
      <c r="R47" s="1" t="s">
        <v>29</v>
      </c>
      <c r="S47" s="1" t="s">
        <v>34</v>
      </c>
      <c r="T47" s="1" t="s">
        <v>29</v>
      </c>
      <c r="U47" s="1" t="s">
        <v>29</v>
      </c>
      <c r="V47" s="1" t="s">
        <v>29</v>
      </c>
      <c r="W47" s="1" t="s">
        <v>29</v>
      </c>
    </row>
    <row r="48" spans="1:23">
      <c r="A48" s="1">
        <v>1157</v>
      </c>
      <c r="B48" s="1" t="s">
        <v>86</v>
      </c>
      <c r="C48" s="1" t="s">
        <v>24</v>
      </c>
      <c r="D48" s="1" t="s">
        <v>24</v>
      </c>
      <c r="E48" s="1" t="s">
        <v>24</v>
      </c>
      <c r="F48" s="1" t="s">
        <v>24</v>
      </c>
      <c r="G48" s="1" t="s">
        <v>26</v>
      </c>
      <c r="H48" s="1">
        <v>61</v>
      </c>
      <c r="I48" s="1" t="s">
        <v>27</v>
      </c>
      <c r="J48" s="1" t="s">
        <v>28</v>
      </c>
      <c r="K48" s="1">
        <v>26.5</v>
      </c>
      <c r="L48" s="1" t="s">
        <v>29</v>
      </c>
      <c r="M48" s="1"/>
      <c r="N48" s="1" t="s">
        <v>29</v>
      </c>
      <c r="O48" s="1" t="s">
        <v>29</v>
      </c>
      <c r="P48" s="1"/>
      <c r="Q48" s="1" t="s">
        <v>34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</row>
    <row r="49" spans="1:23">
      <c r="A49" s="1">
        <v>1158</v>
      </c>
      <c r="B49" s="1" t="s">
        <v>87</v>
      </c>
      <c r="C49" s="1" t="s">
        <v>25</v>
      </c>
      <c r="D49" s="1" t="s">
        <v>24</v>
      </c>
      <c r="E49" s="1" t="s">
        <v>24</v>
      </c>
      <c r="F49" s="1" t="s">
        <v>24</v>
      </c>
      <c r="G49" s="1" t="s">
        <v>32</v>
      </c>
      <c r="H49" s="1">
        <v>58</v>
      </c>
      <c r="I49" s="1" t="s">
        <v>27</v>
      </c>
      <c r="J49" s="1" t="s">
        <v>28</v>
      </c>
      <c r="K49" s="1">
        <v>32.6</v>
      </c>
      <c r="L49" s="1" t="s">
        <v>29</v>
      </c>
      <c r="M49" s="1"/>
      <c r="N49" s="1" t="s">
        <v>29</v>
      </c>
      <c r="O49" s="1" t="s">
        <v>29</v>
      </c>
      <c r="P49" s="1"/>
      <c r="Q49" s="1" t="s">
        <v>34</v>
      </c>
      <c r="R49" s="1" t="s">
        <v>29</v>
      </c>
      <c r="S49" s="1" t="s">
        <v>34</v>
      </c>
      <c r="T49" s="1" t="s">
        <v>29</v>
      </c>
      <c r="U49" s="1" t="s">
        <v>29</v>
      </c>
      <c r="V49" s="1" t="s">
        <v>34</v>
      </c>
      <c r="W49" s="1" t="s">
        <v>29</v>
      </c>
    </row>
    <row r="50" spans="1:23">
      <c r="A50" s="1">
        <v>1159</v>
      </c>
      <c r="B50" s="1" t="s">
        <v>88</v>
      </c>
      <c r="C50" s="1" t="s">
        <v>25</v>
      </c>
      <c r="D50" s="1" t="s">
        <v>24</v>
      </c>
      <c r="E50" s="1" t="s">
        <v>24</v>
      </c>
      <c r="F50" s="1" t="s">
        <v>24</v>
      </c>
      <c r="G50" s="1" t="s">
        <v>26</v>
      </c>
      <c r="H50" s="1">
        <v>62</v>
      </c>
      <c r="I50" s="1" t="s">
        <v>27</v>
      </c>
      <c r="J50" s="1" t="s">
        <v>28</v>
      </c>
      <c r="K50" s="1">
        <v>26.4</v>
      </c>
      <c r="L50" s="1" t="s">
        <v>34</v>
      </c>
      <c r="M50" s="1" t="s">
        <v>29</v>
      </c>
      <c r="N50" s="1" t="s">
        <v>29</v>
      </c>
      <c r="O50" s="1" t="s">
        <v>29</v>
      </c>
      <c r="P50" s="1"/>
      <c r="Q50" s="1" t="s">
        <v>34</v>
      </c>
      <c r="R50" s="1" t="s">
        <v>29</v>
      </c>
      <c r="S50" s="1" t="s">
        <v>34</v>
      </c>
      <c r="T50" s="1" t="s">
        <v>29</v>
      </c>
      <c r="U50" s="1" t="s">
        <v>29</v>
      </c>
      <c r="V50" s="1" t="s">
        <v>29</v>
      </c>
      <c r="W50" s="1" t="s">
        <v>29</v>
      </c>
    </row>
    <row r="51" spans="1:23">
      <c r="A51" s="1">
        <v>1160</v>
      </c>
      <c r="B51" s="1" t="s">
        <v>89</v>
      </c>
      <c r="C51" s="1" t="s">
        <v>24</v>
      </c>
      <c r="D51" s="1" t="s">
        <v>24</v>
      </c>
      <c r="E51" s="1" t="s">
        <v>24</v>
      </c>
      <c r="F51" s="1" t="s">
        <v>24</v>
      </c>
      <c r="G51" s="1" t="s">
        <v>32</v>
      </c>
      <c r="H51" s="1">
        <v>65</v>
      </c>
      <c r="I51" s="1" t="s">
        <v>27</v>
      </c>
      <c r="J51" s="1" t="s">
        <v>28</v>
      </c>
      <c r="K51" s="1">
        <v>24.5</v>
      </c>
      <c r="L51" s="1" t="s">
        <v>29</v>
      </c>
      <c r="M51" s="1"/>
      <c r="N51" s="1" t="s">
        <v>29</v>
      </c>
      <c r="O51" s="1" t="s">
        <v>34</v>
      </c>
      <c r="P51" s="1" t="s">
        <v>90</v>
      </c>
      <c r="Q51" s="1" t="s">
        <v>29</v>
      </c>
      <c r="R51" s="1" t="s">
        <v>29</v>
      </c>
      <c r="S51" s="1" t="s">
        <v>34</v>
      </c>
      <c r="T51" s="1" t="s">
        <v>29</v>
      </c>
      <c r="U51" s="1" t="s">
        <v>29</v>
      </c>
      <c r="V51" s="1" t="s">
        <v>29</v>
      </c>
      <c r="W51" s="1" t="s">
        <v>29</v>
      </c>
    </row>
    <row r="52" spans="1:23">
      <c r="A52" s="1">
        <v>1162</v>
      </c>
      <c r="B52" s="1" t="s">
        <v>91</v>
      </c>
      <c r="C52" s="1" t="s">
        <v>25</v>
      </c>
      <c r="D52" s="1" t="s">
        <v>24</v>
      </c>
      <c r="E52" s="1" t="s">
        <v>24</v>
      </c>
      <c r="F52" s="1" t="s">
        <v>24</v>
      </c>
      <c r="G52" s="1" t="s">
        <v>32</v>
      </c>
      <c r="H52" s="1">
        <v>53</v>
      </c>
      <c r="I52" s="1" t="s">
        <v>27</v>
      </c>
      <c r="J52" s="1" t="s">
        <v>28</v>
      </c>
      <c r="K52" s="1">
        <v>30.1</v>
      </c>
      <c r="L52" s="1" t="s">
        <v>29</v>
      </c>
      <c r="M52" s="1"/>
      <c r="N52" s="1" t="s">
        <v>29</v>
      </c>
      <c r="O52" s="1" t="s">
        <v>29</v>
      </c>
      <c r="P52" s="1"/>
      <c r="Q52" s="1" t="s">
        <v>34</v>
      </c>
      <c r="R52" s="1" t="s">
        <v>29</v>
      </c>
      <c r="S52" s="1" t="s">
        <v>34</v>
      </c>
      <c r="T52" s="1" t="s">
        <v>29</v>
      </c>
      <c r="U52" s="1" t="s">
        <v>29</v>
      </c>
      <c r="V52" s="1" t="s">
        <v>29</v>
      </c>
      <c r="W52" s="1" t="s">
        <v>29</v>
      </c>
    </row>
    <row r="53" spans="1:23">
      <c r="A53" s="1">
        <v>1164</v>
      </c>
      <c r="B53" s="1" t="s">
        <v>92</v>
      </c>
      <c r="C53" s="1" t="s">
        <v>24</v>
      </c>
      <c r="D53" s="1" t="s">
        <v>25</v>
      </c>
      <c r="E53" s="1" t="s">
        <v>24</v>
      </c>
      <c r="F53" s="1" t="s">
        <v>24</v>
      </c>
      <c r="G53" s="1" t="s">
        <v>26</v>
      </c>
      <c r="H53" s="1">
        <v>65</v>
      </c>
      <c r="I53" s="1" t="s">
        <v>27</v>
      </c>
      <c r="J53" s="1" t="s">
        <v>28</v>
      </c>
      <c r="K53" s="1">
        <v>29.3</v>
      </c>
      <c r="L53" s="1" t="s">
        <v>34</v>
      </c>
      <c r="M53" s="1" t="s">
        <v>29</v>
      </c>
      <c r="N53" s="1" t="s">
        <v>29</v>
      </c>
      <c r="O53" s="1" t="s">
        <v>29</v>
      </c>
      <c r="P53" s="1"/>
      <c r="Q53" s="1" t="s">
        <v>29</v>
      </c>
      <c r="R53" s="1" t="s">
        <v>29</v>
      </c>
      <c r="S53" s="1" t="s">
        <v>34</v>
      </c>
      <c r="T53" s="1" t="s">
        <v>29</v>
      </c>
      <c r="U53" s="1" t="s">
        <v>29</v>
      </c>
      <c r="V53" s="1" t="s">
        <v>29</v>
      </c>
      <c r="W53" s="1" t="s">
        <v>29</v>
      </c>
    </row>
    <row r="54" spans="1:23">
      <c r="A54" s="1">
        <v>1165</v>
      </c>
      <c r="B54" s="1" t="s">
        <v>93</v>
      </c>
      <c r="C54" s="1" t="s">
        <v>24</v>
      </c>
      <c r="D54" s="1" t="s">
        <v>24</v>
      </c>
      <c r="E54" s="1" t="s">
        <v>24</v>
      </c>
      <c r="F54" s="1" t="s">
        <v>24</v>
      </c>
      <c r="G54" s="1" t="s">
        <v>32</v>
      </c>
      <c r="H54" s="1">
        <v>66</v>
      </c>
      <c r="I54" s="1" t="s">
        <v>27</v>
      </c>
      <c r="J54" s="1" t="s">
        <v>28</v>
      </c>
      <c r="K54" s="1">
        <v>28.9</v>
      </c>
      <c r="L54" s="1" t="s">
        <v>29</v>
      </c>
      <c r="M54" s="1"/>
      <c r="N54" s="1" t="s">
        <v>29</v>
      </c>
      <c r="O54" s="1" t="s">
        <v>29</v>
      </c>
      <c r="P54" s="1"/>
      <c r="Q54" s="1" t="s">
        <v>34</v>
      </c>
      <c r="R54" s="1" t="s">
        <v>29</v>
      </c>
      <c r="S54" s="1" t="s">
        <v>29</v>
      </c>
      <c r="T54" s="1" t="s">
        <v>29</v>
      </c>
      <c r="U54" s="1" t="s">
        <v>29</v>
      </c>
      <c r="V54" s="1" t="s">
        <v>29</v>
      </c>
      <c r="W54" s="1" t="s">
        <v>29</v>
      </c>
    </row>
    <row r="55" spans="1:23">
      <c r="A55" s="1">
        <v>1166</v>
      </c>
      <c r="B55" s="1" t="s">
        <v>94</v>
      </c>
      <c r="C55" s="1" t="s">
        <v>24</v>
      </c>
      <c r="D55" s="1" t="s">
        <v>25</v>
      </c>
      <c r="E55" s="1" t="s">
        <v>24</v>
      </c>
      <c r="F55" s="1" t="s">
        <v>24</v>
      </c>
      <c r="G55" s="1" t="s">
        <v>26</v>
      </c>
      <c r="H55" s="1">
        <v>66</v>
      </c>
      <c r="I55" s="1" t="s">
        <v>27</v>
      </c>
      <c r="J55" s="1" t="s">
        <v>28</v>
      </c>
      <c r="K55" s="1">
        <v>31.1</v>
      </c>
      <c r="L55" s="1" t="s">
        <v>34</v>
      </c>
      <c r="M55" s="1" t="s">
        <v>29</v>
      </c>
      <c r="N55" s="1" t="s">
        <v>29</v>
      </c>
      <c r="O55" s="1" t="s">
        <v>29</v>
      </c>
      <c r="P55" s="1"/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34</v>
      </c>
      <c r="W55" s="1" t="s">
        <v>29</v>
      </c>
    </row>
    <row r="56" spans="1:23">
      <c r="A56" s="1">
        <v>1168</v>
      </c>
      <c r="B56" s="1" t="s">
        <v>80</v>
      </c>
      <c r="C56" s="1" t="s">
        <v>25</v>
      </c>
      <c r="D56" s="1" t="s">
        <v>24</v>
      </c>
      <c r="E56" s="1" t="s">
        <v>24</v>
      </c>
      <c r="F56" s="1" t="s">
        <v>24</v>
      </c>
      <c r="G56" s="1" t="s">
        <v>32</v>
      </c>
      <c r="H56" s="1">
        <v>76</v>
      </c>
      <c r="I56" s="1" t="s">
        <v>49</v>
      </c>
      <c r="J56" s="1" t="s">
        <v>37</v>
      </c>
      <c r="K56" s="1">
        <v>24.1</v>
      </c>
      <c r="L56" s="1" t="s">
        <v>29</v>
      </c>
      <c r="M56" s="1"/>
      <c r="N56" s="1" t="s">
        <v>34</v>
      </c>
      <c r="O56" s="1" t="s">
        <v>34</v>
      </c>
      <c r="P56" s="1" t="s">
        <v>95</v>
      </c>
      <c r="Q56" s="1" t="s">
        <v>34</v>
      </c>
      <c r="R56" s="1" t="s">
        <v>29</v>
      </c>
      <c r="S56" s="1" t="s">
        <v>34</v>
      </c>
      <c r="T56" s="1" t="s">
        <v>29</v>
      </c>
      <c r="U56" s="1" t="s">
        <v>29</v>
      </c>
      <c r="V56" s="1" t="s">
        <v>29</v>
      </c>
      <c r="W56" s="1" t="s">
        <v>29</v>
      </c>
    </row>
    <row r="57" spans="1:23">
      <c r="A57" s="1">
        <v>1169</v>
      </c>
      <c r="B57" s="1" t="s">
        <v>80</v>
      </c>
      <c r="C57" s="1" t="s">
        <v>25</v>
      </c>
      <c r="D57" s="1" t="s">
        <v>24</v>
      </c>
      <c r="E57" s="1" t="s">
        <v>24</v>
      </c>
      <c r="F57" s="1" t="s">
        <v>24</v>
      </c>
      <c r="G57" s="1" t="s">
        <v>26</v>
      </c>
      <c r="H57" s="1">
        <v>58</v>
      </c>
      <c r="I57" s="1" t="s">
        <v>27</v>
      </c>
      <c r="J57" s="1" t="s">
        <v>84</v>
      </c>
      <c r="K57" s="1">
        <v>47</v>
      </c>
      <c r="L57" s="1" t="s">
        <v>29</v>
      </c>
      <c r="M57" s="1"/>
      <c r="N57" s="1" t="s">
        <v>34</v>
      </c>
      <c r="O57" s="1" t="s">
        <v>29</v>
      </c>
      <c r="P57" s="1"/>
      <c r="Q57" s="1" t="s">
        <v>34</v>
      </c>
      <c r="R57" s="1" t="s">
        <v>29</v>
      </c>
      <c r="S57" s="1" t="s">
        <v>34</v>
      </c>
      <c r="T57" s="1" t="s">
        <v>29</v>
      </c>
      <c r="U57" s="1" t="s">
        <v>29</v>
      </c>
      <c r="V57" s="1" t="s">
        <v>29</v>
      </c>
      <c r="W57" s="1" t="s">
        <v>29</v>
      </c>
    </row>
    <row r="58" spans="1:23">
      <c r="A58" s="1">
        <v>1172</v>
      </c>
      <c r="B58" s="1" t="s">
        <v>96</v>
      </c>
      <c r="C58" s="1" t="s">
        <v>24</v>
      </c>
      <c r="D58" s="1" t="s">
        <v>25</v>
      </c>
      <c r="E58" s="1" t="s">
        <v>24</v>
      </c>
      <c r="F58" s="1" t="s">
        <v>24</v>
      </c>
      <c r="G58" s="1" t="s">
        <v>32</v>
      </c>
      <c r="H58" s="1">
        <v>75</v>
      </c>
      <c r="I58" s="1" t="s">
        <v>27</v>
      </c>
      <c r="J58" s="1" t="s">
        <v>28</v>
      </c>
      <c r="K58" s="1">
        <v>20.2</v>
      </c>
      <c r="L58" s="1" t="s">
        <v>29</v>
      </c>
      <c r="M58" s="1"/>
      <c r="N58" s="1" t="s">
        <v>29</v>
      </c>
      <c r="O58" s="1" t="s">
        <v>29</v>
      </c>
      <c r="P58" s="1"/>
      <c r="Q58" s="1" t="s">
        <v>34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29</v>
      </c>
      <c r="W58" s="1" t="s">
        <v>29</v>
      </c>
    </row>
    <row r="59" spans="1:23">
      <c r="A59" s="1">
        <v>1178</v>
      </c>
      <c r="B59" s="1" t="s">
        <v>97</v>
      </c>
      <c r="C59" s="1" t="s">
        <v>24</v>
      </c>
      <c r="D59" s="1" t="s">
        <v>24</v>
      </c>
      <c r="E59" s="1" t="s">
        <v>24</v>
      </c>
      <c r="F59" s="1" t="s">
        <v>24</v>
      </c>
      <c r="G59" s="1" t="s">
        <v>32</v>
      </c>
      <c r="H59" s="1">
        <v>61</v>
      </c>
      <c r="I59" s="1" t="s">
        <v>27</v>
      </c>
      <c r="J59" s="1" t="s">
        <v>28</v>
      </c>
      <c r="K59" s="1">
        <v>31</v>
      </c>
      <c r="L59" s="1" t="s">
        <v>34</v>
      </c>
      <c r="M59" s="1" t="s">
        <v>29</v>
      </c>
      <c r="N59" s="1" t="s">
        <v>29</v>
      </c>
      <c r="O59" s="1" t="s">
        <v>29</v>
      </c>
      <c r="P59" s="1"/>
      <c r="Q59" s="1" t="s">
        <v>34</v>
      </c>
      <c r="R59" s="1" t="s">
        <v>29</v>
      </c>
      <c r="S59" s="1" t="s">
        <v>34</v>
      </c>
      <c r="T59" s="1" t="s">
        <v>29</v>
      </c>
      <c r="U59" s="1" t="s">
        <v>29</v>
      </c>
      <c r="V59" s="1" t="s">
        <v>29</v>
      </c>
      <c r="W59" s="1" t="s">
        <v>29</v>
      </c>
    </row>
    <row r="60" spans="1:23">
      <c r="A60" s="1">
        <v>1181</v>
      </c>
      <c r="B60" s="1" t="s">
        <v>98</v>
      </c>
      <c r="C60" s="1" t="s">
        <v>24</v>
      </c>
      <c r="D60" s="1" t="s">
        <v>24</v>
      </c>
      <c r="E60" s="1" t="s">
        <v>24</v>
      </c>
      <c r="F60" s="1" t="s">
        <v>25</v>
      </c>
      <c r="G60" s="1" t="s">
        <v>32</v>
      </c>
      <c r="H60" s="1">
        <v>72</v>
      </c>
      <c r="I60" s="1" t="s">
        <v>27</v>
      </c>
      <c r="J60" s="1" t="s">
        <v>28</v>
      </c>
      <c r="K60" s="1">
        <v>26.3</v>
      </c>
      <c r="L60" s="1" t="s">
        <v>29</v>
      </c>
      <c r="M60" s="1"/>
      <c r="N60" s="1" t="s">
        <v>29</v>
      </c>
      <c r="O60" s="1" t="s">
        <v>29</v>
      </c>
      <c r="P60" s="1"/>
      <c r="Q60" s="1" t="s">
        <v>34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W60" s="1" t="s">
        <v>29</v>
      </c>
    </row>
    <row r="61" spans="1:23">
      <c r="A61" s="1">
        <v>1186</v>
      </c>
      <c r="B61" s="1" t="s">
        <v>99</v>
      </c>
      <c r="C61" s="1" t="s">
        <v>24</v>
      </c>
      <c r="D61" s="1" t="s">
        <v>25</v>
      </c>
      <c r="E61" s="1" t="s">
        <v>24</v>
      </c>
      <c r="F61" s="1" t="s">
        <v>24</v>
      </c>
      <c r="G61" s="1" t="s">
        <v>32</v>
      </c>
      <c r="H61" s="1">
        <v>42</v>
      </c>
      <c r="I61" s="1" t="s">
        <v>27</v>
      </c>
      <c r="J61" s="1" t="s">
        <v>76</v>
      </c>
      <c r="K61" s="1">
        <v>22.3</v>
      </c>
      <c r="L61" s="1" t="s">
        <v>29</v>
      </c>
      <c r="M61" s="1"/>
      <c r="N61" s="1" t="s">
        <v>29</v>
      </c>
      <c r="O61" s="1" t="s">
        <v>29</v>
      </c>
      <c r="P61" s="1"/>
      <c r="Q61" s="1" t="s">
        <v>34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29</v>
      </c>
      <c r="W61" s="1" t="s">
        <v>29</v>
      </c>
    </row>
    <row r="62" spans="1:23">
      <c r="A62" s="1">
        <v>1204</v>
      </c>
      <c r="B62" s="1" t="s">
        <v>100</v>
      </c>
      <c r="C62" s="1" t="s">
        <v>24</v>
      </c>
      <c r="D62" s="1" t="s">
        <v>24</v>
      </c>
      <c r="E62" s="1" t="s">
        <v>24</v>
      </c>
      <c r="F62" s="1" t="s">
        <v>24</v>
      </c>
      <c r="G62" s="1" t="s">
        <v>26</v>
      </c>
      <c r="H62" s="1">
        <v>74</v>
      </c>
      <c r="I62" s="1" t="s">
        <v>27</v>
      </c>
      <c r="J62" s="1" t="s">
        <v>84</v>
      </c>
      <c r="K62" s="1">
        <v>21.4</v>
      </c>
      <c r="L62" s="1" t="s">
        <v>29</v>
      </c>
      <c r="M62" s="1"/>
      <c r="N62" s="1" t="s">
        <v>29</v>
      </c>
      <c r="O62" s="1" t="s">
        <v>29</v>
      </c>
      <c r="P62" s="1"/>
      <c r="Q62" s="1" t="s">
        <v>34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29</v>
      </c>
      <c r="W62" s="1" t="s">
        <v>29</v>
      </c>
    </row>
    <row r="63" spans="1:23">
      <c r="A63" s="1">
        <v>1205</v>
      </c>
      <c r="B63" s="1" t="s">
        <v>77</v>
      </c>
      <c r="C63" s="1" t="s">
        <v>25</v>
      </c>
      <c r="D63" s="1" t="s">
        <v>24</v>
      </c>
      <c r="E63" s="1" t="s">
        <v>24</v>
      </c>
      <c r="F63" s="1" t="s">
        <v>24</v>
      </c>
      <c r="G63" s="1" t="s">
        <v>26</v>
      </c>
      <c r="H63" s="1">
        <v>64</v>
      </c>
      <c r="I63" s="1" t="s">
        <v>27</v>
      </c>
      <c r="J63" s="1" t="s">
        <v>28</v>
      </c>
      <c r="K63" s="1">
        <v>37.1</v>
      </c>
      <c r="L63" s="1" t="s">
        <v>29</v>
      </c>
      <c r="M63" s="1"/>
      <c r="N63" s="1" t="s">
        <v>34</v>
      </c>
      <c r="O63" s="1" t="s">
        <v>29</v>
      </c>
      <c r="P63" s="1"/>
      <c r="Q63" s="1" t="s">
        <v>34</v>
      </c>
      <c r="R63" s="1" t="s">
        <v>29</v>
      </c>
      <c r="S63" s="1" t="s">
        <v>34</v>
      </c>
      <c r="T63" s="1" t="s">
        <v>29</v>
      </c>
      <c r="U63" s="1" t="s">
        <v>29</v>
      </c>
      <c r="V63" s="1" t="s">
        <v>29</v>
      </c>
      <c r="W63" s="1" t="s">
        <v>29</v>
      </c>
    </row>
    <row r="64" spans="1:23">
      <c r="A64" s="1">
        <v>1207</v>
      </c>
      <c r="B64" s="1" t="s">
        <v>101</v>
      </c>
      <c r="C64" s="1" t="s">
        <v>24</v>
      </c>
      <c r="D64" s="1" t="s">
        <v>25</v>
      </c>
      <c r="E64" s="1" t="s">
        <v>24</v>
      </c>
      <c r="F64" s="1" t="s">
        <v>24</v>
      </c>
      <c r="G64" s="1" t="s">
        <v>26</v>
      </c>
      <c r="H64" s="1">
        <v>69</v>
      </c>
      <c r="I64" s="1" t="s">
        <v>27</v>
      </c>
      <c r="J64" s="1" t="s">
        <v>84</v>
      </c>
      <c r="K64" s="1">
        <v>27</v>
      </c>
      <c r="L64" s="1" t="s">
        <v>34</v>
      </c>
      <c r="M64" s="1" t="s">
        <v>29</v>
      </c>
      <c r="N64" s="1" t="s">
        <v>29</v>
      </c>
      <c r="O64" s="1" t="s">
        <v>29</v>
      </c>
      <c r="P64" s="1"/>
      <c r="Q64" s="1" t="s">
        <v>34</v>
      </c>
      <c r="R64" s="1" t="s">
        <v>29</v>
      </c>
      <c r="S64" s="1" t="s">
        <v>34</v>
      </c>
      <c r="T64" s="1" t="s">
        <v>29</v>
      </c>
      <c r="U64" s="1" t="s">
        <v>29</v>
      </c>
      <c r="V64" s="1" t="s">
        <v>29</v>
      </c>
      <c r="W64" s="1" t="s">
        <v>29</v>
      </c>
    </row>
    <row r="65" spans="1:23">
      <c r="A65" s="1">
        <v>1210</v>
      </c>
      <c r="B65" s="1" t="s">
        <v>80</v>
      </c>
      <c r="C65" s="1" t="s">
        <v>25</v>
      </c>
      <c r="D65" s="1" t="s">
        <v>24</v>
      </c>
      <c r="E65" s="1" t="s">
        <v>24</v>
      </c>
      <c r="F65" s="1" t="s">
        <v>24</v>
      </c>
      <c r="G65" s="1" t="s">
        <v>32</v>
      </c>
      <c r="H65" s="1">
        <v>59</v>
      </c>
      <c r="I65" s="1" t="s">
        <v>27</v>
      </c>
      <c r="J65" s="1" t="s">
        <v>28</v>
      </c>
      <c r="K65" s="1">
        <v>27.5</v>
      </c>
      <c r="L65" s="1" t="s">
        <v>29</v>
      </c>
      <c r="M65" s="1"/>
      <c r="N65" s="1" t="s">
        <v>29</v>
      </c>
      <c r="O65" s="1" t="s">
        <v>29</v>
      </c>
      <c r="P65" s="1"/>
      <c r="Q65" s="1" t="s">
        <v>34</v>
      </c>
      <c r="R65" s="1" t="s">
        <v>29</v>
      </c>
      <c r="S65" s="1" t="s">
        <v>34</v>
      </c>
      <c r="T65" s="1" t="s">
        <v>29</v>
      </c>
      <c r="U65" s="1" t="s">
        <v>29</v>
      </c>
      <c r="V65" s="1" t="s">
        <v>29</v>
      </c>
      <c r="W65" s="1" t="s">
        <v>29</v>
      </c>
    </row>
    <row r="66" spans="1:23">
      <c r="A66" s="1">
        <v>1226</v>
      </c>
      <c r="B66" s="1" t="s">
        <v>102</v>
      </c>
      <c r="C66" s="1" t="s">
        <v>25</v>
      </c>
      <c r="D66" s="1" t="s">
        <v>24</v>
      </c>
      <c r="E66" s="1" t="s">
        <v>24</v>
      </c>
      <c r="F66" s="1" t="s">
        <v>24</v>
      </c>
      <c r="G66" s="1" t="s">
        <v>32</v>
      </c>
      <c r="H66" s="1">
        <v>58</v>
      </c>
      <c r="I66" s="1" t="s">
        <v>27</v>
      </c>
      <c r="J66" s="1" t="s">
        <v>84</v>
      </c>
      <c r="K66" s="1">
        <v>24.5</v>
      </c>
      <c r="L66" s="1" t="s">
        <v>29</v>
      </c>
      <c r="M66" s="1"/>
      <c r="N66" s="1" t="s">
        <v>29</v>
      </c>
      <c r="O66" s="1" t="s">
        <v>29</v>
      </c>
      <c r="P66" s="1"/>
      <c r="Q66" s="1" t="s">
        <v>34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29</v>
      </c>
      <c r="W66" s="1" t="s">
        <v>34</v>
      </c>
    </row>
    <row r="67" spans="1:23">
      <c r="A67" s="1">
        <v>1227</v>
      </c>
      <c r="B67" s="1" t="s">
        <v>103</v>
      </c>
      <c r="C67" s="1" t="s">
        <v>24</v>
      </c>
      <c r="D67" s="1" t="s">
        <v>25</v>
      </c>
      <c r="E67" s="1" t="s">
        <v>24</v>
      </c>
      <c r="F67" s="1" t="s">
        <v>24</v>
      </c>
      <c r="G67" s="1" t="s">
        <v>26</v>
      </c>
      <c r="H67" s="1">
        <v>53</v>
      </c>
      <c r="I67" s="1" t="s">
        <v>27</v>
      </c>
      <c r="J67" s="1" t="s">
        <v>28</v>
      </c>
      <c r="K67" s="1">
        <v>40.299999999999997</v>
      </c>
      <c r="L67" s="1" t="s">
        <v>29</v>
      </c>
      <c r="M67" s="1"/>
      <c r="N67" s="1" t="s">
        <v>29</v>
      </c>
      <c r="O67" s="1" t="s">
        <v>29</v>
      </c>
      <c r="P67" s="1"/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29</v>
      </c>
      <c r="W67" s="1" t="s">
        <v>29</v>
      </c>
    </row>
    <row r="68" spans="1:23">
      <c r="A68" s="1">
        <v>1235</v>
      </c>
      <c r="B68" s="1" t="s">
        <v>104</v>
      </c>
      <c r="C68" s="1" t="s">
        <v>24</v>
      </c>
      <c r="D68" s="1" t="s">
        <v>25</v>
      </c>
      <c r="E68" s="1" t="s">
        <v>24</v>
      </c>
      <c r="F68" s="1" t="s">
        <v>24</v>
      </c>
      <c r="G68" s="1" t="s">
        <v>32</v>
      </c>
      <c r="H68" s="1">
        <v>25</v>
      </c>
      <c r="I68" s="1" t="s">
        <v>27</v>
      </c>
      <c r="J68" s="1" t="s">
        <v>76</v>
      </c>
      <c r="K68" s="1">
        <v>19</v>
      </c>
      <c r="L68" s="1" t="s">
        <v>29</v>
      </c>
      <c r="M68" s="1"/>
      <c r="N68" s="1" t="s">
        <v>29</v>
      </c>
      <c r="O68" s="1" t="s">
        <v>29</v>
      </c>
      <c r="P68" s="1"/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29</v>
      </c>
      <c r="W68" s="1" t="s">
        <v>29</v>
      </c>
    </row>
    <row r="69" spans="1:23">
      <c r="A69" s="1">
        <v>1245</v>
      </c>
      <c r="B69" s="1" t="s">
        <v>105</v>
      </c>
      <c r="C69" s="1" t="s">
        <v>25</v>
      </c>
      <c r="D69" s="1" t="s">
        <v>24</v>
      </c>
      <c r="E69" s="1" t="s">
        <v>24</v>
      </c>
      <c r="F69" s="1" t="s">
        <v>24</v>
      </c>
      <c r="G69" s="1" t="s">
        <v>26</v>
      </c>
      <c r="H69" s="1">
        <v>47</v>
      </c>
      <c r="I69" s="1" t="s">
        <v>27</v>
      </c>
      <c r="J69" s="1" t="s">
        <v>28</v>
      </c>
      <c r="K69" s="1">
        <v>32.799999999999997</v>
      </c>
      <c r="L69" s="1" t="s">
        <v>29</v>
      </c>
      <c r="M69" s="1"/>
      <c r="N69" s="1" t="s">
        <v>29</v>
      </c>
      <c r="O69" s="1" t="s">
        <v>29</v>
      </c>
      <c r="P69" s="1"/>
      <c r="Q69" s="1" t="s">
        <v>34</v>
      </c>
      <c r="R69" s="1" t="s">
        <v>29</v>
      </c>
      <c r="S69" s="1" t="s">
        <v>34</v>
      </c>
      <c r="T69" s="1" t="s">
        <v>29</v>
      </c>
      <c r="U69" s="1" t="s">
        <v>29</v>
      </c>
      <c r="V69" s="1" t="s">
        <v>29</v>
      </c>
      <c r="W69" s="1" t="s">
        <v>29</v>
      </c>
    </row>
    <row r="70" spans="1:23">
      <c r="A70" s="1">
        <v>1258</v>
      </c>
      <c r="B70" s="1" t="s">
        <v>80</v>
      </c>
      <c r="C70" s="1" t="s">
        <v>25</v>
      </c>
      <c r="D70" s="1" t="s">
        <v>24</v>
      </c>
      <c r="E70" s="1" t="s">
        <v>24</v>
      </c>
      <c r="F70" s="1" t="s">
        <v>24</v>
      </c>
      <c r="G70" s="1" t="s">
        <v>26</v>
      </c>
      <c r="H70" s="1">
        <v>76</v>
      </c>
      <c r="I70" s="1" t="s">
        <v>27</v>
      </c>
      <c r="J70" s="1" t="s">
        <v>28</v>
      </c>
      <c r="K70" s="1">
        <v>37.799999999999997</v>
      </c>
      <c r="L70" s="1" t="s">
        <v>34</v>
      </c>
      <c r="M70" s="1" t="s">
        <v>29</v>
      </c>
      <c r="N70" s="1" t="s">
        <v>34</v>
      </c>
      <c r="O70" s="1" t="s">
        <v>29</v>
      </c>
      <c r="P70" s="1"/>
      <c r="Q70" s="1" t="s">
        <v>34</v>
      </c>
      <c r="R70" s="1" t="s">
        <v>34</v>
      </c>
      <c r="S70" s="1" t="s">
        <v>34</v>
      </c>
      <c r="T70" s="1" t="s">
        <v>29</v>
      </c>
      <c r="U70" s="1" t="s">
        <v>29</v>
      </c>
      <c r="V70" s="1" t="s">
        <v>29</v>
      </c>
      <c r="W70" s="1" t="s">
        <v>29</v>
      </c>
    </row>
    <row r="71" spans="1:23">
      <c r="A71" s="1">
        <v>1300</v>
      </c>
      <c r="B71" s="1" t="s">
        <v>106</v>
      </c>
      <c r="C71" s="1" t="s">
        <v>25</v>
      </c>
      <c r="D71" s="1" t="s">
        <v>24</v>
      </c>
      <c r="E71" s="1" t="s">
        <v>24</v>
      </c>
      <c r="F71" s="1" t="s">
        <v>24</v>
      </c>
      <c r="G71" s="1" t="s">
        <v>26</v>
      </c>
      <c r="H71" s="1">
        <v>46</v>
      </c>
      <c r="I71" s="1" t="s">
        <v>49</v>
      </c>
      <c r="J71" s="1" t="s">
        <v>28</v>
      </c>
      <c r="K71" s="1">
        <v>24.2</v>
      </c>
      <c r="L71" s="1" t="s">
        <v>34</v>
      </c>
      <c r="M71" s="1" t="s">
        <v>34</v>
      </c>
      <c r="N71" s="1" t="s">
        <v>34</v>
      </c>
      <c r="O71" s="1" t="s">
        <v>29</v>
      </c>
      <c r="P71" s="1"/>
      <c r="Q71" s="1" t="s">
        <v>34</v>
      </c>
      <c r="R71" s="1" t="s">
        <v>29</v>
      </c>
      <c r="S71" s="1" t="s">
        <v>34</v>
      </c>
      <c r="T71" s="1" t="s">
        <v>29</v>
      </c>
      <c r="U71" s="1" t="s">
        <v>29</v>
      </c>
      <c r="V71" s="1" t="s">
        <v>29</v>
      </c>
      <c r="W71" s="1" t="s">
        <v>29</v>
      </c>
    </row>
    <row r="72" spans="1:23">
      <c r="A72" s="1">
        <v>1306</v>
      </c>
      <c r="B72" s="1" t="s">
        <v>107</v>
      </c>
      <c r="C72" s="1" t="s">
        <v>24</v>
      </c>
      <c r="D72" s="1" t="s">
        <v>24</v>
      </c>
      <c r="E72" s="1" t="s">
        <v>24</v>
      </c>
      <c r="F72" s="1" t="s">
        <v>24</v>
      </c>
      <c r="G72" s="1" t="s">
        <v>26</v>
      </c>
      <c r="H72" s="1">
        <v>49</v>
      </c>
      <c r="I72" s="1" t="s">
        <v>27</v>
      </c>
      <c r="J72" s="1" t="s">
        <v>28</v>
      </c>
      <c r="K72" s="1">
        <v>37.700000000000003</v>
      </c>
      <c r="L72" s="1" t="s">
        <v>34</v>
      </c>
      <c r="M72" s="1" t="s">
        <v>34</v>
      </c>
      <c r="N72" s="1" t="s">
        <v>29</v>
      </c>
      <c r="O72" s="1" t="s">
        <v>29</v>
      </c>
      <c r="P72" s="1"/>
      <c r="Q72" s="1" t="s">
        <v>29</v>
      </c>
      <c r="R72" s="1" t="s">
        <v>29</v>
      </c>
      <c r="S72" s="1" t="s">
        <v>34</v>
      </c>
      <c r="T72" s="1" t="s">
        <v>34</v>
      </c>
      <c r="U72" s="1" t="s">
        <v>29</v>
      </c>
      <c r="V72" s="1" t="s">
        <v>29</v>
      </c>
      <c r="W72" s="1" t="s">
        <v>29</v>
      </c>
    </row>
    <row r="73" spans="1:23">
      <c r="A73" s="1">
        <v>1309</v>
      </c>
      <c r="B73" s="1" t="s">
        <v>108</v>
      </c>
      <c r="C73" s="1" t="s">
        <v>24</v>
      </c>
      <c r="D73" s="1" t="s">
        <v>24</v>
      </c>
      <c r="E73" s="1" t="s">
        <v>24</v>
      </c>
      <c r="F73" s="1" t="s">
        <v>24</v>
      </c>
      <c r="G73" s="1" t="s">
        <v>26</v>
      </c>
      <c r="H73" s="1">
        <v>47</v>
      </c>
      <c r="I73" s="1" t="s">
        <v>27</v>
      </c>
      <c r="J73" s="1" t="s">
        <v>76</v>
      </c>
      <c r="K73" s="1">
        <v>26.8</v>
      </c>
      <c r="L73" s="1" t="s">
        <v>29</v>
      </c>
      <c r="M73" s="1"/>
      <c r="N73" s="1" t="s">
        <v>29</v>
      </c>
      <c r="O73" s="1" t="s">
        <v>29</v>
      </c>
      <c r="P73" s="1"/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W73" s="1" t="s">
        <v>29</v>
      </c>
    </row>
    <row r="74" spans="1:23">
      <c r="A74" s="1">
        <v>1315</v>
      </c>
      <c r="B74" s="1" t="s">
        <v>109</v>
      </c>
      <c r="C74" s="1" t="s">
        <v>24</v>
      </c>
      <c r="D74" s="1" t="s">
        <v>25</v>
      </c>
      <c r="E74" s="1" t="s">
        <v>24</v>
      </c>
      <c r="F74" s="1" t="s">
        <v>24</v>
      </c>
      <c r="G74" s="1" t="s">
        <v>32</v>
      </c>
      <c r="H74" s="1">
        <v>46</v>
      </c>
      <c r="I74" s="1" t="s">
        <v>27</v>
      </c>
      <c r="J74" s="1" t="s">
        <v>28</v>
      </c>
      <c r="K74" s="1">
        <v>25.8</v>
      </c>
      <c r="L74" s="1" t="s">
        <v>34</v>
      </c>
      <c r="M74" s="1" t="s">
        <v>34</v>
      </c>
      <c r="N74" s="1" t="s">
        <v>29</v>
      </c>
      <c r="O74" s="1" t="s">
        <v>29</v>
      </c>
      <c r="P74" s="1"/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1" t="s">
        <v>29</v>
      </c>
      <c r="W74" s="1" t="s">
        <v>29</v>
      </c>
    </row>
    <row r="75" spans="1:23">
      <c r="A75" s="1">
        <v>1321</v>
      </c>
      <c r="B75" s="1" t="s">
        <v>110</v>
      </c>
      <c r="C75" s="1" t="s">
        <v>24</v>
      </c>
      <c r="D75" s="1" t="s">
        <v>25</v>
      </c>
      <c r="E75" s="1" t="s">
        <v>24</v>
      </c>
      <c r="F75" s="1" t="s">
        <v>24</v>
      </c>
      <c r="G75" s="1" t="s">
        <v>32</v>
      </c>
      <c r="H75" s="1">
        <v>45</v>
      </c>
      <c r="I75" s="1" t="s">
        <v>27</v>
      </c>
      <c r="J75" s="1" t="s">
        <v>28</v>
      </c>
      <c r="K75" s="1">
        <v>37.5</v>
      </c>
      <c r="L75" s="1" t="s">
        <v>34</v>
      </c>
      <c r="M75" s="1" t="s">
        <v>29</v>
      </c>
      <c r="N75" s="1" t="s">
        <v>29</v>
      </c>
      <c r="O75" s="1" t="s">
        <v>29</v>
      </c>
      <c r="P75" s="1"/>
      <c r="Q75" s="1" t="s">
        <v>34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W75" s="1" t="s">
        <v>29</v>
      </c>
    </row>
    <row r="76" spans="1:23">
      <c r="A76" s="1">
        <v>1337</v>
      </c>
      <c r="B76" s="1" t="s">
        <v>111</v>
      </c>
      <c r="C76" s="1" t="s">
        <v>25</v>
      </c>
      <c r="D76" s="1" t="s">
        <v>24</v>
      </c>
      <c r="E76" s="1" t="s">
        <v>24</v>
      </c>
      <c r="F76" s="1" t="s">
        <v>24</v>
      </c>
      <c r="G76" s="1" t="s">
        <v>26</v>
      </c>
      <c r="H76" s="1">
        <v>34</v>
      </c>
      <c r="I76" s="1" t="s">
        <v>27</v>
      </c>
      <c r="J76" s="1" t="s">
        <v>28</v>
      </c>
      <c r="K76" s="1">
        <v>41.8</v>
      </c>
      <c r="L76" s="1" t="s">
        <v>29</v>
      </c>
      <c r="M76" s="1"/>
      <c r="N76" s="1" t="s">
        <v>34</v>
      </c>
      <c r="O76" s="1" t="s">
        <v>29</v>
      </c>
      <c r="P76" s="1"/>
      <c r="Q76" s="1" t="s">
        <v>34</v>
      </c>
      <c r="R76" s="1" t="s">
        <v>29</v>
      </c>
      <c r="S76" s="1" t="s">
        <v>29</v>
      </c>
      <c r="T76" s="1" t="s">
        <v>29</v>
      </c>
      <c r="U76" s="1" t="s">
        <v>29</v>
      </c>
      <c r="V76" s="1" t="s">
        <v>29</v>
      </c>
      <c r="W76" s="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08DC-D076-5941-96DE-06042B903315}">
  <dimension ref="A1:BA76"/>
  <sheetViews>
    <sheetView tabSelected="1" workbookViewId="0">
      <selection sqref="A1:XFD1"/>
    </sheetView>
  </sheetViews>
  <sheetFormatPr defaultColWidth="11" defaultRowHeight="15.95"/>
  <sheetData>
    <row r="1" spans="1:53" ht="288.95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  <c r="AH1" s="2" t="s">
        <v>145</v>
      </c>
      <c r="AI1" s="2" t="s">
        <v>146</v>
      </c>
      <c r="AJ1" s="2" t="s">
        <v>147</v>
      </c>
      <c r="AK1" s="2" t="s">
        <v>148</v>
      </c>
      <c r="AL1" s="2" t="s">
        <v>149</v>
      </c>
      <c r="AM1" s="2" t="s">
        <v>150</v>
      </c>
      <c r="AN1" s="2" t="s">
        <v>151</v>
      </c>
      <c r="AO1" s="2" t="s">
        <v>152</v>
      </c>
      <c r="AP1" s="2" t="s">
        <v>153</v>
      </c>
      <c r="AQ1" s="2" t="s">
        <v>154</v>
      </c>
      <c r="AR1" s="2" t="s">
        <v>155</v>
      </c>
      <c r="AS1" s="2" t="s">
        <v>156</v>
      </c>
      <c r="AT1" s="2" t="s">
        <v>157</v>
      </c>
      <c r="AU1" s="2" t="s">
        <v>158</v>
      </c>
      <c r="AV1" s="2" t="s">
        <v>159</v>
      </c>
      <c r="AW1" s="2" t="s">
        <v>160</v>
      </c>
      <c r="AX1" s="2" t="s">
        <v>161</v>
      </c>
      <c r="AY1" s="2" t="s">
        <v>162</v>
      </c>
      <c r="AZ1" s="2" t="s">
        <v>163</v>
      </c>
      <c r="BA1" s="2" t="s">
        <v>164</v>
      </c>
    </row>
    <row r="2" spans="1:53">
      <c r="A2" t="s">
        <v>165</v>
      </c>
      <c r="B2">
        <v>277764</v>
      </c>
      <c r="C2">
        <v>265500</v>
      </c>
      <c r="D2">
        <v>262632</v>
      </c>
      <c r="E2">
        <v>102216</v>
      </c>
      <c r="F2">
        <v>2698</v>
      </c>
      <c r="G2">
        <v>2649</v>
      </c>
      <c r="H2">
        <v>2482</v>
      </c>
      <c r="I2">
        <v>2472</v>
      </c>
      <c r="J2">
        <v>2463</v>
      </c>
      <c r="K2">
        <v>547</v>
      </c>
      <c r="L2">
        <v>1517</v>
      </c>
      <c r="M2">
        <v>53</v>
      </c>
      <c r="N2">
        <v>86</v>
      </c>
      <c r="O2">
        <v>38541</v>
      </c>
      <c r="P2">
        <v>7265</v>
      </c>
      <c r="Q2">
        <v>29957</v>
      </c>
      <c r="R2">
        <v>1300</v>
      </c>
      <c r="S2">
        <v>889</v>
      </c>
      <c r="T2">
        <v>1026</v>
      </c>
      <c r="U2">
        <v>13380</v>
      </c>
      <c r="V2">
        <v>5675</v>
      </c>
      <c r="W2">
        <v>5624</v>
      </c>
      <c r="X2">
        <v>8258</v>
      </c>
      <c r="Y2">
        <v>2276</v>
      </c>
      <c r="Z2">
        <v>5095</v>
      </c>
      <c r="AA2">
        <v>42</v>
      </c>
      <c r="AB2">
        <v>4884</v>
      </c>
      <c r="AC2">
        <v>5749</v>
      </c>
      <c r="AD2">
        <v>106</v>
      </c>
      <c r="AE2">
        <v>58069</v>
      </c>
      <c r="AF2">
        <v>55511</v>
      </c>
      <c r="AG2">
        <v>301</v>
      </c>
      <c r="AH2">
        <v>176</v>
      </c>
      <c r="AI2">
        <v>53861</v>
      </c>
      <c r="AJ2">
        <v>32786</v>
      </c>
      <c r="AK2">
        <v>130</v>
      </c>
      <c r="AL2">
        <v>19853</v>
      </c>
      <c r="AM2">
        <v>15656</v>
      </c>
      <c r="AN2">
        <v>3132</v>
      </c>
      <c r="AO2">
        <v>7645</v>
      </c>
      <c r="AP2">
        <v>6090</v>
      </c>
      <c r="AQ2">
        <v>1144</v>
      </c>
      <c r="AR2">
        <v>201</v>
      </c>
      <c r="AS2">
        <v>19694</v>
      </c>
      <c r="AT2">
        <v>1655</v>
      </c>
      <c r="AU2">
        <v>130</v>
      </c>
      <c r="AV2">
        <v>7234</v>
      </c>
      <c r="AW2">
        <v>298</v>
      </c>
      <c r="AX2">
        <v>6835</v>
      </c>
      <c r="AY2">
        <v>11340</v>
      </c>
      <c r="AZ2">
        <v>5716</v>
      </c>
      <c r="BA2">
        <v>154</v>
      </c>
    </row>
    <row r="3" spans="1:53">
      <c r="A3" t="s">
        <v>166</v>
      </c>
      <c r="B3">
        <v>321845</v>
      </c>
      <c r="C3">
        <v>314310</v>
      </c>
      <c r="D3">
        <v>309191</v>
      </c>
      <c r="E3">
        <v>181785</v>
      </c>
      <c r="F3">
        <v>3329</v>
      </c>
      <c r="G3">
        <v>3197</v>
      </c>
      <c r="H3">
        <v>2976</v>
      </c>
      <c r="I3">
        <v>2935</v>
      </c>
      <c r="J3">
        <v>2904</v>
      </c>
      <c r="K3">
        <v>1162</v>
      </c>
      <c r="L3">
        <v>407</v>
      </c>
      <c r="M3">
        <v>9</v>
      </c>
      <c r="N3">
        <v>20</v>
      </c>
      <c r="O3">
        <v>90578</v>
      </c>
      <c r="P3">
        <v>35124</v>
      </c>
      <c r="Q3">
        <v>51872</v>
      </c>
      <c r="R3">
        <v>1659</v>
      </c>
      <c r="S3">
        <v>927</v>
      </c>
      <c r="T3">
        <v>2509</v>
      </c>
      <c r="U3">
        <v>21579</v>
      </c>
      <c r="V3">
        <v>11303</v>
      </c>
      <c r="W3">
        <v>10861</v>
      </c>
      <c r="X3">
        <v>13356</v>
      </c>
      <c r="Y3">
        <v>2863</v>
      </c>
      <c r="Z3">
        <v>8637</v>
      </c>
      <c r="AA3">
        <v>317</v>
      </c>
      <c r="AB3">
        <v>6310</v>
      </c>
      <c r="AC3">
        <v>9556</v>
      </c>
      <c r="AD3">
        <v>122</v>
      </c>
      <c r="AE3">
        <v>82123</v>
      </c>
      <c r="AF3">
        <v>75753</v>
      </c>
      <c r="AG3">
        <v>618</v>
      </c>
      <c r="AH3">
        <v>651</v>
      </c>
      <c r="AI3">
        <v>72429</v>
      </c>
      <c r="AJ3">
        <v>46060</v>
      </c>
      <c r="AK3">
        <v>125</v>
      </c>
      <c r="AL3">
        <v>38228</v>
      </c>
      <c r="AM3">
        <v>36081</v>
      </c>
      <c r="AN3">
        <v>1486</v>
      </c>
      <c r="AO3">
        <v>5701</v>
      </c>
      <c r="AP3">
        <v>2403</v>
      </c>
      <c r="AQ3">
        <v>5549</v>
      </c>
      <c r="AR3">
        <v>3054</v>
      </c>
      <c r="AS3">
        <v>24060</v>
      </c>
      <c r="AT3">
        <v>3824</v>
      </c>
      <c r="AU3">
        <v>736</v>
      </c>
      <c r="AV3">
        <v>8187</v>
      </c>
      <c r="AW3">
        <v>89</v>
      </c>
      <c r="AX3">
        <v>7976</v>
      </c>
      <c r="AY3">
        <v>15216</v>
      </c>
      <c r="AZ3">
        <v>788</v>
      </c>
      <c r="BA3">
        <v>165</v>
      </c>
    </row>
    <row r="4" spans="1:53">
      <c r="A4" t="s">
        <v>167</v>
      </c>
      <c r="B4">
        <v>303378</v>
      </c>
      <c r="C4">
        <v>294206</v>
      </c>
      <c r="D4">
        <v>293104</v>
      </c>
      <c r="E4">
        <v>123429</v>
      </c>
      <c r="F4">
        <v>1998</v>
      </c>
      <c r="G4">
        <v>1955</v>
      </c>
      <c r="H4">
        <v>1890</v>
      </c>
      <c r="I4">
        <v>1861</v>
      </c>
      <c r="J4">
        <v>1855</v>
      </c>
      <c r="K4">
        <v>613</v>
      </c>
      <c r="L4">
        <v>927</v>
      </c>
      <c r="M4">
        <v>22</v>
      </c>
      <c r="N4">
        <v>32</v>
      </c>
      <c r="O4">
        <v>29560</v>
      </c>
      <c r="P4">
        <v>2362</v>
      </c>
      <c r="Q4">
        <v>26672</v>
      </c>
      <c r="R4">
        <v>1932</v>
      </c>
      <c r="S4">
        <v>3761</v>
      </c>
      <c r="T4">
        <v>4628</v>
      </c>
      <c r="U4">
        <v>9325</v>
      </c>
      <c r="V4">
        <v>247</v>
      </c>
      <c r="W4">
        <v>234</v>
      </c>
      <c r="X4">
        <v>3798</v>
      </c>
      <c r="Y4">
        <v>831</v>
      </c>
      <c r="Z4">
        <v>2116</v>
      </c>
      <c r="AA4">
        <v>104</v>
      </c>
      <c r="AB4">
        <v>1905</v>
      </c>
      <c r="AC4">
        <v>12819</v>
      </c>
      <c r="AD4">
        <v>385</v>
      </c>
      <c r="AE4">
        <v>89371</v>
      </c>
      <c r="AF4">
        <v>81626</v>
      </c>
      <c r="AG4">
        <v>368</v>
      </c>
      <c r="AH4">
        <v>1572</v>
      </c>
      <c r="AI4">
        <v>77563</v>
      </c>
      <c r="AJ4">
        <v>35933</v>
      </c>
      <c r="AK4">
        <v>693</v>
      </c>
      <c r="AL4">
        <v>11210</v>
      </c>
      <c r="AM4">
        <v>2531</v>
      </c>
      <c r="AN4">
        <v>7689</v>
      </c>
      <c r="AO4">
        <v>22284</v>
      </c>
      <c r="AP4">
        <v>22077</v>
      </c>
      <c r="AQ4">
        <v>1226</v>
      </c>
      <c r="AR4">
        <v>243</v>
      </c>
      <c r="AS4">
        <v>38816</v>
      </c>
      <c r="AT4">
        <v>5337</v>
      </c>
      <c r="AU4">
        <v>346</v>
      </c>
      <c r="AV4">
        <v>764</v>
      </c>
      <c r="AW4">
        <v>401</v>
      </c>
      <c r="AX4">
        <v>306</v>
      </c>
      <c r="AY4">
        <v>37407</v>
      </c>
      <c r="AZ4">
        <v>14084</v>
      </c>
      <c r="BA4">
        <v>126</v>
      </c>
    </row>
    <row r="5" spans="1:53">
      <c r="A5" t="s">
        <v>168</v>
      </c>
      <c r="B5">
        <v>47011</v>
      </c>
      <c r="C5">
        <v>45318</v>
      </c>
      <c r="D5">
        <v>44254</v>
      </c>
      <c r="E5">
        <v>27384</v>
      </c>
      <c r="F5">
        <v>190</v>
      </c>
      <c r="G5">
        <v>182</v>
      </c>
      <c r="H5">
        <v>169</v>
      </c>
      <c r="I5">
        <v>165</v>
      </c>
      <c r="J5">
        <v>163</v>
      </c>
      <c r="K5">
        <v>44</v>
      </c>
      <c r="L5">
        <v>104</v>
      </c>
      <c r="M5">
        <v>0</v>
      </c>
      <c r="N5">
        <v>0</v>
      </c>
      <c r="O5">
        <v>13407</v>
      </c>
      <c r="P5">
        <v>3105</v>
      </c>
      <c r="Q5">
        <v>9778</v>
      </c>
      <c r="R5">
        <v>647</v>
      </c>
      <c r="S5">
        <v>266</v>
      </c>
      <c r="T5">
        <v>438</v>
      </c>
      <c r="U5">
        <v>4268</v>
      </c>
      <c r="V5">
        <v>564</v>
      </c>
      <c r="W5">
        <v>516</v>
      </c>
      <c r="X5">
        <v>2355</v>
      </c>
      <c r="Y5">
        <v>374</v>
      </c>
      <c r="Z5">
        <v>1642</v>
      </c>
      <c r="AA5">
        <v>13</v>
      </c>
      <c r="AB5">
        <v>1617</v>
      </c>
      <c r="AC5">
        <v>2487</v>
      </c>
      <c r="AD5">
        <v>61</v>
      </c>
      <c r="AE5">
        <v>13320</v>
      </c>
      <c r="AF5">
        <v>12779</v>
      </c>
      <c r="AG5">
        <v>221</v>
      </c>
      <c r="AH5">
        <v>168</v>
      </c>
      <c r="AI5">
        <v>11903</v>
      </c>
      <c r="AJ5">
        <v>9575</v>
      </c>
      <c r="AK5">
        <v>12</v>
      </c>
      <c r="AL5">
        <v>7111</v>
      </c>
      <c r="AM5">
        <v>2140</v>
      </c>
      <c r="AN5">
        <v>4244</v>
      </c>
      <c r="AO5">
        <v>1849</v>
      </c>
      <c r="AP5">
        <v>1802</v>
      </c>
      <c r="AQ5">
        <v>826</v>
      </c>
      <c r="AR5">
        <v>357</v>
      </c>
      <c r="AS5">
        <v>2032</v>
      </c>
      <c r="AT5">
        <v>325</v>
      </c>
      <c r="AU5">
        <v>91</v>
      </c>
      <c r="AV5">
        <v>1281</v>
      </c>
      <c r="AW5">
        <v>85</v>
      </c>
      <c r="AX5">
        <v>1159</v>
      </c>
      <c r="AY5">
        <v>679</v>
      </c>
      <c r="AZ5">
        <v>496</v>
      </c>
      <c r="BA5">
        <v>3</v>
      </c>
    </row>
    <row r="6" spans="1:53">
      <c r="A6" t="s">
        <v>169</v>
      </c>
      <c r="B6">
        <v>284997</v>
      </c>
      <c r="C6">
        <v>278506</v>
      </c>
      <c r="D6">
        <v>276399</v>
      </c>
      <c r="E6">
        <v>216305</v>
      </c>
      <c r="F6">
        <v>548</v>
      </c>
      <c r="G6">
        <v>536</v>
      </c>
      <c r="H6">
        <v>501</v>
      </c>
      <c r="I6">
        <v>496</v>
      </c>
      <c r="J6">
        <v>491</v>
      </c>
      <c r="K6">
        <v>114</v>
      </c>
      <c r="L6">
        <v>272</v>
      </c>
      <c r="M6">
        <v>3</v>
      </c>
      <c r="N6">
        <v>0</v>
      </c>
      <c r="O6">
        <v>124747</v>
      </c>
      <c r="P6">
        <v>20381</v>
      </c>
      <c r="Q6">
        <v>102697</v>
      </c>
      <c r="R6">
        <v>3254</v>
      </c>
      <c r="S6">
        <v>8529</v>
      </c>
      <c r="T6">
        <v>16692</v>
      </c>
      <c r="U6">
        <v>57126</v>
      </c>
      <c r="V6">
        <v>23217</v>
      </c>
      <c r="W6">
        <v>23059</v>
      </c>
      <c r="X6">
        <v>10814</v>
      </c>
      <c r="Y6">
        <v>1135</v>
      </c>
      <c r="Z6">
        <v>8786</v>
      </c>
      <c r="AA6">
        <v>3198</v>
      </c>
      <c r="AB6">
        <v>4026</v>
      </c>
      <c r="AC6">
        <v>28333</v>
      </c>
      <c r="AD6">
        <v>165</v>
      </c>
      <c r="AE6">
        <v>88203</v>
      </c>
      <c r="AF6">
        <v>84921</v>
      </c>
      <c r="AG6">
        <v>1050</v>
      </c>
      <c r="AH6">
        <v>568</v>
      </c>
      <c r="AI6">
        <v>79921</v>
      </c>
      <c r="AJ6">
        <v>35897</v>
      </c>
      <c r="AK6">
        <v>330</v>
      </c>
      <c r="AL6">
        <v>18789</v>
      </c>
      <c r="AM6">
        <v>6577</v>
      </c>
      <c r="AN6">
        <v>10997</v>
      </c>
      <c r="AO6">
        <v>15251</v>
      </c>
      <c r="AP6">
        <v>14633</v>
      </c>
      <c r="AQ6">
        <v>5380</v>
      </c>
      <c r="AR6">
        <v>1510</v>
      </c>
      <c r="AS6">
        <v>40007</v>
      </c>
      <c r="AT6">
        <v>7521</v>
      </c>
      <c r="AU6">
        <v>1434</v>
      </c>
      <c r="AV6">
        <v>7200</v>
      </c>
      <c r="AW6">
        <v>1680</v>
      </c>
      <c r="AX6">
        <v>5258</v>
      </c>
      <c r="AY6">
        <v>31488</v>
      </c>
      <c r="AZ6">
        <v>14743</v>
      </c>
      <c r="BA6">
        <v>49</v>
      </c>
    </row>
    <row r="7" spans="1:53">
      <c r="A7" t="s">
        <v>170</v>
      </c>
      <c r="B7">
        <v>270926</v>
      </c>
      <c r="C7">
        <v>265202</v>
      </c>
      <c r="D7">
        <v>261135</v>
      </c>
      <c r="E7">
        <v>167832</v>
      </c>
      <c r="F7">
        <v>1547</v>
      </c>
      <c r="G7">
        <v>1516</v>
      </c>
      <c r="H7">
        <v>1454</v>
      </c>
      <c r="I7">
        <v>1439</v>
      </c>
      <c r="J7">
        <v>1432</v>
      </c>
      <c r="K7">
        <v>639</v>
      </c>
      <c r="L7">
        <v>612</v>
      </c>
      <c r="M7">
        <v>16</v>
      </c>
      <c r="N7">
        <v>20</v>
      </c>
      <c r="O7">
        <v>100530</v>
      </c>
      <c r="P7">
        <v>24253</v>
      </c>
      <c r="Q7">
        <v>71034</v>
      </c>
      <c r="R7">
        <v>2153</v>
      </c>
      <c r="S7">
        <v>2647</v>
      </c>
      <c r="T7">
        <v>4370</v>
      </c>
      <c r="U7">
        <v>27309</v>
      </c>
      <c r="V7">
        <v>9535</v>
      </c>
      <c r="W7">
        <v>9282</v>
      </c>
      <c r="X7">
        <v>21634</v>
      </c>
      <c r="Y7">
        <v>4506</v>
      </c>
      <c r="Z7">
        <v>13647</v>
      </c>
      <c r="AA7">
        <v>155</v>
      </c>
      <c r="AB7">
        <v>12386</v>
      </c>
      <c r="AC7">
        <v>15506</v>
      </c>
      <c r="AD7">
        <v>214</v>
      </c>
      <c r="AE7">
        <v>63098</v>
      </c>
      <c r="AF7">
        <v>60720</v>
      </c>
      <c r="AG7">
        <v>522</v>
      </c>
      <c r="AH7">
        <v>519</v>
      </c>
      <c r="AI7">
        <v>57375</v>
      </c>
      <c r="AJ7">
        <v>25309</v>
      </c>
      <c r="AK7">
        <v>208</v>
      </c>
      <c r="AL7">
        <v>12451</v>
      </c>
      <c r="AM7">
        <v>7555</v>
      </c>
      <c r="AN7">
        <v>3972</v>
      </c>
      <c r="AO7">
        <v>10943</v>
      </c>
      <c r="AP7">
        <v>10584</v>
      </c>
      <c r="AQ7">
        <v>2019</v>
      </c>
      <c r="AR7">
        <v>434</v>
      </c>
      <c r="AS7">
        <v>29360</v>
      </c>
      <c r="AT7">
        <v>5302</v>
      </c>
      <c r="AU7">
        <v>760</v>
      </c>
      <c r="AV7">
        <v>12353</v>
      </c>
      <c r="AW7">
        <v>888</v>
      </c>
      <c r="AX7">
        <v>11077</v>
      </c>
      <c r="AY7">
        <v>15587</v>
      </c>
      <c r="AZ7">
        <v>10183</v>
      </c>
      <c r="BA7">
        <v>21</v>
      </c>
    </row>
    <row r="8" spans="1:53">
      <c r="A8" t="s">
        <v>171</v>
      </c>
      <c r="B8">
        <v>36817</v>
      </c>
      <c r="C8">
        <v>34554</v>
      </c>
      <c r="D8">
        <v>33806</v>
      </c>
      <c r="E8">
        <v>10634</v>
      </c>
      <c r="F8">
        <v>215</v>
      </c>
      <c r="G8">
        <v>215</v>
      </c>
      <c r="H8">
        <v>203</v>
      </c>
      <c r="I8">
        <v>203</v>
      </c>
      <c r="J8">
        <v>203</v>
      </c>
      <c r="K8">
        <v>119</v>
      </c>
      <c r="L8">
        <v>60</v>
      </c>
      <c r="M8">
        <v>8</v>
      </c>
      <c r="N8">
        <v>4</v>
      </c>
      <c r="O8">
        <v>5790</v>
      </c>
      <c r="P8">
        <v>1094</v>
      </c>
      <c r="Q8">
        <v>4532</v>
      </c>
      <c r="R8">
        <v>435</v>
      </c>
      <c r="S8">
        <v>813</v>
      </c>
      <c r="T8">
        <v>923</v>
      </c>
      <c r="U8">
        <v>785</v>
      </c>
      <c r="V8">
        <v>219</v>
      </c>
      <c r="W8">
        <v>182</v>
      </c>
      <c r="X8">
        <v>892</v>
      </c>
      <c r="Y8">
        <v>130</v>
      </c>
      <c r="Z8">
        <v>596</v>
      </c>
      <c r="AA8">
        <v>59</v>
      </c>
      <c r="AB8">
        <v>458</v>
      </c>
      <c r="AC8">
        <v>2512</v>
      </c>
      <c r="AD8">
        <v>10</v>
      </c>
      <c r="AE8">
        <v>4397</v>
      </c>
      <c r="AF8">
        <v>4172</v>
      </c>
      <c r="AG8">
        <v>68</v>
      </c>
      <c r="AH8">
        <v>103</v>
      </c>
      <c r="AI8">
        <v>3741</v>
      </c>
      <c r="AJ8">
        <v>2651</v>
      </c>
      <c r="AK8">
        <v>12</v>
      </c>
      <c r="AL8">
        <v>1277</v>
      </c>
      <c r="AM8">
        <v>241</v>
      </c>
      <c r="AN8">
        <v>956</v>
      </c>
      <c r="AO8">
        <v>1103</v>
      </c>
      <c r="AP8">
        <v>1096</v>
      </c>
      <c r="AQ8">
        <v>206</v>
      </c>
      <c r="AR8">
        <v>74</v>
      </c>
      <c r="AS8">
        <v>939</v>
      </c>
      <c r="AT8">
        <v>227</v>
      </c>
      <c r="AU8">
        <v>66</v>
      </c>
      <c r="AV8">
        <v>190</v>
      </c>
      <c r="AW8">
        <v>75</v>
      </c>
      <c r="AX8">
        <v>105</v>
      </c>
      <c r="AY8">
        <v>693</v>
      </c>
      <c r="AZ8">
        <v>438</v>
      </c>
      <c r="BA8">
        <v>3</v>
      </c>
    </row>
    <row r="9" spans="1:53">
      <c r="A9" t="s">
        <v>172</v>
      </c>
      <c r="B9">
        <v>112228</v>
      </c>
      <c r="C9">
        <v>110574</v>
      </c>
      <c r="D9">
        <v>108857</v>
      </c>
      <c r="E9">
        <v>49789</v>
      </c>
      <c r="F9">
        <v>975</v>
      </c>
      <c r="G9">
        <v>936</v>
      </c>
      <c r="H9">
        <v>914</v>
      </c>
      <c r="I9">
        <v>908</v>
      </c>
      <c r="J9">
        <v>907</v>
      </c>
      <c r="K9">
        <v>749</v>
      </c>
      <c r="L9">
        <v>26</v>
      </c>
      <c r="M9">
        <v>0</v>
      </c>
      <c r="N9">
        <v>0</v>
      </c>
      <c r="O9">
        <v>20845</v>
      </c>
      <c r="P9">
        <v>3782</v>
      </c>
      <c r="Q9">
        <v>16514</v>
      </c>
      <c r="R9">
        <v>2447</v>
      </c>
      <c r="S9">
        <v>1124</v>
      </c>
      <c r="T9">
        <v>1219</v>
      </c>
      <c r="U9">
        <v>6527</v>
      </c>
      <c r="V9">
        <v>4609</v>
      </c>
      <c r="W9">
        <v>4424</v>
      </c>
      <c r="X9">
        <v>2183</v>
      </c>
      <c r="Y9">
        <v>369</v>
      </c>
      <c r="Z9">
        <v>955</v>
      </c>
      <c r="AA9">
        <v>167</v>
      </c>
      <c r="AB9">
        <v>646</v>
      </c>
      <c r="AC9">
        <v>6180</v>
      </c>
      <c r="AD9">
        <v>94</v>
      </c>
      <c r="AE9">
        <v>27126</v>
      </c>
      <c r="AF9">
        <v>25648</v>
      </c>
      <c r="AG9">
        <v>195</v>
      </c>
      <c r="AH9">
        <v>1019</v>
      </c>
      <c r="AI9">
        <v>23619</v>
      </c>
      <c r="AJ9">
        <v>17982</v>
      </c>
      <c r="AK9">
        <v>56</v>
      </c>
      <c r="AL9">
        <v>13351</v>
      </c>
      <c r="AM9">
        <v>6052</v>
      </c>
      <c r="AN9">
        <v>5873</v>
      </c>
      <c r="AO9">
        <v>3827</v>
      </c>
      <c r="AP9">
        <v>3768</v>
      </c>
      <c r="AQ9">
        <v>1661</v>
      </c>
      <c r="AR9">
        <v>438</v>
      </c>
      <c r="AS9">
        <v>5083</v>
      </c>
      <c r="AT9">
        <v>1141</v>
      </c>
      <c r="AU9">
        <v>231</v>
      </c>
      <c r="AV9">
        <v>409</v>
      </c>
      <c r="AW9">
        <v>127</v>
      </c>
      <c r="AX9">
        <v>257</v>
      </c>
      <c r="AY9">
        <v>4579</v>
      </c>
      <c r="AZ9">
        <v>3318</v>
      </c>
      <c r="BA9">
        <v>7</v>
      </c>
    </row>
    <row r="10" spans="1:53">
      <c r="A10" t="s">
        <v>173</v>
      </c>
      <c r="B10">
        <v>34385</v>
      </c>
      <c r="C10">
        <v>33666</v>
      </c>
      <c r="D10">
        <v>33296</v>
      </c>
      <c r="E10">
        <v>27707</v>
      </c>
      <c r="F10">
        <v>21</v>
      </c>
      <c r="G10">
        <v>21</v>
      </c>
      <c r="H10">
        <v>18</v>
      </c>
      <c r="I10">
        <v>18</v>
      </c>
      <c r="J10">
        <v>17</v>
      </c>
      <c r="K10">
        <v>7</v>
      </c>
      <c r="L10">
        <v>9</v>
      </c>
      <c r="M10">
        <v>0</v>
      </c>
      <c r="N10">
        <v>0</v>
      </c>
      <c r="O10">
        <v>9378</v>
      </c>
      <c r="P10">
        <v>650</v>
      </c>
      <c r="Q10">
        <v>8646</v>
      </c>
      <c r="R10">
        <v>486</v>
      </c>
      <c r="S10">
        <v>957</v>
      </c>
      <c r="T10">
        <v>1716</v>
      </c>
      <c r="U10">
        <v>4430</v>
      </c>
      <c r="V10">
        <v>2388</v>
      </c>
      <c r="W10">
        <v>2368</v>
      </c>
      <c r="X10">
        <v>585</v>
      </c>
      <c r="Y10">
        <v>193</v>
      </c>
      <c r="Z10">
        <v>357</v>
      </c>
      <c r="AA10">
        <v>160</v>
      </c>
      <c r="AB10">
        <v>166</v>
      </c>
      <c r="AC10">
        <v>3158</v>
      </c>
      <c r="AD10">
        <v>14</v>
      </c>
      <c r="AE10">
        <v>18081</v>
      </c>
      <c r="AF10">
        <v>17641</v>
      </c>
      <c r="AG10">
        <v>104</v>
      </c>
      <c r="AH10">
        <v>15</v>
      </c>
      <c r="AI10">
        <v>17232</v>
      </c>
      <c r="AJ10">
        <v>12711</v>
      </c>
      <c r="AK10">
        <v>47</v>
      </c>
      <c r="AL10">
        <v>8536</v>
      </c>
      <c r="AM10">
        <v>4280</v>
      </c>
      <c r="AN10">
        <v>3552</v>
      </c>
      <c r="AO10">
        <v>3064</v>
      </c>
      <c r="AP10">
        <v>2988</v>
      </c>
      <c r="AQ10">
        <v>669</v>
      </c>
      <c r="AR10">
        <v>502</v>
      </c>
      <c r="AS10">
        <v>4126</v>
      </c>
      <c r="AT10">
        <v>165</v>
      </c>
      <c r="AU10">
        <v>136</v>
      </c>
      <c r="AV10">
        <v>3792</v>
      </c>
      <c r="AW10">
        <v>67</v>
      </c>
      <c r="AX10">
        <v>3653</v>
      </c>
      <c r="AY10">
        <v>200</v>
      </c>
      <c r="AZ10">
        <v>146</v>
      </c>
      <c r="BA10">
        <v>2</v>
      </c>
    </row>
    <row r="11" spans="1:53">
      <c r="A11" t="s">
        <v>174</v>
      </c>
      <c r="B11">
        <v>68990</v>
      </c>
      <c r="C11">
        <v>66382</v>
      </c>
      <c r="D11">
        <v>62287</v>
      </c>
      <c r="E11">
        <v>24096</v>
      </c>
      <c r="F11">
        <v>2069</v>
      </c>
      <c r="G11">
        <v>2063</v>
      </c>
      <c r="H11">
        <v>2052</v>
      </c>
      <c r="I11">
        <v>2051</v>
      </c>
      <c r="J11">
        <v>2051</v>
      </c>
      <c r="K11">
        <v>1541</v>
      </c>
      <c r="L11">
        <v>330</v>
      </c>
      <c r="M11">
        <v>0</v>
      </c>
      <c r="N11">
        <v>3</v>
      </c>
      <c r="O11">
        <v>9198</v>
      </c>
      <c r="P11">
        <v>1354</v>
      </c>
      <c r="Q11">
        <v>7746</v>
      </c>
      <c r="R11">
        <v>485</v>
      </c>
      <c r="S11">
        <v>230</v>
      </c>
      <c r="T11">
        <v>662</v>
      </c>
      <c r="U11">
        <v>2203</v>
      </c>
      <c r="V11">
        <v>566</v>
      </c>
      <c r="W11">
        <v>491</v>
      </c>
      <c r="X11">
        <v>1667</v>
      </c>
      <c r="Y11">
        <v>720</v>
      </c>
      <c r="Z11">
        <v>660</v>
      </c>
      <c r="AA11">
        <v>262</v>
      </c>
      <c r="AB11">
        <v>369</v>
      </c>
      <c r="AC11">
        <v>3017</v>
      </c>
      <c r="AD11">
        <v>35</v>
      </c>
      <c r="AE11">
        <v>12328</v>
      </c>
      <c r="AF11">
        <v>11598</v>
      </c>
      <c r="AG11">
        <v>134</v>
      </c>
      <c r="AH11">
        <v>524</v>
      </c>
      <c r="AI11">
        <v>10499</v>
      </c>
      <c r="AJ11">
        <v>6185</v>
      </c>
      <c r="AK11">
        <v>10</v>
      </c>
      <c r="AL11">
        <v>4949</v>
      </c>
      <c r="AM11">
        <v>711</v>
      </c>
      <c r="AN11">
        <v>3833</v>
      </c>
      <c r="AO11">
        <v>1000</v>
      </c>
      <c r="AP11">
        <v>984</v>
      </c>
      <c r="AQ11">
        <v>741</v>
      </c>
      <c r="AR11">
        <v>395</v>
      </c>
      <c r="AS11">
        <v>3931</v>
      </c>
      <c r="AT11">
        <v>1005</v>
      </c>
      <c r="AU11">
        <v>184</v>
      </c>
      <c r="AV11">
        <v>594</v>
      </c>
      <c r="AW11">
        <v>386</v>
      </c>
      <c r="AX11">
        <v>164</v>
      </c>
      <c r="AY11">
        <v>3159</v>
      </c>
      <c r="AZ11">
        <v>2169</v>
      </c>
      <c r="BA11">
        <v>14</v>
      </c>
    </row>
    <row r="12" spans="1:53">
      <c r="A12" t="s">
        <v>175</v>
      </c>
      <c r="B12">
        <v>120938</v>
      </c>
      <c r="C12">
        <v>118043</v>
      </c>
      <c r="D12">
        <v>117453</v>
      </c>
      <c r="E12">
        <v>95879</v>
      </c>
      <c r="F12">
        <v>1432</v>
      </c>
      <c r="G12">
        <v>1414</v>
      </c>
      <c r="H12">
        <v>1371</v>
      </c>
      <c r="I12">
        <v>1362</v>
      </c>
      <c r="J12">
        <v>1361</v>
      </c>
      <c r="K12">
        <v>806</v>
      </c>
      <c r="L12">
        <v>380</v>
      </c>
      <c r="M12">
        <v>26</v>
      </c>
      <c r="N12">
        <v>6</v>
      </c>
      <c r="O12">
        <v>40720</v>
      </c>
      <c r="P12">
        <v>4743</v>
      </c>
      <c r="Q12">
        <v>34778</v>
      </c>
      <c r="R12">
        <v>1331</v>
      </c>
      <c r="S12">
        <v>1857</v>
      </c>
      <c r="T12">
        <v>4280</v>
      </c>
      <c r="U12">
        <v>16106</v>
      </c>
      <c r="V12">
        <v>7580</v>
      </c>
      <c r="W12">
        <v>7465</v>
      </c>
      <c r="X12">
        <v>3794</v>
      </c>
      <c r="Y12">
        <v>601</v>
      </c>
      <c r="Z12">
        <v>2570</v>
      </c>
      <c r="AA12">
        <v>476</v>
      </c>
      <c r="AB12">
        <v>1879</v>
      </c>
      <c r="AC12">
        <v>12354</v>
      </c>
      <c r="AD12">
        <v>58</v>
      </c>
      <c r="AE12">
        <v>52416</v>
      </c>
      <c r="AF12">
        <v>50097</v>
      </c>
      <c r="AG12">
        <v>724</v>
      </c>
      <c r="AH12">
        <v>513</v>
      </c>
      <c r="AI12">
        <v>46234</v>
      </c>
      <c r="AJ12">
        <v>25558</v>
      </c>
      <c r="AK12">
        <v>655</v>
      </c>
      <c r="AL12">
        <v>14495</v>
      </c>
      <c r="AM12">
        <v>3917</v>
      </c>
      <c r="AN12">
        <v>9535</v>
      </c>
      <c r="AO12">
        <v>9685</v>
      </c>
      <c r="AP12">
        <v>9643</v>
      </c>
      <c r="AQ12">
        <v>2797</v>
      </c>
      <c r="AR12">
        <v>720</v>
      </c>
      <c r="AS12">
        <v>18289</v>
      </c>
      <c r="AT12">
        <v>4047</v>
      </c>
      <c r="AU12">
        <v>967</v>
      </c>
      <c r="AV12">
        <v>4293</v>
      </c>
      <c r="AW12">
        <v>1267</v>
      </c>
      <c r="AX12">
        <v>2868</v>
      </c>
      <c r="AY12">
        <v>12911</v>
      </c>
      <c r="AZ12">
        <v>8578</v>
      </c>
      <c r="BA12">
        <v>73</v>
      </c>
    </row>
    <row r="13" spans="1:53">
      <c r="A13" t="s">
        <v>176</v>
      </c>
      <c r="B13">
        <v>36221</v>
      </c>
      <c r="C13">
        <v>34723</v>
      </c>
      <c r="D13">
        <v>34052</v>
      </c>
      <c r="E13">
        <v>25348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8936</v>
      </c>
      <c r="P13">
        <v>2132</v>
      </c>
      <c r="Q13">
        <v>6627</v>
      </c>
      <c r="R13">
        <v>753</v>
      </c>
      <c r="S13">
        <v>2379</v>
      </c>
      <c r="T13">
        <v>3468</v>
      </c>
      <c r="U13">
        <v>552</v>
      </c>
      <c r="V13">
        <v>116</v>
      </c>
      <c r="W13">
        <v>85</v>
      </c>
      <c r="X13">
        <v>1790</v>
      </c>
      <c r="Y13">
        <v>25</v>
      </c>
      <c r="Z13">
        <v>263</v>
      </c>
      <c r="AA13">
        <v>83</v>
      </c>
      <c r="AB13">
        <v>154</v>
      </c>
      <c r="AC13">
        <v>3893</v>
      </c>
      <c r="AD13">
        <v>49</v>
      </c>
      <c r="AE13">
        <v>16346</v>
      </c>
      <c r="AF13">
        <v>14272</v>
      </c>
      <c r="AG13">
        <v>499</v>
      </c>
      <c r="AH13">
        <v>99</v>
      </c>
      <c r="AI13">
        <v>12810</v>
      </c>
      <c r="AJ13">
        <v>10079</v>
      </c>
      <c r="AK13">
        <v>45</v>
      </c>
      <c r="AL13">
        <v>4337</v>
      </c>
      <c r="AM13">
        <v>1711</v>
      </c>
      <c r="AN13">
        <v>2272</v>
      </c>
      <c r="AO13">
        <v>4664</v>
      </c>
      <c r="AP13">
        <v>4636</v>
      </c>
      <c r="AQ13">
        <v>835</v>
      </c>
      <c r="AR13">
        <v>582</v>
      </c>
      <c r="AS13">
        <v>2184</v>
      </c>
      <c r="AT13">
        <v>136</v>
      </c>
      <c r="AU13">
        <v>122</v>
      </c>
      <c r="AV13">
        <v>605</v>
      </c>
      <c r="AW13">
        <v>217</v>
      </c>
      <c r="AX13">
        <v>365</v>
      </c>
      <c r="AY13">
        <v>1283</v>
      </c>
      <c r="AZ13">
        <v>1030</v>
      </c>
      <c r="BA13">
        <v>15</v>
      </c>
    </row>
    <row r="14" spans="1:53">
      <c r="A14" t="s">
        <v>177</v>
      </c>
      <c r="B14">
        <v>214901</v>
      </c>
      <c r="C14">
        <v>208043</v>
      </c>
      <c r="D14">
        <v>204524</v>
      </c>
      <c r="E14">
        <v>115766</v>
      </c>
      <c r="F14">
        <v>1203</v>
      </c>
      <c r="G14">
        <v>1147</v>
      </c>
      <c r="H14">
        <v>1114</v>
      </c>
      <c r="I14">
        <v>1106</v>
      </c>
      <c r="J14">
        <v>1103</v>
      </c>
      <c r="K14">
        <v>231</v>
      </c>
      <c r="L14">
        <v>777</v>
      </c>
      <c r="M14">
        <v>25</v>
      </c>
      <c r="N14">
        <v>12</v>
      </c>
      <c r="O14">
        <v>69363</v>
      </c>
      <c r="P14">
        <v>26951</v>
      </c>
      <c r="Q14">
        <v>35074</v>
      </c>
      <c r="R14">
        <v>2522</v>
      </c>
      <c r="S14">
        <v>2953</v>
      </c>
      <c r="T14">
        <v>3384</v>
      </c>
      <c r="U14">
        <v>13383</v>
      </c>
      <c r="V14">
        <v>3161</v>
      </c>
      <c r="W14">
        <v>2853</v>
      </c>
      <c r="X14">
        <v>8709</v>
      </c>
      <c r="Y14">
        <v>1677</v>
      </c>
      <c r="Z14">
        <v>5405</v>
      </c>
      <c r="AA14">
        <v>172</v>
      </c>
      <c r="AB14">
        <v>5126</v>
      </c>
      <c r="AC14">
        <v>10282</v>
      </c>
      <c r="AD14">
        <v>172</v>
      </c>
      <c r="AE14">
        <v>42430</v>
      </c>
      <c r="AF14">
        <v>40972</v>
      </c>
      <c r="AG14">
        <v>162</v>
      </c>
      <c r="AH14">
        <v>339</v>
      </c>
      <c r="AI14">
        <v>39428</v>
      </c>
      <c r="AJ14">
        <v>23898</v>
      </c>
      <c r="AK14">
        <v>55</v>
      </c>
      <c r="AL14">
        <v>17942</v>
      </c>
      <c r="AM14">
        <v>13786</v>
      </c>
      <c r="AN14">
        <v>3233</v>
      </c>
      <c r="AO14">
        <v>4811</v>
      </c>
      <c r="AP14">
        <v>4592</v>
      </c>
      <c r="AQ14">
        <v>1748</v>
      </c>
      <c r="AR14">
        <v>404</v>
      </c>
      <c r="AS14">
        <v>13083</v>
      </c>
      <c r="AT14">
        <v>3842</v>
      </c>
      <c r="AU14">
        <v>335</v>
      </c>
      <c r="AV14">
        <v>1852</v>
      </c>
      <c r="AW14">
        <v>421</v>
      </c>
      <c r="AX14">
        <v>1377</v>
      </c>
      <c r="AY14">
        <v>10786</v>
      </c>
      <c r="AZ14">
        <v>6785</v>
      </c>
      <c r="BA14">
        <v>26</v>
      </c>
    </row>
    <row r="15" spans="1:53">
      <c r="A15" t="s">
        <v>178</v>
      </c>
      <c r="B15">
        <v>28053</v>
      </c>
      <c r="C15">
        <v>26751</v>
      </c>
      <c r="D15">
        <v>26457</v>
      </c>
      <c r="E15">
        <v>19753</v>
      </c>
      <c r="F15">
        <v>110</v>
      </c>
      <c r="G15">
        <v>109</v>
      </c>
      <c r="H15">
        <v>102</v>
      </c>
      <c r="I15">
        <v>102</v>
      </c>
      <c r="J15">
        <v>100</v>
      </c>
      <c r="K15">
        <v>13</v>
      </c>
      <c r="L15">
        <v>72</v>
      </c>
      <c r="M15">
        <v>0</v>
      </c>
      <c r="N15">
        <v>3</v>
      </c>
      <c r="O15">
        <v>5381</v>
      </c>
      <c r="P15">
        <v>2032</v>
      </c>
      <c r="Q15">
        <v>2813</v>
      </c>
      <c r="R15">
        <v>177</v>
      </c>
      <c r="S15">
        <v>127</v>
      </c>
      <c r="T15">
        <v>251</v>
      </c>
      <c r="U15">
        <v>1466</v>
      </c>
      <c r="V15">
        <v>634</v>
      </c>
      <c r="W15">
        <v>581</v>
      </c>
      <c r="X15">
        <v>219</v>
      </c>
      <c r="Y15">
        <v>30</v>
      </c>
      <c r="Z15">
        <v>147</v>
      </c>
      <c r="AA15">
        <v>40</v>
      </c>
      <c r="AB15">
        <v>92</v>
      </c>
      <c r="AC15">
        <v>950</v>
      </c>
      <c r="AD15">
        <v>16</v>
      </c>
      <c r="AE15">
        <v>14066</v>
      </c>
      <c r="AF15">
        <v>13023</v>
      </c>
      <c r="AG15">
        <v>169</v>
      </c>
      <c r="AH15">
        <v>36</v>
      </c>
      <c r="AI15">
        <v>12502</v>
      </c>
      <c r="AJ15">
        <v>9631</v>
      </c>
      <c r="AK15">
        <v>34</v>
      </c>
      <c r="AL15">
        <v>6550</v>
      </c>
      <c r="AM15">
        <v>1496</v>
      </c>
      <c r="AN15">
        <v>4677</v>
      </c>
      <c r="AO15">
        <v>2236</v>
      </c>
      <c r="AP15">
        <v>2205</v>
      </c>
      <c r="AQ15">
        <v>1214</v>
      </c>
      <c r="AR15">
        <v>880</v>
      </c>
      <c r="AS15">
        <v>2419</v>
      </c>
      <c r="AT15">
        <v>587</v>
      </c>
      <c r="AU15">
        <v>255</v>
      </c>
      <c r="AV15">
        <v>847</v>
      </c>
      <c r="AW15">
        <v>471</v>
      </c>
      <c r="AX15">
        <v>342</v>
      </c>
      <c r="AY15">
        <v>1371</v>
      </c>
      <c r="AZ15">
        <v>1113</v>
      </c>
      <c r="BA15">
        <v>44</v>
      </c>
    </row>
    <row r="16" spans="1:53">
      <c r="A16" t="s">
        <v>179</v>
      </c>
      <c r="B16">
        <v>259455</v>
      </c>
      <c r="C16">
        <v>252631</v>
      </c>
      <c r="D16">
        <v>242041</v>
      </c>
      <c r="E16">
        <v>173053</v>
      </c>
      <c r="F16">
        <v>348</v>
      </c>
      <c r="G16">
        <v>337</v>
      </c>
      <c r="H16">
        <v>316</v>
      </c>
      <c r="I16">
        <v>313</v>
      </c>
      <c r="J16">
        <v>311</v>
      </c>
      <c r="K16">
        <v>145</v>
      </c>
      <c r="L16">
        <v>142</v>
      </c>
      <c r="M16">
        <v>16</v>
      </c>
      <c r="N16">
        <v>1</v>
      </c>
      <c r="O16">
        <v>91092</v>
      </c>
      <c r="P16">
        <v>35108</v>
      </c>
      <c r="Q16">
        <v>53897</v>
      </c>
      <c r="R16">
        <v>4116</v>
      </c>
      <c r="S16">
        <v>2535</v>
      </c>
      <c r="T16">
        <v>3082</v>
      </c>
      <c r="U16">
        <v>18819</v>
      </c>
      <c r="V16">
        <v>2263</v>
      </c>
      <c r="W16">
        <v>2165</v>
      </c>
      <c r="X16">
        <v>14814</v>
      </c>
      <c r="Y16">
        <v>2109</v>
      </c>
      <c r="Z16">
        <v>11865</v>
      </c>
      <c r="AA16">
        <v>800</v>
      </c>
      <c r="AB16">
        <v>10253</v>
      </c>
      <c r="AC16">
        <v>16059</v>
      </c>
      <c r="AD16">
        <v>180</v>
      </c>
      <c r="AE16">
        <v>80290</v>
      </c>
      <c r="AF16">
        <v>72422</v>
      </c>
      <c r="AG16">
        <v>658</v>
      </c>
      <c r="AH16">
        <v>475</v>
      </c>
      <c r="AI16">
        <v>69674</v>
      </c>
      <c r="AJ16">
        <v>47233</v>
      </c>
      <c r="AK16">
        <v>60</v>
      </c>
      <c r="AL16">
        <v>12537</v>
      </c>
      <c r="AM16">
        <v>1468</v>
      </c>
      <c r="AN16">
        <v>10548</v>
      </c>
      <c r="AO16">
        <v>29598</v>
      </c>
      <c r="AP16">
        <v>29371</v>
      </c>
      <c r="AQ16">
        <v>4043</v>
      </c>
      <c r="AR16">
        <v>788</v>
      </c>
      <c r="AS16">
        <v>19847</v>
      </c>
      <c r="AT16">
        <v>3939</v>
      </c>
      <c r="AU16">
        <v>434</v>
      </c>
      <c r="AV16">
        <v>2247</v>
      </c>
      <c r="AW16">
        <v>1386</v>
      </c>
      <c r="AX16">
        <v>708</v>
      </c>
      <c r="AY16">
        <v>16317</v>
      </c>
      <c r="AZ16">
        <v>12098</v>
      </c>
      <c r="BA16">
        <v>257</v>
      </c>
    </row>
    <row r="17" spans="1:53">
      <c r="A17" t="s">
        <v>180</v>
      </c>
      <c r="B17">
        <v>74917</v>
      </c>
      <c r="C17">
        <v>72976</v>
      </c>
      <c r="D17">
        <v>71165</v>
      </c>
      <c r="E17">
        <v>40842</v>
      </c>
      <c r="F17">
        <v>711</v>
      </c>
      <c r="G17">
        <v>707</v>
      </c>
      <c r="H17">
        <v>681</v>
      </c>
      <c r="I17">
        <v>680</v>
      </c>
      <c r="J17">
        <v>680</v>
      </c>
      <c r="K17">
        <v>268</v>
      </c>
      <c r="L17">
        <v>299</v>
      </c>
      <c r="M17">
        <v>7</v>
      </c>
      <c r="N17">
        <v>7</v>
      </c>
      <c r="O17">
        <v>16327</v>
      </c>
      <c r="P17">
        <v>4786</v>
      </c>
      <c r="Q17">
        <v>10782</v>
      </c>
      <c r="R17">
        <v>402</v>
      </c>
      <c r="S17">
        <v>279</v>
      </c>
      <c r="T17">
        <v>723</v>
      </c>
      <c r="U17">
        <v>3362</v>
      </c>
      <c r="V17">
        <v>970</v>
      </c>
      <c r="W17">
        <v>920</v>
      </c>
      <c r="X17">
        <v>2007</v>
      </c>
      <c r="Y17">
        <v>411</v>
      </c>
      <c r="Z17">
        <v>1361</v>
      </c>
      <c r="AA17">
        <v>42</v>
      </c>
      <c r="AB17">
        <v>1185</v>
      </c>
      <c r="AC17">
        <v>4631</v>
      </c>
      <c r="AD17">
        <v>32</v>
      </c>
      <c r="AE17">
        <v>23429</v>
      </c>
      <c r="AF17">
        <v>22711</v>
      </c>
      <c r="AG17">
        <v>159</v>
      </c>
      <c r="AH17">
        <v>25</v>
      </c>
      <c r="AI17">
        <v>21878</v>
      </c>
      <c r="AJ17">
        <v>11267</v>
      </c>
      <c r="AK17">
        <v>51</v>
      </c>
      <c r="AL17">
        <v>8299</v>
      </c>
      <c r="AM17">
        <v>1106</v>
      </c>
      <c r="AN17">
        <v>6642</v>
      </c>
      <c r="AO17">
        <v>2226</v>
      </c>
      <c r="AP17">
        <v>2217</v>
      </c>
      <c r="AQ17">
        <v>1184</v>
      </c>
      <c r="AR17">
        <v>483</v>
      </c>
      <c r="AS17">
        <v>9826</v>
      </c>
      <c r="AT17">
        <v>2509</v>
      </c>
      <c r="AU17">
        <v>278</v>
      </c>
      <c r="AV17">
        <v>3117</v>
      </c>
      <c r="AW17">
        <v>1572</v>
      </c>
      <c r="AX17">
        <v>1232</v>
      </c>
      <c r="AY17">
        <v>6037</v>
      </c>
      <c r="AZ17">
        <v>5498</v>
      </c>
      <c r="BA17">
        <v>3</v>
      </c>
    </row>
    <row r="18" spans="1:53">
      <c r="A18" t="s">
        <v>181</v>
      </c>
      <c r="B18">
        <v>128942</v>
      </c>
      <c r="C18">
        <v>125796</v>
      </c>
      <c r="D18">
        <v>122517</v>
      </c>
      <c r="E18">
        <v>55016</v>
      </c>
      <c r="F18">
        <v>301</v>
      </c>
      <c r="G18">
        <v>298</v>
      </c>
      <c r="H18">
        <v>283</v>
      </c>
      <c r="I18">
        <v>281</v>
      </c>
      <c r="J18">
        <v>280</v>
      </c>
      <c r="K18">
        <v>108</v>
      </c>
      <c r="L18">
        <v>26</v>
      </c>
      <c r="M18">
        <v>0</v>
      </c>
      <c r="N18">
        <v>0</v>
      </c>
      <c r="O18">
        <v>39045</v>
      </c>
      <c r="P18">
        <v>4140</v>
      </c>
      <c r="Q18">
        <v>33986</v>
      </c>
      <c r="R18">
        <v>1626</v>
      </c>
      <c r="S18">
        <v>2000</v>
      </c>
      <c r="T18">
        <v>4095</v>
      </c>
      <c r="U18">
        <v>14520</v>
      </c>
      <c r="V18">
        <v>1992</v>
      </c>
      <c r="W18">
        <v>1773</v>
      </c>
      <c r="X18">
        <v>6444</v>
      </c>
      <c r="Y18">
        <v>629</v>
      </c>
      <c r="Z18">
        <v>4481</v>
      </c>
      <c r="AA18">
        <v>135</v>
      </c>
      <c r="AB18">
        <v>4076</v>
      </c>
      <c r="AC18">
        <v>10491</v>
      </c>
      <c r="AD18">
        <v>85</v>
      </c>
      <c r="AE18">
        <v>15102</v>
      </c>
      <c r="AF18">
        <v>13977</v>
      </c>
      <c r="AG18">
        <v>190</v>
      </c>
      <c r="AH18">
        <v>90</v>
      </c>
      <c r="AI18">
        <v>13318</v>
      </c>
      <c r="AJ18">
        <v>7793</v>
      </c>
      <c r="AK18">
        <v>38</v>
      </c>
      <c r="AL18">
        <v>1699</v>
      </c>
      <c r="AM18">
        <v>286</v>
      </c>
      <c r="AN18">
        <v>1342</v>
      </c>
      <c r="AO18">
        <v>5530</v>
      </c>
      <c r="AP18">
        <v>5493</v>
      </c>
      <c r="AQ18">
        <v>1408</v>
      </c>
      <c r="AR18">
        <v>199</v>
      </c>
      <c r="AS18">
        <v>5054</v>
      </c>
      <c r="AT18">
        <v>2254</v>
      </c>
      <c r="AU18">
        <v>122</v>
      </c>
      <c r="AV18">
        <v>345</v>
      </c>
      <c r="AW18">
        <v>241</v>
      </c>
      <c r="AX18">
        <v>81</v>
      </c>
      <c r="AY18">
        <v>4510</v>
      </c>
      <c r="AZ18">
        <v>3052</v>
      </c>
      <c r="BA18">
        <v>68</v>
      </c>
    </row>
    <row r="19" spans="1:53">
      <c r="A19" t="s">
        <v>182</v>
      </c>
      <c r="B19">
        <v>135493</v>
      </c>
      <c r="C19">
        <v>133046</v>
      </c>
      <c r="D19">
        <v>127178</v>
      </c>
      <c r="E19">
        <v>72801</v>
      </c>
      <c r="F19">
        <v>614</v>
      </c>
      <c r="G19">
        <v>608</v>
      </c>
      <c r="H19">
        <v>549</v>
      </c>
      <c r="I19">
        <v>548</v>
      </c>
      <c r="J19">
        <v>548</v>
      </c>
      <c r="K19">
        <v>141</v>
      </c>
      <c r="L19">
        <v>335</v>
      </c>
      <c r="M19">
        <v>7</v>
      </c>
      <c r="N19">
        <v>22</v>
      </c>
      <c r="O19">
        <v>29246</v>
      </c>
      <c r="P19">
        <v>11935</v>
      </c>
      <c r="Q19">
        <v>16230</v>
      </c>
      <c r="R19">
        <v>1327</v>
      </c>
      <c r="S19">
        <v>249</v>
      </c>
      <c r="T19">
        <v>650</v>
      </c>
      <c r="U19">
        <v>4820</v>
      </c>
      <c r="V19">
        <v>683</v>
      </c>
      <c r="W19">
        <v>641</v>
      </c>
      <c r="X19">
        <v>5380</v>
      </c>
      <c r="Y19">
        <v>710</v>
      </c>
      <c r="Z19">
        <v>4089</v>
      </c>
      <c r="AA19">
        <v>142</v>
      </c>
      <c r="AB19">
        <v>3736</v>
      </c>
      <c r="AC19">
        <v>4702</v>
      </c>
      <c r="AD19">
        <v>141</v>
      </c>
      <c r="AE19">
        <v>42314</v>
      </c>
      <c r="AF19">
        <v>40762</v>
      </c>
      <c r="AG19">
        <v>185</v>
      </c>
      <c r="AH19">
        <v>75</v>
      </c>
      <c r="AI19">
        <v>39969</v>
      </c>
      <c r="AJ19">
        <v>21686</v>
      </c>
      <c r="AK19">
        <v>60</v>
      </c>
      <c r="AL19">
        <v>11094</v>
      </c>
      <c r="AM19">
        <v>2039</v>
      </c>
      <c r="AN19">
        <v>8470</v>
      </c>
      <c r="AO19">
        <v>8422</v>
      </c>
      <c r="AP19">
        <v>8345</v>
      </c>
      <c r="AQ19">
        <v>3409</v>
      </c>
      <c r="AR19">
        <v>1251</v>
      </c>
      <c r="AS19">
        <v>16986</v>
      </c>
      <c r="AT19">
        <v>6980</v>
      </c>
      <c r="AU19">
        <v>883</v>
      </c>
      <c r="AV19">
        <v>4502</v>
      </c>
      <c r="AW19">
        <v>2061</v>
      </c>
      <c r="AX19">
        <v>2107</v>
      </c>
      <c r="AY19">
        <v>11421</v>
      </c>
      <c r="AZ19">
        <v>9040</v>
      </c>
      <c r="BA19">
        <v>32</v>
      </c>
    </row>
    <row r="20" spans="1:53">
      <c r="A20" t="s">
        <v>183</v>
      </c>
      <c r="B20">
        <v>69173</v>
      </c>
      <c r="C20">
        <v>66483</v>
      </c>
      <c r="D20">
        <v>62058</v>
      </c>
      <c r="E20">
        <v>39796</v>
      </c>
      <c r="F20">
        <v>913</v>
      </c>
      <c r="G20">
        <v>890</v>
      </c>
      <c r="H20">
        <v>792</v>
      </c>
      <c r="I20">
        <v>791</v>
      </c>
      <c r="J20">
        <v>788</v>
      </c>
      <c r="K20">
        <v>157</v>
      </c>
      <c r="L20">
        <v>534</v>
      </c>
      <c r="M20">
        <v>53</v>
      </c>
      <c r="N20">
        <v>13</v>
      </c>
      <c r="O20">
        <v>22630</v>
      </c>
      <c r="P20">
        <v>2121</v>
      </c>
      <c r="Q20">
        <v>20291</v>
      </c>
      <c r="R20">
        <v>984</v>
      </c>
      <c r="S20">
        <v>1013</v>
      </c>
      <c r="T20">
        <v>999</v>
      </c>
      <c r="U20">
        <v>12056</v>
      </c>
      <c r="V20">
        <v>3069</v>
      </c>
      <c r="W20">
        <v>3013</v>
      </c>
      <c r="X20">
        <v>3179</v>
      </c>
      <c r="Y20">
        <v>436</v>
      </c>
      <c r="Z20">
        <v>2357</v>
      </c>
      <c r="AA20">
        <v>75</v>
      </c>
      <c r="AB20">
        <v>1955</v>
      </c>
      <c r="AC20">
        <v>3783</v>
      </c>
      <c r="AD20">
        <v>48</v>
      </c>
      <c r="AE20">
        <v>15299</v>
      </c>
      <c r="AF20">
        <v>14780</v>
      </c>
      <c r="AG20">
        <v>191</v>
      </c>
      <c r="AH20">
        <v>288</v>
      </c>
      <c r="AI20">
        <v>13461</v>
      </c>
      <c r="AJ20">
        <v>7442</v>
      </c>
      <c r="AK20">
        <v>36</v>
      </c>
      <c r="AL20">
        <v>4594</v>
      </c>
      <c r="AM20">
        <v>1297</v>
      </c>
      <c r="AN20">
        <v>2954</v>
      </c>
      <c r="AO20">
        <v>2204</v>
      </c>
      <c r="AP20">
        <v>2186</v>
      </c>
      <c r="AQ20">
        <v>664</v>
      </c>
      <c r="AR20">
        <v>205</v>
      </c>
      <c r="AS20">
        <v>5013</v>
      </c>
      <c r="AT20">
        <v>1756</v>
      </c>
      <c r="AU20">
        <v>119</v>
      </c>
      <c r="AV20">
        <v>1009</v>
      </c>
      <c r="AW20">
        <v>587</v>
      </c>
      <c r="AX20">
        <v>351</v>
      </c>
      <c r="AY20">
        <v>3640</v>
      </c>
      <c r="AZ20">
        <v>2576</v>
      </c>
      <c r="BA20">
        <v>7</v>
      </c>
    </row>
    <row r="21" spans="1:53">
      <c r="A21" t="s">
        <v>184</v>
      </c>
      <c r="B21">
        <v>56307</v>
      </c>
      <c r="C21">
        <v>54235</v>
      </c>
      <c r="D21">
        <v>51105</v>
      </c>
      <c r="E21">
        <v>22098</v>
      </c>
      <c r="F21">
        <v>517</v>
      </c>
      <c r="G21">
        <v>514</v>
      </c>
      <c r="H21">
        <v>504</v>
      </c>
      <c r="I21">
        <v>504</v>
      </c>
      <c r="J21">
        <v>504</v>
      </c>
      <c r="K21">
        <v>189</v>
      </c>
      <c r="L21">
        <v>227</v>
      </c>
      <c r="M21">
        <v>0</v>
      </c>
      <c r="N21">
        <v>3</v>
      </c>
      <c r="O21">
        <v>12597</v>
      </c>
      <c r="P21">
        <v>2186</v>
      </c>
      <c r="Q21">
        <v>10164</v>
      </c>
      <c r="R21">
        <v>291</v>
      </c>
      <c r="S21">
        <v>61</v>
      </c>
      <c r="T21">
        <v>282</v>
      </c>
      <c r="U21">
        <v>3959</v>
      </c>
      <c r="V21">
        <v>933</v>
      </c>
      <c r="W21">
        <v>881</v>
      </c>
      <c r="X21">
        <v>3178</v>
      </c>
      <c r="Y21">
        <v>335</v>
      </c>
      <c r="Z21">
        <v>2062</v>
      </c>
      <c r="AA21">
        <v>35</v>
      </c>
      <c r="AB21">
        <v>1962</v>
      </c>
      <c r="AC21">
        <v>2148</v>
      </c>
      <c r="AD21">
        <v>14</v>
      </c>
      <c r="AE21">
        <v>8581</v>
      </c>
      <c r="AF21">
        <v>8229</v>
      </c>
      <c r="AG21">
        <v>43</v>
      </c>
      <c r="AH21">
        <v>38</v>
      </c>
      <c r="AI21">
        <v>7908</v>
      </c>
      <c r="AJ21">
        <v>2686</v>
      </c>
      <c r="AK21">
        <v>17</v>
      </c>
      <c r="AL21">
        <v>1511</v>
      </c>
      <c r="AM21">
        <v>151</v>
      </c>
      <c r="AN21">
        <v>1271</v>
      </c>
      <c r="AO21">
        <v>1026</v>
      </c>
      <c r="AP21">
        <v>1019</v>
      </c>
      <c r="AQ21">
        <v>314</v>
      </c>
      <c r="AR21">
        <v>115</v>
      </c>
      <c r="AS21">
        <v>4848</v>
      </c>
      <c r="AT21">
        <v>1584</v>
      </c>
      <c r="AU21">
        <v>153</v>
      </c>
      <c r="AV21">
        <v>1063</v>
      </c>
      <c r="AW21">
        <v>433</v>
      </c>
      <c r="AX21">
        <v>543</v>
      </c>
      <c r="AY21">
        <v>3560</v>
      </c>
      <c r="AZ21">
        <v>3103</v>
      </c>
      <c r="BA21">
        <v>9</v>
      </c>
    </row>
    <row r="22" spans="1:53">
      <c r="A22" t="s">
        <v>185</v>
      </c>
      <c r="B22">
        <v>78807</v>
      </c>
      <c r="C22">
        <v>74432</v>
      </c>
      <c r="D22">
        <v>72740</v>
      </c>
      <c r="E22">
        <v>51195</v>
      </c>
      <c r="F22">
        <v>531</v>
      </c>
      <c r="G22">
        <v>515</v>
      </c>
      <c r="H22">
        <v>491</v>
      </c>
      <c r="I22">
        <v>488</v>
      </c>
      <c r="J22">
        <v>487</v>
      </c>
      <c r="K22">
        <v>167</v>
      </c>
      <c r="L22">
        <v>256</v>
      </c>
      <c r="M22">
        <v>11</v>
      </c>
      <c r="N22">
        <v>6</v>
      </c>
      <c r="O22">
        <v>33201</v>
      </c>
      <c r="P22">
        <v>2892</v>
      </c>
      <c r="Q22">
        <v>28840</v>
      </c>
      <c r="R22">
        <v>1075</v>
      </c>
      <c r="S22">
        <v>491</v>
      </c>
      <c r="T22">
        <v>4550</v>
      </c>
      <c r="U22">
        <v>13389</v>
      </c>
      <c r="V22">
        <v>4064</v>
      </c>
      <c r="W22">
        <v>3859</v>
      </c>
      <c r="X22">
        <v>5159</v>
      </c>
      <c r="Y22">
        <v>485</v>
      </c>
      <c r="Z22">
        <v>3925</v>
      </c>
      <c r="AA22">
        <v>111</v>
      </c>
      <c r="AB22">
        <v>3465</v>
      </c>
      <c r="AC22">
        <v>8058</v>
      </c>
      <c r="AD22">
        <v>81</v>
      </c>
      <c r="AE22">
        <v>16336</v>
      </c>
      <c r="AF22">
        <v>15513</v>
      </c>
      <c r="AG22">
        <v>199</v>
      </c>
      <c r="AH22">
        <v>133</v>
      </c>
      <c r="AI22">
        <v>14466</v>
      </c>
      <c r="AJ22">
        <v>7424</v>
      </c>
      <c r="AK22">
        <v>187</v>
      </c>
      <c r="AL22">
        <v>3483</v>
      </c>
      <c r="AM22">
        <v>714</v>
      </c>
      <c r="AN22">
        <v>2585</v>
      </c>
      <c r="AO22">
        <v>3166</v>
      </c>
      <c r="AP22">
        <v>3130</v>
      </c>
      <c r="AQ22">
        <v>690</v>
      </c>
      <c r="AR22">
        <v>136</v>
      </c>
      <c r="AS22">
        <v>5861</v>
      </c>
      <c r="AT22">
        <v>1647</v>
      </c>
      <c r="AU22">
        <v>146</v>
      </c>
      <c r="AV22">
        <v>1485</v>
      </c>
      <c r="AW22">
        <v>621</v>
      </c>
      <c r="AX22">
        <v>786</v>
      </c>
      <c r="AY22">
        <v>3817</v>
      </c>
      <c r="AZ22">
        <v>3168</v>
      </c>
      <c r="BA22">
        <v>16</v>
      </c>
    </row>
    <row r="23" spans="1:53">
      <c r="A23" t="s">
        <v>186</v>
      </c>
      <c r="B23">
        <v>148761</v>
      </c>
      <c r="C23">
        <v>144702</v>
      </c>
      <c r="D23">
        <v>136700</v>
      </c>
      <c r="E23">
        <v>94801</v>
      </c>
      <c r="F23">
        <v>74</v>
      </c>
      <c r="G23">
        <v>67</v>
      </c>
      <c r="H23">
        <v>59</v>
      </c>
      <c r="I23">
        <v>59</v>
      </c>
      <c r="J23">
        <v>59</v>
      </c>
      <c r="K23">
        <v>12</v>
      </c>
      <c r="L23">
        <v>40</v>
      </c>
      <c r="M23">
        <v>0</v>
      </c>
      <c r="N23">
        <v>0</v>
      </c>
      <c r="O23">
        <v>32910</v>
      </c>
      <c r="P23">
        <v>7765</v>
      </c>
      <c r="Q23">
        <v>24615</v>
      </c>
      <c r="R23">
        <v>1384</v>
      </c>
      <c r="S23">
        <v>2647</v>
      </c>
      <c r="T23">
        <v>4320</v>
      </c>
      <c r="U23">
        <v>9659</v>
      </c>
      <c r="V23">
        <v>4074</v>
      </c>
      <c r="W23">
        <v>3993</v>
      </c>
      <c r="X23">
        <v>1735</v>
      </c>
      <c r="Y23">
        <v>365</v>
      </c>
      <c r="Z23">
        <v>1149</v>
      </c>
      <c r="AA23">
        <v>95</v>
      </c>
      <c r="AB23">
        <v>1023</v>
      </c>
      <c r="AC23">
        <v>12211</v>
      </c>
      <c r="AD23">
        <v>176</v>
      </c>
      <c r="AE23">
        <v>61337</v>
      </c>
      <c r="AF23">
        <v>55718</v>
      </c>
      <c r="AG23">
        <v>535</v>
      </c>
      <c r="AH23">
        <v>373</v>
      </c>
      <c r="AI23">
        <v>53500</v>
      </c>
      <c r="AJ23">
        <v>30299</v>
      </c>
      <c r="AK23">
        <v>64</v>
      </c>
      <c r="AL23">
        <v>19538</v>
      </c>
      <c r="AM23">
        <v>7660</v>
      </c>
      <c r="AN23">
        <v>10219</v>
      </c>
      <c r="AO23">
        <v>8767</v>
      </c>
      <c r="AP23">
        <v>8712</v>
      </c>
      <c r="AQ23">
        <v>2332</v>
      </c>
      <c r="AR23">
        <v>695</v>
      </c>
      <c r="AS23">
        <v>20453</v>
      </c>
      <c r="AT23">
        <v>3134</v>
      </c>
      <c r="AU23">
        <v>466</v>
      </c>
      <c r="AV23">
        <v>11251</v>
      </c>
      <c r="AW23">
        <v>1902</v>
      </c>
      <c r="AX23">
        <v>8800</v>
      </c>
      <c r="AY23">
        <v>8324</v>
      </c>
      <c r="AZ23">
        <v>6821</v>
      </c>
      <c r="BA23">
        <v>163</v>
      </c>
    </row>
    <row r="24" spans="1:53">
      <c r="A24" t="s">
        <v>187</v>
      </c>
      <c r="B24">
        <v>237179</v>
      </c>
      <c r="C24">
        <v>231914</v>
      </c>
      <c r="D24">
        <v>230665</v>
      </c>
      <c r="E24">
        <v>209161</v>
      </c>
      <c r="F24">
        <v>3077</v>
      </c>
      <c r="G24">
        <v>3064</v>
      </c>
      <c r="H24">
        <v>2986</v>
      </c>
      <c r="I24">
        <v>2983</v>
      </c>
      <c r="J24">
        <v>2980</v>
      </c>
      <c r="K24">
        <v>2256</v>
      </c>
      <c r="L24">
        <v>362</v>
      </c>
      <c r="M24">
        <v>7</v>
      </c>
      <c r="N24">
        <v>9</v>
      </c>
      <c r="O24">
        <v>127011</v>
      </c>
      <c r="P24">
        <v>18926</v>
      </c>
      <c r="Q24">
        <v>105764</v>
      </c>
      <c r="R24">
        <v>2370</v>
      </c>
      <c r="S24">
        <v>13138</v>
      </c>
      <c r="T24">
        <v>32213</v>
      </c>
      <c r="U24">
        <v>36972</v>
      </c>
      <c r="V24">
        <v>13681</v>
      </c>
      <c r="W24">
        <v>13401</v>
      </c>
      <c r="X24">
        <v>10738</v>
      </c>
      <c r="Y24">
        <v>1116</v>
      </c>
      <c r="Z24">
        <v>5687</v>
      </c>
      <c r="AA24">
        <v>739</v>
      </c>
      <c r="AB24">
        <v>4547</v>
      </c>
      <c r="AC24">
        <v>51864</v>
      </c>
      <c r="AD24">
        <v>237</v>
      </c>
      <c r="AE24">
        <v>77456</v>
      </c>
      <c r="AF24">
        <v>75151</v>
      </c>
      <c r="AG24">
        <v>1121</v>
      </c>
      <c r="AH24">
        <v>307</v>
      </c>
      <c r="AI24">
        <v>69637</v>
      </c>
      <c r="AJ24">
        <v>50709</v>
      </c>
      <c r="AK24">
        <v>521</v>
      </c>
      <c r="AL24">
        <v>36379</v>
      </c>
      <c r="AM24">
        <v>8695</v>
      </c>
      <c r="AN24">
        <v>25200</v>
      </c>
      <c r="AO24">
        <v>9572</v>
      </c>
      <c r="AP24">
        <v>9516</v>
      </c>
      <c r="AQ24">
        <v>2422</v>
      </c>
      <c r="AR24">
        <v>763</v>
      </c>
      <c r="AS24">
        <v>15914</v>
      </c>
      <c r="AT24">
        <v>4566</v>
      </c>
      <c r="AU24">
        <v>334</v>
      </c>
      <c r="AV24">
        <v>5439</v>
      </c>
      <c r="AW24">
        <v>1891</v>
      </c>
      <c r="AX24">
        <v>3289</v>
      </c>
      <c r="AY24">
        <v>9250</v>
      </c>
      <c r="AZ24">
        <v>7752</v>
      </c>
      <c r="BA24">
        <v>15</v>
      </c>
    </row>
    <row r="25" spans="1:53">
      <c r="A25" t="s">
        <v>188</v>
      </c>
      <c r="B25">
        <v>175293</v>
      </c>
      <c r="C25">
        <v>171404</v>
      </c>
      <c r="D25">
        <v>153549</v>
      </c>
      <c r="E25">
        <v>81209</v>
      </c>
      <c r="F25">
        <v>561</v>
      </c>
      <c r="G25">
        <v>553</v>
      </c>
      <c r="H25">
        <v>533</v>
      </c>
      <c r="I25">
        <v>528</v>
      </c>
      <c r="J25">
        <v>524</v>
      </c>
      <c r="K25">
        <v>147</v>
      </c>
      <c r="L25">
        <v>326</v>
      </c>
      <c r="M25">
        <v>11</v>
      </c>
      <c r="N25">
        <v>5</v>
      </c>
      <c r="O25">
        <v>40538</v>
      </c>
      <c r="P25">
        <v>6160</v>
      </c>
      <c r="Q25">
        <v>33620</v>
      </c>
      <c r="R25">
        <v>385</v>
      </c>
      <c r="S25">
        <v>194</v>
      </c>
      <c r="T25">
        <v>2092</v>
      </c>
      <c r="U25">
        <v>14943</v>
      </c>
      <c r="V25">
        <v>2752</v>
      </c>
      <c r="W25">
        <v>2657</v>
      </c>
      <c r="X25">
        <v>8456</v>
      </c>
      <c r="Y25">
        <v>1474</v>
      </c>
      <c r="Z25">
        <v>6124</v>
      </c>
      <c r="AA25">
        <v>144</v>
      </c>
      <c r="AB25">
        <v>5295</v>
      </c>
      <c r="AC25">
        <v>7688</v>
      </c>
      <c r="AD25">
        <v>101</v>
      </c>
      <c r="AE25">
        <v>39051</v>
      </c>
      <c r="AF25">
        <v>36347</v>
      </c>
      <c r="AG25">
        <v>139</v>
      </c>
      <c r="AH25">
        <v>66</v>
      </c>
      <c r="AI25">
        <v>35628</v>
      </c>
      <c r="AJ25">
        <v>22138</v>
      </c>
      <c r="AK25">
        <v>58</v>
      </c>
      <c r="AL25">
        <v>9610</v>
      </c>
      <c r="AM25">
        <v>2984</v>
      </c>
      <c r="AN25">
        <v>5998</v>
      </c>
      <c r="AO25">
        <v>10519</v>
      </c>
      <c r="AP25">
        <v>10321</v>
      </c>
      <c r="AQ25">
        <v>2520</v>
      </c>
      <c r="AR25">
        <v>478</v>
      </c>
      <c r="AS25">
        <v>9728</v>
      </c>
      <c r="AT25">
        <v>2196</v>
      </c>
      <c r="AU25">
        <v>221</v>
      </c>
      <c r="AV25">
        <v>1990</v>
      </c>
      <c r="AW25">
        <v>844</v>
      </c>
      <c r="AX25">
        <v>1027</v>
      </c>
      <c r="AY25">
        <v>7202</v>
      </c>
      <c r="AZ25">
        <v>4229</v>
      </c>
      <c r="BA25">
        <v>53</v>
      </c>
    </row>
    <row r="26" spans="1:53">
      <c r="A26" t="s">
        <v>189</v>
      </c>
      <c r="B26">
        <v>162753</v>
      </c>
      <c r="C26">
        <v>158102</v>
      </c>
      <c r="D26">
        <v>148260</v>
      </c>
      <c r="E26">
        <v>115634</v>
      </c>
      <c r="F26">
        <v>19</v>
      </c>
      <c r="G26">
        <v>14</v>
      </c>
      <c r="H26">
        <v>8</v>
      </c>
      <c r="I26">
        <v>8</v>
      </c>
      <c r="J26">
        <v>8</v>
      </c>
      <c r="K26">
        <v>1</v>
      </c>
      <c r="L26">
        <v>4</v>
      </c>
      <c r="M26">
        <v>0</v>
      </c>
      <c r="N26">
        <v>0</v>
      </c>
      <c r="O26">
        <v>52874</v>
      </c>
      <c r="P26">
        <v>8851</v>
      </c>
      <c r="Q26">
        <v>42896</v>
      </c>
      <c r="R26">
        <v>2120</v>
      </c>
      <c r="S26">
        <v>1631</v>
      </c>
      <c r="T26">
        <v>5222</v>
      </c>
      <c r="U26">
        <v>21757</v>
      </c>
      <c r="V26">
        <v>6837</v>
      </c>
      <c r="W26">
        <v>6580</v>
      </c>
      <c r="X26">
        <v>3329</v>
      </c>
      <c r="Y26">
        <v>565</v>
      </c>
      <c r="Z26">
        <v>2479</v>
      </c>
      <c r="AA26">
        <v>1039</v>
      </c>
      <c r="AB26">
        <v>1200</v>
      </c>
      <c r="AC26">
        <v>15814</v>
      </c>
      <c r="AD26">
        <v>55</v>
      </c>
      <c r="AE26">
        <v>62263</v>
      </c>
      <c r="AF26">
        <v>58436</v>
      </c>
      <c r="AG26">
        <v>350</v>
      </c>
      <c r="AH26">
        <v>113</v>
      </c>
      <c r="AI26">
        <v>56784</v>
      </c>
      <c r="AJ26">
        <v>41893</v>
      </c>
      <c r="AK26">
        <v>152</v>
      </c>
      <c r="AL26">
        <v>26441</v>
      </c>
      <c r="AM26">
        <v>4699</v>
      </c>
      <c r="AN26">
        <v>19581</v>
      </c>
      <c r="AO26">
        <v>12611</v>
      </c>
      <c r="AP26">
        <v>12515</v>
      </c>
      <c r="AQ26">
        <v>4606</v>
      </c>
      <c r="AR26">
        <v>2410</v>
      </c>
      <c r="AS26">
        <v>12805</v>
      </c>
      <c r="AT26">
        <v>1873</v>
      </c>
      <c r="AU26">
        <v>641</v>
      </c>
      <c r="AV26">
        <v>4880</v>
      </c>
      <c r="AW26">
        <v>1645</v>
      </c>
      <c r="AX26">
        <v>2662</v>
      </c>
      <c r="AY26">
        <v>7300</v>
      </c>
      <c r="AZ26">
        <v>5368</v>
      </c>
      <c r="BA26">
        <v>230</v>
      </c>
    </row>
    <row r="27" spans="1:53">
      <c r="A27" t="s">
        <v>190</v>
      </c>
      <c r="B27">
        <v>137438</v>
      </c>
      <c r="C27">
        <v>134002</v>
      </c>
      <c r="D27">
        <v>128884</v>
      </c>
      <c r="E27">
        <v>106643</v>
      </c>
      <c r="F27">
        <v>61</v>
      </c>
      <c r="G27">
        <v>60</v>
      </c>
      <c r="H27">
        <v>57</v>
      </c>
      <c r="I27">
        <v>56</v>
      </c>
      <c r="J27">
        <v>53</v>
      </c>
      <c r="K27">
        <v>19</v>
      </c>
      <c r="L27">
        <v>28</v>
      </c>
      <c r="M27">
        <v>0</v>
      </c>
      <c r="N27">
        <v>1</v>
      </c>
      <c r="O27">
        <v>45445</v>
      </c>
      <c r="P27">
        <v>10135</v>
      </c>
      <c r="Q27">
        <v>34601</v>
      </c>
      <c r="R27">
        <v>614</v>
      </c>
      <c r="S27">
        <v>216</v>
      </c>
      <c r="T27">
        <v>2254</v>
      </c>
      <c r="U27">
        <v>24333</v>
      </c>
      <c r="V27">
        <v>13588</v>
      </c>
      <c r="W27">
        <v>12140</v>
      </c>
      <c r="X27">
        <v>2310</v>
      </c>
      <c r="Y27">
        <v>100</v>
      </c>
      <c r="Z27">
        <v>1349</v>
      </c>
      <c r="AA27">
        <v>19</v>
      </c>
      <c r="AB27">
        <v>1281</v>
      </c>
      <c r="AC27">
        <v>5553</v>
      </c>
      <c r="AD27">
        <v>239</v>
      </c>
      <c r="AE27">
        <v>60081</v>
      </c>
      <c r="AF27">
        <v>58737</v>
      </c>
      <c r="AG27">
        <v>3124</v>
      </c>
      <c r="AH27">
        <v>425</v>
      </c>
      <c r="AI27">
        <v>47576</v>
      </c>
      <c r="AJ27">
        <v>27536</v>
      </c>
      <c r="AK27">
        <v>307</v>
      </c>
      <c r="AL27">
        <v>8699</v>
      </c>
      <c r="AM27">
        <v>219</v>
      </c>
      <c r="AN27">
        <v>8348</v>
      </c>
      <c r="AO27">
        <v>16660</v>
      </c>
      <c r="AP27">
        <v>16637</v>
      </c>
      <c r="AQ27">
        <v>9363</v>
      </c>
      <c r="AR27">
        <v>6646</v>
      </c>
      <c r="AS27">
        <v>14814</v>
      </c>
      <c r="AT27">
        <v>8343</v>
      </c>
      <c r="AU27">
        <v>5066</v>
      </c>
      <c r="AV27">
        <v>3378</v>
      </c>
      <c r="AW27">
        <v>2715</v>
      </c>
      <c r="AX27">
        <v>495</v>
      </c>
      <c r="AY27">
        <v>10383</v>
      </c>
      <c r="AZ27">
        <v>10165</v>
      </c>
      <c r="BA27">
        <v>15</v>
      </c>
    </row>
    <row r="28" spans="1:53">
      <c r="A28" t="s">
        <v>191</v>
      </c>
      <c r="B28">
        <v>195514</v>
      </c>
      <c r="C28">
        <v>191326</v>
      </c>
      <c r="D28">
        <v>189278</v>
      </c>
      <c r="E28">
        <v>151871</v>
      </c>
      <c r="F28">
        <v>4779</v>
      </c>
      <c r="G28">
        <v>4746</v>
      </c>
      <c r="H28">
        <v>4568</v>
      </c>
      <c r="I28">
        <v>4557</v>
      </c>
      <c r="J28">
        <v>4547</v>
      </c>
      <c r="K28">
        <v>1025</v>
      </c>
      <c r="L28">
        <v>3020</v>
      </c>
      <c r="M28">
        <v>4</v>
      </c>
      <c r="N28">
        <v>36</v>
      </c>
      <c r="O28">
        <v>90157</v>
      </c>
      <c r="P28">
        <v>23770</v>
      </c>
      <c r="Q28">
        <v>63914</v>
      </c>
      <c r="R28">
        <v>1166</v>
      </c>
      <c r="S28">
        <v>311</v>
      </c>
      <c r="T28">
        <v>1218</v>
      </c>
      <c r="U28">
        <v>31700</v>
      </c>
      <c r="V28">
        <v>7782</v>
      </c>
      <c r="W28">
        <v>7581</v>
      </c>
      <c r="X28">
        <v>18229</v>
      </c>
      <c r="Y28">
        <v>3851</v>
      </c>
      <c r="Z28">
        <v>11044</v>
      </c>
      <c r="AA28">
        <v>173</v>
      </c>
      <c r="AB28">
        <v>9862</v>
      </c>
      <c r="AC28">
        <v>7980</v>
      </c>
      <c r="AD28">
        <v>122</v>
      </c>
      <c r="AE28">
        <v>53447</v>
      </c>
      <c r="AF28">
        <v>50207</v>
      </c>
      <c r="AG28">
        <v>275</v>
      </c>
      <c r="AH28">
        <v>290</v>
      </c>
      <c r="AI28">
        <v>48822</v>
      </c>
      <c r="AJ28">
        <v>32990</v>
      </c>
      <c r="AK28">
        <v>108</v>
      </c>
      <c r="AL28">
        <v>26767</v>
      </c>
      <c r="AM28">
        <v>7187</v>
      </c>
      <c r="AN28">
        <v>16646</v>
      </c>
      <c r="AO28">
        <v>5246</v>
      </c>
      <c r="AP28">
        <v>5064</v>
      </c>
      <c r="AQ28">
        <v>3693</v>
      </c>
      <c r="AR28">
        <v>2360</v>
      </c>
      <c r="AS28">
        <v>14257</v>
      </c>
      <c r="AT28">
        <v>2877</v>
      </c>
      <c r="AU28">
        <v>733</v>
      </c>
      <c r="AV28">
        <v>8560</v>
      </c>
      <c r="AW28">
        <v>1374</v>
      </c>
      <c r="AX28">
        <v>6395</v>
      </c>
      <c r="AY28">
        <v>5420</v>
      </c>
      <c r="AZ28">
        <v>4024</v>
      </c>
      <c r="BA28">
        <v>204</v>
      </c>
    </row>
    <row r="29" spans="1:53">
      <c r="A29" t="s">
        <v>192</v>
      </c>
      <c r="B29">
        <v>52549</v>
      </c>
      <c r="C29">
        <v>50413</v>
      </c>
      <c r="D29">
        <v>48624</v>
      </c>
      <c r="E29">
        <v>28018</v>
      </c>
      <c r="F29">
        <v>145</v>
      </c>
      <c r="G29">
        <v>143</v>
      </c>
      <c r="H29">
        <v>140</v>
      </c>
      <c r="I29">
        <v>140</v>
      </c>
      <c r="J29">
        <v>140</v>
      </c>
      <c r="K29">
        <v>47</v>
      </c>
      <c r="L29">
        <v>74</v>
      </c>
      <c r="M29">
        <v>6</v>
      </c>
      <c r="N29">
        <v>2</v>
      </c>
      <c r="O29">
        <v>17963</v>
      </c>
      <c r="P29">
        <v>3239</v>
      </c>
      <c r="Q29">
        <v>14171</v>
      </c>
      <c r="R29">
        <v>447</v>
      </c>
      <c r="S29">
        <v>784</v>
      </c>
      <c r="T29">
        <v>2288</v>
      </c>
      <c r="U29">
        <v>3058</v>
      </c>
      <c r="V29">
        <v>587</v>
      </c>
      <c r="W29">
        <v>552</v>
      </c>
      <c r="X29">
        <v>925</v>
      </c>
      <c r="Y29">
        <v>102</v>
      </c>
      <c r="Z29">
        <v>745</v>
      </c>
      <c r="AA29">
        <v>178</v>
      </c>
      <c r="AB29">
        <v>499</v>
      </c>
      <c r="AC29">
        <v>9782</v>
      </c>
      <c r="AD29">
        <v>25</v>
      </c>
      <c r="AE29">
        <v>9638</v>
      </c>
      <c r="AF29">
        <v>9360</v>
      </c>
      <c r="AG29">
        <v>74</v>
      </c>
      <c r="AH29">
        <v>41</v>
      </c>
      <c r="AI29">
        <v>8801</v>
      </c>
      <c r="AJ29">
        <v>4881</v>
      </c>
      <c r="AK29">
        <v>54</v>
      </c>
      <c r="AL29">
        <v>3368</v>
      </c>
      <c r="AM29">
        <v>509</v>
      </c>
      <c r="AN29">
        <v>2626</v>
      </c>
      <c r="AO29">
        <v>1164</v>
      </c>
      <c r="AP29">
        <v>1155</v>
      </c>
      <c r="AQ29">
        <v>492</v>
      </c>
      <c r="AR29">
        <v>181</v>
      </c>
      <c r="AS29">
        <v>3349</v>
      </c>
      <c r="AT29">
        <v>438</v>
      </c>
      <c r="AU29">
        <v>50</v>
      </c>
      <c r="AV29">
        <v>1048</v>
      </c>
      <c r="AW29">
        <v>657</v>
      </c>
      <c r="AX29">
        <v>309</v>
      </c>
      <c r="AY29">
        <v>2031</v>
      </c>
      <c r="AZ29">
        <v>1366</v>
      </c>
      <c r="BA29">
        <v>11</v>
      </c>
    </row>
    <row r="30" spans="1:53">
      <c r="A30" t="s">
        <v>193</v>
      </c>
      <c r="B30">
        <v>141672</v>
      </c>
      <c r="C30">
        <v>138657</v>
      </c>
      <c r="D30">
        <v>125312</v>
      </c>
      <c r="E30">
        <v>78685</v>
      </c>
      <c r="F30">
        <v>595</v>
      </c>
      <c r="G30">
        <v>589</v>
      </c>
      <c r="H30">
        <v>548</v>
      </c>
      <c r="I30">
        <v>548</v>
      </c>
      <c r="J30">
        <v>546</v>
      </c>
      <c r="K30">
        <v>278</v>
      </c>
      <c r="L30">
        <v>174</v>
      </c>
      <c r="M30">
        <v>11</v>
      </c>
      <c r="N30">
        <v>6</v>
      </c>
      <c r="O30">
        <v>37666</v>
      </c>
      <c r="P30">
        <v>5139</v>
      </c>
      <c r="Q30">
        <v>31471</v>
      </c>
      <c r="R30">
        <v>2202</v>
      </c>
      <c r="S30">
        <v>1234</v>
      </c>
      <c r="T30">
        <v>3050</v>
      </c>
      <c r="U30">
        <v>10114</v>
      </c>
      <c r="V30">
        <v>4354</v>
      </c>
      <c r="W30">
        <v>4324</v>
      </c>
      <c r="X30">
        <v>3195</v>
      </c>
      <c r="Y30">
        <v>525</v>
      </c>
      <c r="Z30">
        <v>2041</v>
      </c>
      <c r="AA30">
        <v>427</v>
      </c>
      <c r="AB30">
        <v>1313</v>
      </c>
      <c r="AC30">
        <v>15723</v>
      </c>
      <c r="AD30">
        <v>103</v>
      </c>
      <c r="AE30">
        <v>39612</v>
      </c>
      <c r="AF30">
        <v>37410</v>
      </c>
      <c r="AG30">
        <v>102</v>
      </c>
      <c r="AH30">
        <v>81</v>
      </c>
      <c r="AI30">
        <v>36835</v>
      </c>
      <c r="AJ30">
        <v>27029</v>
      </c>
      <c r="AK30">
        <v>267</v>
      </c>
      <c r="AL30">
        <v>13443</v>
      </c>
      <c r="AM30">
        <v>6109</v>
      </c>
      <c r="AN30">
        <v>6532</v>
      </c>
      <c r="AO30">
        <v>10474</v>
      </c>
      <c r="AP30">
        <v>10265</v>
      </c>
      <c r="AQ30">
        <v>1376</v>
      </c>
      <c r="AR30">
        <v>327</v>
      </c>
      <c r="AS30">
        <v>8272</v>
      </c>
      <c r="AT30">
        <v>1367</v>
      </c>
      <c r="AU30">
        <v>142</v>
      </c>
      <c r="AV30">
        <v>2308</v>
      </c>
      <c r="AW30">
        <v>879</v>
      </c>
      <c r="AX30">
        <v>1341</v>
      </c>
      <c r="AY30">
        <v>5192</v>
      </c>
      <c r="AZ30">
        <v>4347</v>
      </c>
      <c r="BA30">
        <v>11</v>
      </c>
    </row>
    <row r="31" spans="1:53">
      <c r="A31" t="s">
        <v>194</v>
      </c>
      <c r="B31">
        <v>41092</v>
      </c>
      <c r="C31">
        <v>39807</v>
      </c>
      <c r="D31">
        <v>35649</v>
      </c>
      <c r="E31">
        <v>19175</v>
      </c>
      <c r="F31">
        <v>41</v>
      </c>
      <c r="G31">
        <v>41</v>
      </c>
      <c r="H31">
        <v>38</v>
      </c>
      <c r="I31">
        <v>38</v>
      </c>
      <c r="J31">
        <v>38</v>
      </c>
      <c r="K31">
        <v>10</v>
      </c>
      <c r="L31">
        <v>21</v>
      </c>
      <c r="M31">
        <v>0</v>
      </c>
      <c r="N31">
        <v>0</v>
      </c>
      <c r="O31">
        <v>7660</v>
      </c>
      <c r="P31">
        <v>1324</v>
      </c>
      <c r="Q31">
        <v>5952</v>
      </c>
      <c r="R31">
        <v>440</v>
      </c>
      <c r="S31">
        <v>438</v>
      </c>
      <c r="T31">
        <v>1323</v>
      </c>
      <c r="U31">
        <v>1408</v>
      </c>
      <c r="V31">
        <v>181</v>
      </c>
      <c r="W31">
        <v>164</v>
      </c>
      <c r="X31">
        <v>498</v>
      </c>
      <c r="Y31">
        <v>64</v>
      </c>
      <c r="Z31">
        <v>354</v>
      </c>
      <c r="AA31">
        <v>26</v>
      </c>
      <c r="AB31">
        <v>323</v>
      </c>
      <c r="AC31">
        <v>3864</v>
      </c>
      <c r="AD31">
        <v>61</v>
      </c>
      <c r="AE31">
        <v>11359</v>
      </c>
      <c r="AF31">
        <v>10572</v>
      </c>
      <c r="AG31">
        <v>87</v>
      </c>
      <c r="AH31">
        <v>33</v>
      </c>
      <c r="AI31">
        <v>10151</v>
      </c>
      <c r="AJ31">
        <v>6357</v>
      </c>
      <c r="AK31">
        <v>11</v>
      </c>
      <c r="AL31">
        <v>3529</v>
      </c>
      <c r="AM31">
        <v>1224</v>
      </c>
      <c r="AN31">
        <v>1968</v>
      </c>
      <c r="AO31">
        <v>2414</v>
      </c>
      <c r="AP31">
        <v>2321</v>
      </c>
      <c r="AQ31">
        <v>627</v>
      </c>
      <c r="AR31">
        <v>252</v>
      </c>
      <c r="AS31">
        <v>3091</v>
      </c>
      <c r="AT31">
        <v>438</v>
      </c>
      <c r="AU31">
        <v>110</v>
      </c>
      <c r="AV31">
        <v>1389</v>
      </c>
      <c r="AW31">
        <v>296</v>
      </c>
      <c r="AX31">
        <v>953</v>
      </c>
      <c r="AY31">
        <v>1594</v>
      </c>
      <c r="AZ31">
        <v>1191</v>
      </c>
      <c r="BA31">
        <v>75</v>
      </c>
    </row>
    <row r="32" spans="1:53">
      <c r="A32" t="s">
        <v>195</v>
      </c>
      <c r="B32">
        <v>219518</v>
      </c>
      <c r="C32">
        <v>216315</v>
      </c>
      <c r="D32">
        <v>196851</v>
      </c>
      <c r="E32">
        <v>93614</v>
      </c>
      <c r="F32">
        <v>353</v>
      </c>
      <c r="G32">
        <v>353</v>
      </c>
      <c r="H32">
        <v>336</v>
      </c>
      <c r="I32">
        <v>330</v>
      </c>
      <c r="J32">
        <v>328</v>
      </c>
      <c r="K32">
        <v>185</v>
      </c>
      <c r="L32">
        <v>19</v>
      </c>
      <c r="M32">
        <v>0</v>
      </c>
      <c r="N32">
        <v>0</v>
      </c>
      <c r="O32">
        <v>34564</v>
      </c>
      <c r="P32">
        <v>4324</v>
      </c>
      <c r="Q32">
        <v>29353</v>
      </c>
      <c r="R32">
        <v>683</v>
      </c>
      <c r="S32">
        <v>2649</v>
      </c>
      <c r="T32">
        <v>6757</v>
      </c>
      <c r="U32">
        <v>11811</v>
      </c>
      <c r="V32">
        <v>10308</v>
      </c>
      <c r="W32">
        <v>10065</v>
      </c>
      <c r="X32">
        <v>1695</v>
      </c>
      <c r="Y32">
        <v>250</v>
      </c>
      <c r="Z32">
        <v>1293</v>
      </c>
      <c r="AA32">
        <v>116</v>
      </c>
      <c r="AB32">
        <v>901</v>
      </c>
      <c r="AC32">
        <v>13136</v>
      </c>
      <c r="AD32">
        <v>123</v>
      </c>
      <c r="AE32">
        <v>57919</v>
      </c>
      <c r="AF32">
        <v>55364</v>
      </c>
      <c r="AG32">
        <v>253</v>
      </c>
      <c r="AH32">
        <v>356</v>
      </c>
      <c r="AI32">
        <v>53436</v>
      </c>
      <c r="AJ32">
        <v>38925</v>
      </c>
      <c r="AK32">
        <v>91</v>
      </c>
      <c r="AL32">
        <v>26088</v>
      </c>
      <c r="AM32">
        <v>5447</v>
      </c>
      <c r="AN32">
        <v>18128</v>
      </c>
      <c r="AO32">
        <v>9765</v>
      </c>
      <c r="AP32">
        <v>9624</v>
      </c>
      <c r="AQ32">
        <v>2212</v>
      </c>
      <c r="AR32">
        <v>829</v>
      </c>
      <c r="AS32">
        <v>12392</v>
      </c>
      <c r="AT32">
        <v>1112</v>
      </c>
      <c r="AU32">
        <v>170</v>
      </c>
      <c r="AV32">
        <v>3140</v>
      </c>
      <c r="AW32">
        <v>1220</v>
      </c>
      <c r="AX32">
        <v>1625</v>
      </c>
      <c r="AY32">
        <v>8487</v>
      </c>
      <c r="AZ32">
        <v>5886</v>
      </c>
      <c r="BA32">
        <v>123</v>
      </c>
    </row>
    <row r="33" spans="1:53">
      <c r="A33" t="s">
        <v>196</v>
      </c>
      <c r="B33">
        <v>140014</v>
      </c>
      <c r="C33">
        <v>136628</v>
      </c>
      <c r="D33">
        <v>130636</v>
      </c>
      <c r="E33">
        <v>82533</v>
      </c>
      <c r="F33">
        <v>339</v>
      </c>
      <c r="G33">
        <v>329</v>
      </c>
      <c r="H33">
        <v>322</v>
      </c>
      <c r="I33">
        <v>322</v>
      </c>
      <c r="J33">
        <v>322</v>
      </c>
      <c r="K33">
        <v>73</v>
      </c>
      <c r="L33">
        <v>228</v>
      </c>
      <c r="M33">
        <v>0</v>
      </c>
      <c r="N33">
        <v>0</v>
      </c>
      <c r="O33">
        <v>23516</v>
      </c>
      <c r="P33">
        <v>6520</v>
      </c>
      <c r="Q33">
        <v>16266</v>
      </c>
      <c r="R33">
        <v>1973</v>
      </c>
      <c r="S33">
        <v>863</v>
      </c>
      <c r="T33">
        <v>977</v>
      </c>
      <c r="U33">
        <v>5758</v>
      </c>
      <c r="V33">
        <v>937</v>
      </c>
      <c r="W33">
        <v>837</v>
      </c>
      <c r="X33">
        <v>2712</v>
      </c>
      <c r="Y33">
        <v>509</v>
      </c>
      <c r="Z33">
        <v>1770</v>
      </c>
      <c r="AA33">
        <v>18</v>
      </c>
      <c r="AB33">
        <v>1740</v>
      </c>
      <c r="AC33">
        <v>6761</v>
      </c>
      <c r="AD33">
        <v>275</v>
      </c>
      <c r="AE33">
        <v>57683</v>
      </c>
      <c r="AF33">
        <v>52269</v>
      </c>
      <c r="AG33">
        <v>130</v>
      </c>
      <c r="AH33">
        <v>1611</v>
      </c>
      <c r="AI33">
        <v>49046</v>
      </c>
      <c r="AJ33">
        <v>12970</v>
      </c>
      <c r="AK33">
        <v>13</v>
      </c>
      <c r="AL33">
        <v>3871</v>
      </c>
      <c r="AM33">
        <v>1049</v>
      </c>
      <c r="AN33">
        <v>2647</v>
      </c>
      <c r="AO33">
        <v>7888</v>
      </c>
      <c r="AP33">
        <v>7795</v>
      </c>
      <c r="AQ33">
        <v>883</v>
      </c>
      <c r="AR33">
        <v>137</v>
      </c>
      <c r="AS33">
        <v>34269</v>
      </c>
      <c r="AT33">
        <v>3056</v>
      </c>
      <c r="AU33">
        <v>385</v>
      </c>
      <c r="AV33">
        <v>3845</v>
      </c>
      <c r="AW33">
        <v>1948</v>
      </c>
      <c r="AX33">
        <v>1646</v>
      </c>
      <c r="AY33">
        <v>29139</v>
      </c>
      <c r="AZ33">
        <v>18363</v>
      </c>
      <c r="BA33">
        <v>94</v>
      </c>
    </row>
    <row r="34" spans="1:53">
      <c r="A34" t="s">
        <v>197</v>
      </c>
      <c r="B34">
        <v>241814</v>
      </c>
      <c r="C34">
        <v>235966</v>
      </c>
      <c r="D34">
        <v>231326</v>
      </c>
      <c r="E34">
        <v>203103</v>
      </c>
      <c r="F34">
        <v>561</v>
      </c>
      <c r="G34">
        <v>555</v>
      </c>
      <c r="H34">
        <v>519</v>
      </c>
      <c r="I34">
        <v>518</v>
      </c>
      <c r="J34">
        <v>518</v>
      </c>
      <c r="K34">
        <v>261</v>
      </c>
      <c r="L34">
        <v>207</v>
      </c>
      <c r="M34">
        <v>5</v>
      </c>
      <c r="N34">
        <v>4</v>
      </c>
      <c r="O34">
        <v>61057</v>
      </c>
      <c r="P34">
        <v>15743</v>
      </c>
      <c r="Q34">
        <v>43266</v>
      </c>
      <c r="R34">
        <v>2389</v>
      </c>
      <c r="S34">
        <v>2167</v>
      </c>
      <c r="T34">
        <v>8253</v>
      </c>
      <c r="U34">
        <v>15622</v>
      </c>
      <c r="V34">
        <v>7357</v>
      </c>
      <c r="W34">
        <v>7000</v>
      </c>
      <c r="X34">
        <v>4079</v>
      </c>
      <c r="Y34">
        <v>567</v>
      </c>
      <c r="Z34">
        <v>2803</v>
      </c>
      <c r="AA34">
        <v>110</v>
      </c>
      <c r="AB34">
        <v>2555</v>
      </c>
      <c r="AC34">
        <v>21514</v>
      </c>
      <c r="AD34">
        <v>188</v>
      </c>
      <c r="AE34">
        <v>140609</v>
      </c>
      <c r="AF34">
        <v>131588</v>
      </c>
      <c r="AG34">
        <v>435</v>
      </c>
      <c r="AH34">
        <v>1690</v>
      </c>
      <c r="AI34">
        <v>125826</v>
      </c>
      <c r="AJ34">
        <v>37448</v>
      </c>
      <c r="AK34">
        <v>439</v>
      </c>
      <c r="AL34">
        <v>18452</v>
      </c>
      <c r="AM34">
        <v>4486</v>
      </c>
      <c r="AN34">
        <v>12779</v>
      </c>
      <c r="AO34">
        <v>15065</v>
      </c>
      <c r="AP34">
        <v>14964</v>
      </c>
      <c r="AQ34">
        <v>5618</v>
      </c>
      <c r="AR34">
        <v>908</v>
      </c>
      <c r="AS34">
        <v>83703</v>
      </c>
      <c r="AT34">
        <v>13383</v>
      </c>
      <c r="AU34">
        <v>1164</v>
      </c>
      <c r="AV34">
        <v>5172</v>
      </c>
      <c r="AW34">
        <v>2123</v>
      </c>
      <c r="AX34">
        <v>2777</v>
      </c>
      <c r="AY34">
        <v>76629</v>
      </c>
      <c r="AZ34">
        <v>53362</v>
      </c>
      <c r="BA34">
        <v>1213</v>
      </c>
    </row>
    <row r="35" spans="1:53">
      <c r="A35" t="s">
        <v>198</v>
      </c>
      <c r="B35">
        <v>325659</v>
      </c>
      <c r="C35">
        <v>316769</v>
      </c>
      <c r="D35">
        <v>305455</v>
      </c>
      <c r="E35">
        <v>212019</v>
      </c>
      <c r="F35">
        <v>163</v>
      </c>
      <c r="G35">
        <v>163</v>
      </c>
      <c r="H35">
        <v>154</v>
      </c>
      <c r="I35">
        <v>152</v>
      </c>
      <c r="J35">
        <v>149</v>
      </c>
      <c r="K35">
        <v>41</v>
      </c>
      <c r="L35">
        <v>88</v>
      </c>
      <c r="M35">
        <v>1</v>
      </c>
      <c r="N35">
        <v>1</v>
      </c>
      <c r="O35">
        <v>89622</v>
      </c>
      <c r="P35">
        <v>31257</v>
      </c>
      <c r="Q35">
        <v>56926</v>
      </c>
      <c r="R35">
        <v>3636</v>
      </c>
      <c r="S35">
        <v>6119</v>
      </c>
      <c r="T35">
        <v>8385</v>
      </c>
      <c r="U35">
        <v>17471</v>
      </c>
      <c r="V35">
        <v>10857</v>
      </c>
      <c r="W35">
        <v>7791</v>
      </c>
      <c r="X35">
        <v>2878</v>
      </c>
      <c r="Y35">
        <v>580</v>
      </c>
      <c r="Z35">
        <v>2024</v>
      </c>
      <c r="AA35">
        <v>209</v>
      </c>
      <c r="AB35">
        <v>1630</v>
      </c>
      <c r="AC35">
        <v>31800</v>
      </c>
      <c r="AD35">
        <v>944</v>
      </c>
      <c r="AE35">
        <v>120787</v>
      </c>
      <c r="AF35">
        <v>111758</v>
      </c>
      <c r="AG35">
        <v>7923</v>
      </c>
      <c r="AH35">
        <v>660</v>
      </c>
      <c r="AI35">
        <v>90682</v>
      </c>
      <c r="AJ35">
        <v>57620</v>
      </c>
      <c r="AK35">
        <v>76</v>
      </c>
      <c r="AL35">
        <v>28775</v>
      </c>
      <c r="AM35">
        <v>2605</v>
      </c>
      <c r="AN35">
        <v>24696</v>
      </c>
      <c r="AO35">
        <v>24538</v>
      </c>
      <c r="AP35">
        <v>24451</v>
      </c>
      <c r="AQ35">
        <v>7295</v>
      </c>
      <c r="AR35">
        <v>4602</v>
      </c>
      <c r="AS35">
        <v>24313</v>
      </c>
      <c r="AT35">
        <v>4814</v>
      </c>
      <c r="AU35">
        <v>2773</v>
      </c>
      <c r="AV35">
        <v>4029</v>
      </c>
      <c r="AW35">
        <v>2388</v>
      </c>
      <c r="AX35">
        <v>1286</v>
      </c>
      <c r="AY35">
        <v>19131</v>
      </c>
      <c r="AZ35">
        <v>15533</v>
      </c>
      <c r="BA35">
        <v>50</v>
      </c>
    </row>
    <row r="36" spans="1:53">
      <c r="A36" t="s">
        <v>199</v>
      </c>
      <c r="B36">
        <v>247391</v>
      </c>
      <c r="C36">
        <v>242168</v>
      </c>
      <c r="D36">
        <v>230207</v>
      </c>
      <c r="E36">
        <v>70991</v>
      </c>
      <c r="F36">
        <v>676</v>
      </c>
      <c r="G36">
        <v>667</v>
      </c>
      <c r="H36">
        <v>646</v>
      </c>
      <c r="I36">
        <v>641</v>
      </c>
      <c r="J36">
        <v>640</v>
      </c>
      <c r="K36">
        <v>333</v>
      </c>
      <c r="L36">
        <v>54</v>
      </c>
      <c r="M36">
        <v>1</v>
      </c>
      <c r="N36">
        <v>0</v>
      </c>
      <c r="O36">
        <v>48230</v>
      </c>
      <c r="P36">
        <v>10275</v>
      </c>
      <c r="Q36">
        <v>36279</v>
      </c>
      <c r="R36">
        <v>483</v>
      </c>
      <c r="S36">
        <v>982</v>
      </c>
      <c r="T36">
        <v>5163</v>
      </c>
      <c r="U36">
        <v>18338</v>
      </c>
      <c r="V36">
        <v>7129</v>
      </c>
      <c r="W36">
        <v>6591</v>
      </c>
      <c r="X36">
        <v>6108</v>
      </c>
      <c r="Y36">
        <v>1259</v>
      </c>
      <c r="Z36">
        <v>3676</v>
      </c>
      <c r="AA36">
        <v>246</v>
      </c>
      <c r="AB36">
        <v>3013</v>
      </c>
      <c r="AC36">
        <v>9052</v>
      </c>
      <c r="AD36">
        <v>67</v>
      </c>
      <c r="AE36">
        <v>21111</v>
      </c>
      <c r="AF36">
        <v>18991</v>
      </c>
      <c r="AG36">
        <v>106</v>
      </c>
      <c r="AH36">
        <v>341</v>
      </c>
      <c r="AI36">
        <v>18080</v>
      </c>
      <c r="AJ36">
        <v>8542</v>
      </c>
      <c r="AK36">
        <v>57</v>
      </c>
      <c r="AL36">
        <v>2952</v>
      </c>
      <c r="AM36">
        <v>1678</v>
      </c>
      <c r="AN36">
        <v>1019</v>
      </c>
      <c r="AO36">
        <v>4583</v>
      </c>
      <c r="AP36">
        <v>4241</v>
      </c>
      <c r="AQ36">
        <v>1066</v>
      </c>
      <c r="AR36">
        <v>114</v>
      </c>
      <c r="AS36">
        <v>9039</v>
      </c>
      <c r="AT36">
        <v>3324</v>
      </c>
      <c r="AU36">
        <v>166</v>
      </c>
      <c r="AV36">
        <v>406</v>
      </c>
      <c r="AW36">
        <v>172</v>
      </c>
      <c r="AX36">
        <v>196</v>
      </c>
      <c r="AY36">
        <v>8250</v>
      </c>
      <c r="AZ36">
        <v>5610</v>
      </c>
      <c r="BA36">
        <v>55</v>
      </c>
    </row>
    <row r="37" spans="1:53">
      <c r="A37" t="s">
        <v>200</v>
      </c>
      <c r="B37">
        <v>19490</v>
      </c>
      <c r="C37">
        <v>18962</v>
      </c>
      <c r="D37">
        <v>18555</v>
      </c>
      <c r="E37">
        <v>10768</v>
      </c>
      <c r="F37">
        <v>213</v>
      </c>
      <c r="G37">
        <v>213</v>
      </c>
      <c r="H37">
        <v>203</v>
      </c>
      <c r="I37">
        <v>203</v>
      </c>
      <c r="J37">
        <v>201</v>
      </c>
      <c r="K37">
        <v>88</v>
      </c>
      <c r="L37">
        <v>66</v>
      </c>
      <c r="M37">
        <v>2</v>
      </c>
      <c r="N37">
        <v>1</v>
      </c>
      <c r="O37">
        <v>6545</v>
      </c>
      <c r="P37">
        <v>1565</v>
      </c>
      <c r="Q37">
        <v>4632</v>
      </c>
      <c r="R37">
        <v>133</v>
      </c>
      <c r="S37">
        <v>83</v>
      </c>
      <c r="T37">
        <v>162</v>
      </c>
      <c r="U37">
        <v>1795</v>
      </c>
      <c r="V37">
        <v>1116</v>
      </c>
      <c r="W37">
        <v>1099</v>
      </c>
      <c r="X37">
        <v>725</v>
      </c>
      <c r="Y37">
        <v>33</v>
      </c>
      <c r="Z37">
        <v>594</v>
      </c>
      <c r="AA37">
        <v>34</v>
      </c>
      <c r="AB37">
        <v>500</v>
      </c>
      <c r="AC37">
        <v>1551</v>
      </c>
      <c r="AD37">
        <v>24</v>
      </c>
      <c r="AE37">
        <v>3766</v>
      </c>
      <c r="AF37">
        <v>3534</v>
      </c>
      <c r="AG37">
        <v>15</v>
      </c>
      <c r="AH37">
        <v>112</v>
      </c>
      <c r="AI37">
        <v>3213</v>
      </c>
      <c r="AJ37">
        <v>1457</v>
      </c>
      <c r="AK37">
        <v>23</v>
      </c>
      <c r="AL37">
        <v>500</v>
      </c>
      <c r="AM37">
        <v>40</v>
      </c>
      <c r="AN37">
        <v>450</v>
      </c>
      <c r="AO37">
        <v>811</v>
      </c>
      <c r="AP37">
        <v>808</v>
      </c>
      <c r="AQ37">
        <v>163</v>
      </c>
      <c r="AR37">
        <v>37</v>
      </c>
      <c r="AS37">
        <v>1547</v>
      </c>
      <c r="AT37">
        <v>346</v>
      </c>
      <c r="AU37">
        <v>27</v>
      </c>
      <c r="AV37">
        <v>240</v>
      </c>
      <c r="AW37">
        <v>190</v>
      </c>
      <c r="AX37">
        <v>40</v>
      </c>
      <c r="AY37">
        <v>1162</v>
      </c>
      <c r="AZ37">
        <v>1009</v>
      </c>
      <c r="BA37">
        <v>7</v>
      </c>
    </row>
    <row r="38" spans="1:53">
      <c r="A38" t="s">
        <v>201</v>
      </c>
      <c r="B38">
        <v>122549</v>
      </c>
      <c r="C38">
        <v>120601</v>
      </c>
      <c r="D38">
        <v>112566</v>
      </c>
      <c r="E38">
        <v>82654</v>
      </c>
      <c r="F38">
        <v>337</v>
      </c>
      <c r="G38">
        <v>336</v>
      </c>
      <c r="H38">
        <v>313</v>
      </c>
      <c r="I38">
        <v>310</v>
      </c>
      <c r="J38">
        <v>310</v>
      </c>
      <c r="K38">
        <v>92</v>
      </c>
      <c r="L38">
        <v>146</v>
      </c>
      <c r="M38">
        <v>4</v>
      </c>
      <c r="N38">
        <v>1</v>
      </c>
      <c r="O38">
        <v>24810</v>
      </c>
      <c r="P38">
        <v>4293</v>
      </c>
      <c r="Q38">
        <v>19820</v>
      </c>
      <c r="R38">
        <v>700</v>
      </c>
      <c r="S38">
        <v>529</v>
      </c>
      <c r="T38">
        <v>2170</v>
      </c>
      <c r="U38">
        <v>6115</v>
      </c>
      <c r="V38">
        <v>1966</v>
      </c>
      <c r="W38">
        <v>1867</v>
      </c>
      <c r="X38">
        <v>3728</v>
      </c>
      <c r="Y38">
        <v>572</v>
      </c>
      <c r="Z38">
        <v>2838</v>
      </c>
      <c r="AA38">
        <v>278</v>
      </c>
      <c r="AB38">
        <v>2252</v>
      </c>
      <c r="AC38">
        <v>8684</v>
      </c>
      <c r="AD38">
        <v>441</v>
      </c>
      <c r="AE38">
        <v>56435</v>
      </c>
      <c r="AF38">
        <v>53241</v>
      </c>
      <c r="AG38">
        <v>104</v>
      </c>
      <c r="AH38">
        <v>56</v>
      </c>
      <c r="AI38">
        <v>52619</v>
      </c>
      <c r="AJ38">
        <v>32913</v>
      </c>
      <c r="AK38">
        <v>163</v>
      </c>
      <c r="AL38">
        <v>15351</v>
      </c>
      <c r="AM38">
        <v>6801</v>
      </c>
      <c r="AN38">
        <v>7526</v>
      </c>
      <c r="AO38">
        <v>14811</v>
      </c>
      <c r="AP38">
        <v>14556</v>
      </c>
      <c r="AQ38">
        <v>1260</v>
      </c>
      <c r="AR38">
        <v>391</v>
      </c>
      <c r="AS38">
        <v>15668</v>
      </c>
      <c r="AT38">
        <v>1850</v>
      </c>
      <c r="AU38">
        <v>254</v>
      </c>
      <c r="AV38">
        <v>8198</v>
      </c>
      <c r="AW38">
        <v>934</v>
      </c>
      <c r="AX38">
        <v>6844</v>
      </c>
      <c r="AY38">
        <v>6524</v>
      </c>
      <c r="AZ38">
        <v>5663</v>
      </c>
      <c r="BA38">
        <v>35</v>
      </c>
    </row>
    <row r="39" spans="1:53">
      <c r="A39" t="s">
        <v>202</v>
      </c>
      <c r="B39">
        <v>205943</v>
      </c>
      <c r="C39">
        <v>200135</v>
      </c>
      <c r="D39">
        <v>194780</v>
      </c>
      <c r="E39">
        <v>141444</v>
      </c>
      <c r="F39">
        <v>200</v>
      </c>
      <c r="G39">
        <v>200</v>
      </c>
      <c r="H39">
        <v>182</v>
      </c>
      <c r="I39">
        <v>181</v>
      </c>
      <c r="J39">
        <v>179</v>
      </c>
      <c r="K39">
        <v>74</v>
      </c>
      <c r="L39">
        <v>68</v>
      </c>
      <c r="M39">
        <v>0</v>
      </c>
      <c r="N39">
        <v>6</v>
      </c>
      <c r="O39">
        <v>73229</v>
      </c>
      <c r="P39">
        <v>14299</v>
      </c>
      <c r="Q39">
        <v>57956</v>
      </c>
      <c r="R39">
        <v>2701</v>
      </c>
      <c r="S39">
        <v>1530</v>
      </c>
      <c r="T39">
        <v>5493</v>
      </c>
      <c r="U39">
        <v>27346</v>
      </c>
      <c r="V39">
        <v>8684</v>
      </c>
      <c r="W39">
        <v>8235</v>
      </c>
      <c r="X39">
        <v>5591</v>
      </c>
      <c r="Y39">
        <v>631</v>
      </c>
      <c r="Z39">
        <v>4571</v>
      </c>
      <c r="AA39">
        <v>1610</v>
      </c>
      <c r="AB39">
        <v>2299</v>
      </c>
      <c r="AC39">
        <v>22117</v>
      </c>
      <c r="AD39">
        <v>169</v>
      </c>
      <c r="AE39">
        <v>66838</v>
      </c>
      <c r="AF39">
        <v>63745</v>
      </c>
      <c r="AG39">
        <v>75</v>
      </c>
      <c r="AH39">
        <v>135</v>
      </c>
      <c r="AI39">
        <v>63066</v>
      </c>
      <c r="AJ39">
        <v>29342</v>
      </c>
      <c r="AK39">
        <v>372</v>
      </c>
      <c r="AL39">
        <v>10885</v>
      </c>
      <c r="AM39">
        <v>2168</v>
      </c>
      <c r="AN39">
        <v>8169</v>
      </c>
      <c r="AO39">
        <v>15483</v>
      </c>
      <c r="AP39">
        <v>14999</v>
      </c>
      <c r="AQ39">
        <v>5073</v>
      </c>
      <c r="AR39">
        <v>703</v>
      </c>
      <c r="AS39">
        <v>30667</v>
      </c>
      <c r="AT39">
        <v>6092</v>
      </c>
      <c r="AU39">
        <v>646</v>
      </c>
      <c r="AV39">
        <v>1683</v>
      </c>
      <c r="AW39">
        <v>1236</v>
      </c>
      <c r="AX39">
        <v>402</v>
      </c>
      <c r="AY39">
        <v>27892</v>
      </c>
      <c r="AZ39">
        <v>15173</v>
      </c>
      <c r="BA39">
        <v>32</v>
      </c>
    </row>
    <row r="40" spans="1:53">
      <c r="A40" t="s">
        <v>203</v>
      </c>
      <c r="B40">
        <v>90582</v>
      </c>
      <c r="C40">
        <v>82483</v>
      </c>
      <c r="D40">
        <v>79796</v>
      </c>
      <c r="E40">
        <v>41808</v>
      </c>
      <c r="F40">
        <v>360</v>
      </c>
      <c r="G40">
        <v>356</v>
      </c>
      <c r="H40">
        <v>327</v>
      </c>
      <c r="I40">
        <v>325</v>
      </c>
      <c r="J40">
        <v>324</v>
      </c>
      <c r="K40">
        <v>105</v>
      </c>
      <c r="L40">
        <v>168</v>
      </c>
      <c r="M40">
        <v>7</v>
      </c>
      <c r="N40">
        <v>5</v>
      </c>
      <c r="O40">
        <v>21382</v>
      </c>
      <c r="P40">
        <v>655</v>
      </c>
      <c r="Q40">
        <v>20282</v>
      </c>
      <c r="R40">
        <v>1243</v>
      </c>
      <c r="S40">
        <v>1850</v>
      </c>
      <c r="T40">
        <v>2233</v>
      </c>
      <c r="U40">
        <v>8801</v>
      </c>
      <c r="V40">
        <v>2020</v>
      </c>
      <c r="W40">
        <v>1965</v>
      </c>
      <c r="X40">
        <v>3350</v>
      </c>
      <c r="Y40">
        <v>368</v>
      </c>
      <c r="Z40">
        <v>2141</v>
      </c>
      <c r="AA40">
        <v>184</v>
      </c>
      <c r="AB40">
        <v>1796</v>
      </c>
      <c r="AC40">
        <v>6732</v>
      </c>
      <c r="AD40">
        <v>25</v>
      </c>
      <c r="AE40">
        <v>19550</v>
      </c>
      <c r="AF40">
        <v>18764</v>
      </c>
      <c r="AG40">
        <v>2169</v>
      </c>
      <c r="AH40">
        <v>1103</v>
      </c>
      <c r="AI40">
        <v>13674</v>
      </c>
      <c r="AJ40">
        <v>7822</v>
      </c>
      <c r="AK40">
        <v>40</v>
      </c>
      <c r="AL40">
        <v>1092</v>
      </c>
      <c r="AM40">
        <v>282</v>
      </c>
      <c r="AN40">
        <v>732</v>
      </c>
      <c r="AO40">
        <v>6469</v>
      </c>
      <c r="AP40">
        <v>6263</v>
      </c>
      <c r="AQ40">
        <v>1062</v>
      </c>
      <c r="AR40">
        <v>89</v>
      </c>
      <c r="AS40">
        <v>4874</v>
      </c>
      <c r="AT40">
        <v>926</v>
      </c>
      <c r="AU40">
        <v>59</v>
      </c>
      <c r="AV40">
        <v>190</v>
      </c>
      <c r="AW40">
        <v>112</v>
      </c>
      <c r="AX40">
        <v>68</v>
      </c>
      <c r="AY40">
        <v>4603</v>
      </c>
      <c r="AZ40">
        <v>3288</v>
      </c>
      <c r="BA40">
        <v>35</v>
      </c>
    </row>
    <row r="41" spans="1:53">
      <c r="A41" t="s">
        <v>204</v>
      </c>
      <c r="B41">
        <v>120485</v>
      </c>
      <c r="C41">
        <v>116000</v>
      </c>
      <c r="D41">
        <v>110462</v>
      </c>
      <c r="E41">
        <v>69007</v>
      </c>
      <c r="F41">
        <v>161</v>
      </c>
      <c r="G41">
        <v>157</v>
      </c>
      <c r="H41">
        <v>153</v>
      </c>
      <c r="I41">
        <v>153</v>
      </c>
      <c r="J41">
        <v>153</v>
      </c>
      <c r="K41">
        <v>100</v>
      </c>
      <c r="L41">
        <v>31</v>
      </c>
      <c r="M41">
        <v>1</v>
      </c>
      <c r="N41">
        <v>0</v>
      </c>
      <c r="O41">
        <v>46114</v>
      </c>
      <c r="P41">
        <v>2769</v>
      </c>
      <c r="Q41">
        <v>42546</v>
      </c>
      <c r="R41">
        <v>1737</v>
      </c>
      <c r="S41">
        <v>1542</v>
      </c>
      <c r="T41">
        <v>1563</v>
      </c>
      <c r="U41">
        <v>24230</v>
      </c>
      <c r="V41">
        <v>10455</v>
      </c>
      <c r="W41">
        <v>10315</v>
      </c>
      <c r="X41">
        <v>6220</v>
      </c>
      <c r="Y41">
        <v>624</v>
      </c>
      <c r="Z41">
        <v>4547</v>
      </c>
      <c r="AA41">
        <v>149</v>
      </c>
      <c r="AB41">
        <v>3881</v>
      </c>
      <c r="AC41">
        <v>7841</v>
      </c>
      <c r="AD41">
        <v>82</v>
      </c>
      <c r="AE41">
        <v>21952</v>
      </c>
      <c r="AF41">
        <v>20127</v>
      </c>
      <c r="AG41">
        <v>261</v>
      </c>
      <c r="AH41">
        <v>212</v>
      </c>
      <c r="AI41">
        <v>18773</v>
      </c>
      <c r="AJ41">
        <v>6943</v>
      </c>
      <c r="AK41">
        <v>38</v>
      </c>
      <c r="AL41">
        <v>3631</v>
      </c>
      <c r="AM41">
        <v>1288</v>
      </c>
      <c r="AN41">
        <v>2093</v>
      </c>
      <c r="AO41">
        <v>2953</v>
      </c>
      <c r="AP41">
        <v>2895</v>
      </c>
      <c r="AQ41">
        <v>1085</v>
      </c>
      <c r="AR41">
        <v>517</v>
      </c>
      <c r="AS41">
        <v>10899</v>
      </c>
      <c r="AT41">
        <v>2622</v>
      </c>
      <c r="AU41">
        <v>550</v>
      </c>
      <c r="AV41">
        <v>3334</v>
      </c>
      <c r="AW41">
        <v>1048</v>
      </c>
      <c r="AX41">
        <v>2115</v>
      </c>
      <c r="AY41">
        <v>7092</v>
      </c>
      <c r="AZ41">
        <v>3758</v>
      </c>
      <c r="BA41">
        <v>29</v>
      </c>
    </row>
    <row r="42" spans="1:53">
      <c r="A42" t="s">
        <v>205</v>
      </c>
      <c r="B42">
        <v>26524</v>
      </c>
      <c r="C42">
        <v>24333</v>
      </c>
      <c r="D42">
        <v>22879</v>
      </c>
      <c r="E42">
        <v>15586</v>
      </c>
      <c r="F42">
        <v>55</v>
      </c>
      <c r="G42">
        <v>55</v>
      </c>
      <c r="H42">
        <v>55</v>
      </c>
      <c r="I42">
        <v>55</v>
      </c>
      <c r="J42">
        <v>55</v>
      </c>
      <c r="K42">
        <v>30</v>
      </c>
      <c r="L42">
        <v>22</v>
      </c>
      <c r="M42">
        <v>0</v>
      </c>
      <c r="N42">
        <v>0</v>
      </c>
      <c r="O42">
        <v>7863</v>
      </c>
      <c r="P42">
        <v>1231</v>
      </c>
      <c r="Q42">
        <v>6394</v>
      </c>
      <c r="R42">
        <v>531</v>
      </c>
      <c r="S42">
        <v>432</v>
      </c>
      <c r="T42">
        <v>725</v>
      </c>
      <c r="U42">
        <v>2361</v>
      </c>
      <c r="V42">
        <v>281</v>
      </c>
      <c r="W42">
        <v>264</v>
      </c>
      <c r="X42">
        <v>554</v>
      </c>
      <c r="Y42">
        <v>69</v>
      </c>
      <c r="Z42">
        <v>412</v>
      </c>
      <c r="AA42">
        <v>81</v>
      </c>
      <c r="AB42">
        <v>287</v>
      </c>
      <c r="AC42">
        <v>3249</v>
      </c>
      <c r="AD42">
        <v>3</v>
      </c>
      <c r="AE42">
        <v>7567</v>
      </c>
      <c r="AF42">
        <v>6038</v>
      </c>
      <c r="AG42">
        <v>168</v>
      </c>
      <c r="AH42">
        <v>114</v>
      </c>
      <c r="AI42">
        <v>5395</v>
      </c>
      <c r="AJ42">
        <v>3229</v>
      </c>
      <c r="AK42">
        <v>44</v>
      </c>
      <c r="AL42">
        <v>1796</v>
      </c>
      <c r="AM42">
        <v>649</v>
      </c>
      <c r="AN42">
        <v>999</v>
      </c>
      <c r="AO42">
        <v>1253</v>
      </c>
      <c r="AP42">
        <v>1228</v>
      </c>
      <c r="AQ42">
        <v>427</v>
      </c>
      <c r="AR42">
        <v>125</v>
      </c>
      <c r="AS42">
        <v>1459</v>
      </c>
      <c r="AT42">
        <v>301</v>
      </c>
      <c r="AU42">
        <v>19</v>
      </c>
      <c r="AV42">
        <v>101</v>
      </c>
      <c r="AW42">
        <v>61</v>
      </c>
      <c r="AX42">
        <v>33</v>
      </c>
      <c r="AY42">
        <v>1321</v>
      </c>
      <c r="AZ42">
        <v>906</v>
      </c>
      <c r="BA42">
        <v>55</v>
      </c>
    </row>
    <row r="43" spans="1:53">
      <c r="A43" t="s">
        <v>206</v>
      </c>
      <c r="B43">
        <v>130632</v>
      </c>
      <c r="C43">
        <v>125538</v>
      </c>
      <c r="D43">
        <v>119786</v>
      </c>
      <c r="E43">
        <v>67058</v>
      </c>
      <c r="F43">
        <v>444</v>
      </c>
      <c r="G43">
        <v>436</v>
      </c>
      <c r="H43">
        <v>400</v>
      </c>
      <c r="I43">
        <v>400</v>
      </c>
      <c r="J43">
        <v>397</v>
      </c>
      <c r="K43">
        <v>117</v>
      </c>
      <c r="L43">
        <v>235</v>
      </c>
      <c r="M43">
        <v>2</v>
      </c>
      <c r="N43">
        <v>1</v>
      </c>
      <c r="O43">
        <v>27755</v>
      </c>
      <c r="P43">
        <v>5300</v>
      </c>
      <c r="Q43">
        <v>21427</v>
      </c>
      <c r="R43">
        <v>903</v>
      </c>
      <c r="S43">
        <v>359</v>
      </c>
      <c r="T43">
        <v>1536</v>
      </c>
      <c r="U43">
        <v>8195</v>
      </c>
      <c r="V43">
        <v>2074</v>
      </c>
      <c r="W43">
        <v>1931</v>
      </c>
      <c r="X43">
        <v>5302</v>
      </c>
      <c r="Y43">
        <v>1282</v>
      </c>
      <c r="Z43">
        <v>3578</v>
      </c>
      <c r="AA43">
        <v>250</v>
      </c>
      <c r="AB43">
        <v>3218</v>
      </c>
      <c r="AC43">
        <v>5927</v>
      </c>
      <c r="AD43">
        <v>131</v>
      </c>
      <c r="AE43">
        <v>38262</v>
      </c>
      <c r="AF43">
        <v>34611</v>
      </c>
      <c r="AG43">
        <v>180</v>
      </c>
      <c r="AH43">
        <v>201</v>
      </c>
      <c r="AI43">
        <v>33556</v>
      </c>
      <c r="AJ43">
        <v>14283</v>
      </c>
      <c r="AK43">
        <v>29</v>
      </c>
      <c r="AL43">
        <v>7126</v>
      </c>
      <c r="AM43">
        <v>1839</v>
      </c>
      <c r="AN43">
        <v>4598</v>
      </c>
      <c r="AO43">
        <v>6251</v>
      </c>
      <c r="AP43">
        <v>6194</v>
      </c>
      <c r="AQ43">
        <v>1508</v>
      </c>
      <c r="AR43">
        <v>332</v>
      </c>
      <c r="AS43">
        <v>17581</v>
      </c>
      <c r="AT43">
        <v>5750</v>
      </c>
      <c r="AU43">
        <v>620</v>
      </c>
      <c r="AV43">
        <v>3818</v>
      </c>
      <c r="AW43">
        <v>1237</v>
      </c>
      <c r="AX43">
        <v>2244</v>
      </c>
      <c r="AY43">
        <v>13307</v>
      </c>
      <c r="AZ43">
        <v>11097</v>
      </c>
      <c r="BA43">
        <v>74</v>
      </c>
    </row>
    <row r="44" spans="1:53">
      <c r="A44" t="s">
        <v>207</v>
      </c>
      <c r="B44">
        <v>319599</v>
      </c>
      <c r="C44">
        <v>283483</v>
      </c>
      <c r="D44">
        <v>263446</v>
      </c>
      <c r="E44">
        <v>169300</v>
      </c>
      <c r="F44">
        <v>388</v>
      </c>
      <c r="G44">
        <v>384</v>
      </c>
      <c r="H44">
        <v>361</v>
      </c>
      <c r="I44">
        <v>359</v>
      </c>
      <c r="J44">
        <v>359</v>
      </c>
      <c r="K44">
        <v>61</v>
      </c>
      <c r="L44">
        <v>262</v>
      </c>
      <c r="M44">
        <v>0</v>
      </c>
      <c r="N44">
        <v>5</v>
      </c>
      <c r="O44">
        <v>101651</v>
      </c>
      <c r="P44">
        <v>11487</v>
      </c>
      <c r="Q44">
        <v>88685</v>
      </c>
      <c r="R44">
        <v>3190</v>
      </c>
      <c r="S44">
        <v>2765</v>
      </c>
      <c r="T44">
        <v>9840</v>
      </c>
      <c r="U44">
        <v>50866</v>
      </c>
      <c r="V44">
        <v>6935</v>
      </c>
      <c r="W44">
        <v>6671</v>
      </c>
      <c r="X44">
        <v>10404</v>
      </c>
      <c r="Y44">
        <v>1442</v>
      </c>
      <c r="Z44">
        <v>7556</v>
      </c>
      <c r="AA44">
        <v>2135</v>
      </c>
      <c r="AB44">
        <v>4258</v>
      </c>
      <c r="AC44">
        <v>22143</v>
      </c>
      <c r="AD44">
        <v>199</v>
      </c>
      <c r="AE44">
        <v>66499</v>
      </c>
      <c r="AF44">
        <v>62739</v>
      </c>
      <c r="AG44">
        <v>470</v>
      </c>
      <c r="AH44">
        <v>78</v>
      </c>
      <c r="AI44">
        <v>60766</v>
      </c>
      <c r="AJ44">
        <v>48237</v>
      </c>
      <c r="AK44">
        <v>381</v>
      </c>
      <c r="AL44">
        <v>17704</v>
      </c>
      <c r="AM44">
        <v>1858</v>
      </c>
      <c r="AN44">
        <v>15239</v>
      </c>
      <c r="AO44">
        <v>25497</v>
      </c>
      <c r="AP44">
        <v>25441</v>
      </c>
      <c r="AQ44">
        <v>2829</v>
      </c>
      <c r="AR44">
        <v>896</v>
      </c>
      <c r="AS44">
        <v>11119</v>
      </c>
      <c r="AT44">
        <v>1544</v>
      </c>
      <c r="AU44">
        <v>210</v>
      </c>
      <c r="AV44">
        <v>2155</v>
      </c>
      <c r="AW44">
        <v>1642</v>
      </c>
      <c r="AX44">
        <v>393</v>
      </c>
      <c r="AY44">
        <v>7779</v>
      </c>
      <c r="AZ44">
        <v>6462</v>
      </c>
      <c r="BA44">
        <v>51</v>
      </c>
    </row>
    <row r="45" spans="1:53">
      <c r="A45" t="s">
        <v>208</v>
      </c>
      <c r="B45">
        <v>105939</v>
      </c>
      <c r="C45">
        <v>97892</v>
      </c>
      <c r="D45">
        <v>91684</v>
      </c>
      <c r="E45">
        <v>60528</v>
      </c>
      <c r="F45">
        <v>335</v>
      </c>
      <c r="G45">
        <v>321</v>
      </c>
      <c r="H45">
        <v>308</v>
      </c>
      <c r="I45">
        <v>303</v>
      </c>
      <c r="J45">
        <v>302</v>
      </c>
      <c r="K45">
        <v>106</v>
      </c>
      <c r="L45">
        <v>134</v>
      </c>
      <c r="M45">
        <v>2</v>
      </c>
      <c r="N45">
        <v>3</v>
      </c>
      <c r="O45">
        <v>32196</v>
      </c>
      <c r="P45">
        <v>7484</v>
      </c>
      <c r="Q45">
        <v>23914</v>
      </c>
      <c r="R45">
        <v>1421</v>
      </c>
      <c r="S45">
        <v>1744</v>
      </c>
      <c r="T45">
        <v>3775</v>
      </c>
      <c r="U45">
        <v>8938</v>
      </c>
      <c r="V45">
        <v>1834</v>
      </c>
      <c r="W45">
        <v>1801</v>
      </c>
      <c r="X45">
        <v>4384</v>
      </c>
      <c r="Y45">
        <v>399</v>
      </c>
      <c r="Z45">
        <v>2854</v>
      </c>
      <c r="AA45">
        <v>568</v>
      </c>
      <c r="AB45">
        <v>1902</v>
      </c>
      <c r="AC45">
        <v>8792</v>
      </c>
      <c r="AD45">
        <v>45</v>
      </c>
      <c r="AE45">
        <v>27484</v>
      </c>
      <c r="AF45">
        <v>25403</v>
      </c>
      <c r="AG45">
        <v>396</v>
      </c>
      <c r="AH45">
        <v>217</v>
      </c>
      <c r="AI45">
        <v>23782</v>
      </c>
      <c r="AJ45">
        <v>16705</v>
      </c>
      <c r="AK45">
        <v>228</v>
      </c>
      <c r="AL45">
        <v>6381</v>
      </c>
      <c r="AM45">
        <v>1479</v>
      </c>
      <c r="AN45">
        <v>4704</v>
      </c>
      <c r="AO45">
        <v>9085</v>
      </c>
      <c r="AP45">
        <v>8302</v>
      </c>
      <c r="AQ45">
        <v>3522</v>
      </c>
      <c r="AR45">
        <v>1031</v>
      </c>
      <c r="AS45">
        <v>6384</v>
      </c>
      <c r="AT45">
        <v>1591</v>
      </c>
      <c r="AU45">
        <v>223</v>
      </c>
      <c r="AV45">
        <v>1200</v>
      </c>
      <c r="AW45">
        <v>419</v>
      </c>
      <c r="AX45">
        <v>718</v>
      </c>
      <c r="AY45">
        <v>4897</v>
      </c>
      <c r="AZ45">
        <v>2190</v>
      </c>
      <c r="BA45">
        <v>87</v>
      </c>
    </row>
    <row r="46" spans="1:53">
      <c r="A46" t="s">
        <v>209</v>
      </c>
      <c r="B46">
        <v>348111</v>
      </c>
      <c r="C46">
        <v>320999</v>
      </c>
      <c r="D46">
        <v>317961</v>
      </c>
      <c r="E46">
        <v>189871</v>
      </c>
      <c r="F46">
        <v>681</v>
      </c>
      <c r="G46">
        <v>661</v>
      </c>
      <c r="H46">
        <v>641</v>
      </c>
      <c r="I46">
        <v>635</v>
      </c>
      <c r="J46">
        <v>632</v>
      </c>
      <c r="K46">
        <v>223</v>
      </c>
      <c r="L46">
        <v>292</v>
      </c>
      <c r="M46">
        <v>1</v>
      </c>
      <c r="N46">
        <v>2</v>
      </c>
      <c r="O46">
        <v>74044</v>
      </c>
      <c r="P46">
        <v>13874</v>
      </c>
      <c r="Q46">
        <v>59298</v>
      </c>
      <c r="R46">
        <v>2902</v>
      </c>
      <c r="S46">
        <v>3767</v>
      </c>
      <c r="T46">
        <v>4702</v>
      </c>
      <c r="U46">
        <v>34939</v>
      </c>
      <c r="V46">
        <v>4768</v>
      </c>
      <c r="W46">
        <v>686</v>
      </c>
      <c r="X46">
        <v>6655</v>
      </c>
      <c r="Y46">
        <v>2254</v>
      </c>
      <c r="Z46">
        <v>3526</v>
      </c>
      <c r="AA46">
        <v>361</v>
      </c>
      <c r="AB46">
        <v>2871</v>
      </c>
      <c r="AC46">
        <v>15353</v>
      </c>
      <c r="AD46">
        <v>125</v>
      </c>
      <c r="AE46">
        <v>113906</v>
      </c>
      <c r="AF46">
        <v>104450</v>
      </c>
      <c r="AG46">
        <v>943</v>
      </c>
      <c r="AH46">
        <v>1434</v>
      </c>
      <c r="AI46">
        <v>98560</v>
      </c>
      <c r="AJ46">
        <v>71002</v>
      </c>
      <c r="AK46">
        <v>163</v>
      </c>
      <c r="AL46">
        <v>41835</v>
      </c>
      <c r="AM46">
        <v>10625</v>
      </c>
      <c r="AN46">
        <v>27403</v>
      </c>
      <c r="AO46">
        <v>22552</v>
      </c>
      <c r="AP46">
        <v>21350</v>
      </c>
      <c r="AQ46">
        <v>3133</v>
      </c>
      <c r="AR46">
        <v>453</v>
      </c>
      <c r="AS46">
        <v>24339</v>
      </c>
      <c r="AT46">
        <v>2576</v>
      </c>
      <c r="AU46">
        <v>143</v>
      </c>
      <c r="AV46">
        <v>2919</v>
      </c>
      <c r="AW46">
        <v>874</v>
      </c>
      <c r="AX46">
        <v>1808</v>
      </c>
      <c r="AY46">
        <v>20550</v>
      </c>
      <c r="AZ46">
        <v>9545</v>
      </c>
      <c r="BA46">
        <v>535</v>
      </c>
    </row>
    <row r="47" spans="1:53">
      <c r="A47" t="s">
        <v>210</v>
      </c>
      <c r="B47">
        <v>94953</v>
      </c>
      <c r="C47">
        <v>87185</v>
      </c>
      <c r="D47">
        <v>85970</v>
      </c>
      <c r="E47">
        <v>55444</v>
      </c>
      <c r="F47">
        <v>641</v>
      </c>
      <c r="G47">
        <v>615</v>
      </c>
      <c r="H47">
        <v>564</v>
      </c>
      <c r="I47">
        <v>557</v>
      </c>
      <c r="J47">
        <v>549</v>
      </c>
      <c r="K47">
        <v>152</v>
      </c>
      <c r="L47">
        <v>334</v>
      </c>
      <c r="M47">
        <v>64</v>
      </c>
      <c r="N47">
        <v>12</v>
      </c>
      <c r="O47">
        <v>26662</v>
      </c>
      <c r="P47">
        <v>6097</v>
      </c>
      <c r="Q47">
        <v>19150</v>
      </c>
      <c r="R47">
        <v>1374</v>
      </c>
      <c r="S47">
        <v>2846</v>
      </c>
      <c r="T47">
        <v>2831</v>
      </c>
      <c r="U47">
        <v>9192</v>
      </c>
      <c r="V47">
        <v>4548</v>
      </c>
      <c r="W47">
        <v>4358</v>
      </c>
      <c r="X47">
        <v>2090</v>
      </c>
      <c r="Y47">
        <v>269</v>
      </c>
      <c r="Z47">
        <v>1412</v>
      </c>
      <c r="AA47">
        <v>172</v>
      </c>
      <c r="AB47">
        <v>1162</v>
      </c>
      <c r="AC47">
        <v>6759</v>
      </c>
      <c r="AD47">
        <v>72</v>
      </c>
      <c r="AE47">
        <v>26319</v>
      </c>
      <c r="AF47">
        <v>24480</v>
      </c>
      <c r="AG47">
        <v>319</v>
      </c>
      <c r="AH47">
        <v>271</v>
      </c>
      <c r="AI47">
        <v>22811</v>
      </c>
      <c r="AJ47">
        <v>18172</v>
      </c>
      <c r="AK47">
        <v>338</v>
      </c>
      <c r="AL47">
        <v>8746</v>
      </c>
      <c r="AM47">
        <v>4190</v>
      </c>
      <c r="AN47">
        <v>3967</v>
      </c>
      <c r="AO47">
        <v>7403</v>
      </c>
      <c r="AP47">
        <v>7256</v>
      </c>
      <c r="AQ47">
        <v>4061</v>
      </c>
      <c r="AR47">
        <v>2269</v>
      </c>
      <c r="AS47">
        <v>3721</v>
      </c>
      <c r="AT47">
        <v>2150</v>
      </c>
      <c r="AU47">
        <v>963</v>
      </c>
      <c r="AV47">
        <v>766</v>
      </c>
      <c r="AW47">
        <v>226</v>
      </c>
      <c r="AX47">
        <v>519</v>
      </c>
      <c r="AY47">
        <v>2396</v>
      </c>
      <c r="AZ47">
        <v>1824</v>
      </c>
      <c r="BA47">
        <v>15</v>
      </c>
    </row>
    <row r="48" spans="1:53">
      <c r="A48" t="s">
        <v>211</v>
      </c>
      <c r="B48">
        <v>137475</v>
      </c>
      <c r="C48">
        <v>125596</v>
      </c>
      <c r="D48">
        <v>123468</v>
      </c>
      <c r="E48">
        <v>89313</v>
      </c>
      <c r="F48">
        <v>297</v>
      </c>
      <c r="G48">
        <v>281</v>
      </c>
      <c r="H48">
        <v>246</v>
      </c>
      <c r="I48">
        <v>242</v>
      </c>
      <c r="J48">
        <v>236</v>
      </c>
      <c r="K48">
        <v>30</v>
      </c>
      <c r="L48">
        <v>155</v>
      </c>
      <c r="M48">
        <v>5</v>
      </c>
      <c r="N48">
        <v>4</v>
      </c>
      <c r="O48">
        <v>31267</v>
      </c>
      <c r="P48">
        <v>6869</v>
      </c>
      <c r="Q48">
        <v>23464</v>
      </c>
      <c r="R48">
        <v>970</v>
      </c>
      <c r="S48">
        <v>1505</v>
      </c>
      <c r="T48">
        <v>2763</v>
      </c>
      <c r="U48">
        <v>12545</v>
      </c>
      <c r="V48">
        <v>4416</v>
      </c>
      <c r="W48">
        <v>4372</v>
      </c>
      <c r="X48">
        <v>2588</v>
      </c>
      <c r="Y48">
        <v>321</v>
      </c>
      <c r="Z48">
        <v>1881</v>
      </c>
      <c r="AA48">
        <v>402</v>
      </c>
      <c r="AB48">
        <v>1373</v>
      </c>
      <c r="AC48">
        <v>6866</v>
      </c>
      <c r="AD48">
        <v>74</v>
      </c>
      <c r="AE48">
        <v>54964</v>
      </c>
      <c r="AF48">
        <v>50396</v>
      </c>
      <c r="AG48">
        <v>700</v>
      </c>
      <c r="AH48">
        <v>391</v>
      </c>
      <c r="AI48">
        <v>47115</v>
      </c>
      <c r="AJ48">
        <v>35712</v>
      </c>
      <c r="AK48">
        <v>349</v>
      </c>
      <c r="AL48">
        <v>20614</v>
      </c>
      <c r="AM48">
        <v>11006</v>
      </c>
      <c r="AN48">
        <v>8241</v>
      </c>
      <c r="AO48">
        <v>11938</v>
      </c>
      <c r="AP48">
        <v>10811</v>
      </c>
      <c r="AQ48">
        <v>8018</v>
      </c>
      <c r="AR48">
        <v>4409</v>
      </c>
      <c r="AS48">
        <v>9125</v>
      </c>
      <c r="AT48">
        <v>3865</v>
      </c>
      <c r="AU48">
        <v>2103</v>
      </c>
      <c r="AV48">
        <v>2077</v>
      </c>
      <c r="AW48">
        <v>592</v>
      </c>
      <c r="AX48">
        <v>1425</v>
      </c>
      <c r="AY48">
        <v>6019</v>
      </c>
      <c r="AZ48">
        <v>3844</v>
      </c>
      <c r="BA48">
        <v>66</v>
      </c>
    </row>
    <row r="49" spans="1:53">
      <c r="A49" t="s">
        <v>212</v>
      </c>
      <c r="B49">
        <v>214097</v>
      </c>
      <c r="C49">
        <v>190556</v>
      </c>
      <c r="D49">
        <v>189560</v>
      </c>
      <c r="E49">
        <v>124663</v>
      </c>
      <c r="F49">
        <v>241</v>
      </c>
      <c r="G49">
        <v>235</v>
      </c>
      <c r="H49">
        <v>222</v>
      </c>
      <c r="I49">
        <v>217</v>
      </c>
      <c r="J49">
        <v>208</v>
      </c>
      <c r="K49">
        <v>56</v>
      </c>
      <c r="L49">
        <v>76</v>
      </c>
      <c r="M49">
        <v>1</v>
      </c>
      <c r="N49">
        <v>1</v>
      </c>
      <c r="O49">
        <v>48445</v>
      </c>
      <c r="P49">
        <v>6964</v>
      </c>
      <c r="Q49">
        <v>40514</v>
      </c>
      <c r="R49">
        <v>2326</v>
      </c>
      <c r="S49">
        <v>2358</v>
      </c>
      <c r="T49">
        <v>3722</v>
      </c>
      <c r="U49">
        <v>15650</v>
      </c>
      <c r="V49">
        <v>4558</v>
      </c>
      <c r="W49">
        <v>4266</v>
      </c>
      <c r="X49">
        <v>4097</v>
      </c>
      <c r="Y49">
        <v>609</v>
      </c>
      <c r="Z49">
        <v>3187</v>
      </c>
      <c r="AA49">
        <v>236</v>
      </c>
      <c r="AB49">
        <v>2702</v>
      </c>
      <c r="AC49">
        <v>17033</v>
      </c>
      <c r="AD49">
        <v>175</v>
      </c>
      <c r="AE49">
        <v>72912</v>
      </c>
      <c r="AF49">
        <v>66004</v>
      </c>
      <c r="AG49">
        <v>1116</v>
      </c>
      <c r="AH49">
        <v>2749</v>
      </c>
      <c r="AI49">
        <v>57409</v>
      </c>
      <c r="AJ49">
        <v>36438</v>
      </c>
      <c r="AK49">
        <v>283</v>
      </c>
      <c r="AL49">
        <v>24524</v>
      </c>
      <c r="AM49">
        <v>11148</v>
      </c>
      <c r="AN49">
        <v>12017</v>
      </c>
      <c r="AO49">
        <v>8734</v>
      </c>
      <c r="AP49">
        <v>8574</v>
      </c>
      <c r="AQ49">
        <v>8198</v>
      </c>
      <c r="AR49">
        <v>5403</v>
      </c>
      <c r="AS49">
        <v>17653</v>
      </c>
      <c r="AT49">
        <v>5720</v>
      </c>
      <c r="AU49">
        <v>3767</v>
      </c>
      <c r="AV49">
        <v>12292</v>
      </c>
      <c r="AW49">
        <v>1419</v>
      </c>
      <c r="AX49">
        <v>10653</v>
      </c>
      <c r="AY49">
        <v>4037</v>
      </c>
      <c r="AZ49">
        <v>3143</v>
      </c>
      <c r="BA49">
        <v>48</v>
      </c>
    </row>
    <row r="50" spans="1:53">
      <c r="A50" t="s">
        <v>213</v>
      </c>
      <c r="B50">
        <v>152950</v>
      </c>
      <c r="C50">
        <v>139335</v>
      </c>
      <c r="D50">
        <v>134934</v>
      </c>
      <c r="E50">
        <v>86737</v>
      </c>
      <c r="F50">
        <v>781</v>
      </c>
      <c r="G50">
        <v>765</v>
      </c>
      <c r="H50">
        <v>725</v>
      </c>
      <c r="I50">
        <v>717</v>
      </c>
      <c r="J50">
        <v>714</v>
      </c>
      <c r="K50">
        <v>115</v>
      </c>
      <c r="L50">
        <v>490</v>
      </c>
      <c r="M50">
        <v>14</v>
      </c>
      <c r="N50">
        <v>10</v>
      </c>
      <c r="O50">
        <v>38718</v>
      </c>
      <c r="P50">
        <v>8069</v>
      </c>
      <c r="Q50">
        <v>29938</v>
      </c>
      <c r="R50">
        <v>850</v>
      </c>
      <c r="S50">
        <v>875</v>
      </c>
      <c r="T50">
        <v>3349</v>
      </c>
      <c r="U50">
        <v>13222</v>
      </c>
      <c r="V50">
        <v>1737</v>
      </c>
      <c r="W50">
        <v>738</v>
      </c>
      <c r="X50">
        <v>5667</v>
      </c>
      <c r="Y50">
        <v>932</v>
      </c>
      <c r="Z50">
        <v>3188</v>
      </c>
      <c r="AA50">
        <v>39</v>
      </c>
      <c r="AB50">
        <v>3071</v>
      </c>
      <c r="AC50">
        <v>9911</v>
      </c>
      <c r="AD50">
        <v>107</v>
      </c>
      <c r="AE50">
        <v>46362</v>
      </c>
      <c r="AF50">
        <v>43958</v>
      </c>
      <c r="AG50">
        <v>244</v>
      </c>
      <c r="AH50">
        <v>814</v>
      </c>
      <c r="AI50">
        <v>41117</v>
      </c>
      <c r="AJ50">
        <v>23748</v>
      </c>
      <c r="AK50">
        <v>247</v>
      </c>
      <c r="AL50">
        <v>9778</v>
      </c>
      <c r="AM50">
        <v>2655</v>
      </c>
      <c r="AN50">
        <v>6816</v>
      </c>
      <c r="AO50">
        <v>10709</v>
      </c>
      <c r="AP50">
        <v>10638</v>
      </c>
      <c r="AQ50">
        <v>2148</v>
      </c>
      <c r="AR50">
        <v>305</v>
      </c>
      <c r="AS50">
        <v>13853</v>
      </c>
      <c r="AT50">
        <v>3698</v>
      </c>
      <c r="AU50">
        <v>162</v>
      </c>
      <c r="AV50">
        <v>1581</v>
      </c>
      <c r="AW50">
        <v>688</v>
      </c>
      <c r="AX50">
        <v>845</v>
      </c>
      <c r="AY50">
        <v>11634</v>
      </c>
      <c r="AZ50">
        <v>8984</v>
      </c>
      <c r="BA50">
        <v>59</v>
      </c>
    </row>
    <row r="51" spans="1:53">
      <c r="A51" t="s">
        <v>214</v>
      </c>
      <c r="B51">
        <v>99510</v>
      </c>
      <c r="C51">
        <v>93685</v>
      </c>
      <c r="D51">
        <v>90392</v>
      </c>
      <c r="E51">
        <v>55396</v>
      </c>
      <c r="F51">
        <v>282</v>
      </c>
      <c r="G51">
        <v>277</v>
      </c>
      <c r="H51">
        <v>271</v>
      </c>
      <c r="I51">
        <v>271</v>
      </c>
      <c r="J51">
        <v>271</v>
      </c>
      <c r="K51">
        <v>142</v>
      </c>
      <c r="L51">
        <v>109</v>
      </c>
      <c r="M51">
        <v>0</v>
      </c>
      <c r="N51">
        <v>2</v>
      </c>
      <c r="O51">
        <v>32289</v>
      </c>
      <c r="P51">
        <v>3261</v>
      </c>
      <c r="Q51">
        <v>28515</v>
      </c>
      <c r="R51">
        <v>2174</v>
      </c>
      <c r="S51">
        <v>6082</v>
      </c>
      <c r="T51">
        <v>5683</v>
      </c>
      <c r="U51">
        <v>8971</v>
      </c>
      <c r="V51">
        <v>2751</v>
      </c>
      <c r="W51">
        <v>2632</v>
      </c>
      <c r="X51">
        <v>3263</v>
      </c>
      <c r="Y51">
        <v>275</v>
      </c>
      <c r="Z51">
        <v>2653</v>
      </c>
      <c r="AA51">
        <v>422</v>
      </c>
      <c r="AB51">
        <v>2028</v>
      </c>
      <c r="AC51">
        <v>14793</v>
      </c>
      <c r="AD51">
        <v>69</v>
      </c>
      <c r="AE51">
        <v>22349</v>
      </c>
      <c r="AF51">
        <v>20906</v>
      </c>
      <c r="AG51">
        <v>259</v>
      </c>
      <c r="AH51">
        <v>255</v>
      </c>
      <c r="AI51">
        <v>19213</v>
      </c>
      <c r="AJ51">
        <v>11320</v>
      </c>
      <c r="AK51">
        <v>131</v>
      </c>
      <c r="AL51">
        <v>5266</v>
      </c>
      <c r="AM51">
        <v>2098</v>
      </c>
      <c r="AN51">
        <v>2784</v>
      </c>
      <c r="AO51">
        <v>5161</v>
      </c>
      <c r="AP51">
        <v>5052</v>
      </c>
      <c r="AQ51">
        <v>1286</v>
      </c>
      <c r="AR51">
        <v>290</v>
      </c>
      <c r="AS51">
        <v>6666</v>
      </c>
      <c r="AT51">
        <v>1860</v>
      </c>
      <c r="AU51">
        <v>163</v>
      </c>
      <c r="AV51">
        <v>1839</v>
      </c>
      <c r="AW51">
        <v>332</v>
      </c>
      <c r="AX51">
        <v>1471</v>
      </c>
      <c r="AY51">
        <v>4636</v>
      </c>
      <c r="AZ51">
        <v>3976</v>
      </c>
      <c r="BA51">
        <v>8</v>
      </c>
    </row>
    <row r="52" spans="1:53">
      <c r="A52" t="s">
        <v>215</v>
      </c>
      <c r="B52">
        <v>135286</v>
      </c>
      <c r="C52">
        <v>129503</v>
      </c>
      <c r="D52">
        <v>117499</v>
      </c>
      <c r="E52">
        <v>71413</v>
      </c>
      <c r="F52">
        <v>640</v>
      </c>
      <c r="G52">
        <v>632</v>
      </c>
      <c r="H52">
        <v>601</v>
      </c>
      <c r="I52">
        <v>600</v>
      </c>
      <c r="J52">
        <v>599</v>
      </c>
      <c r="K52">
        <v>260</v>
      </c>
      <c r="L52">
        <v>255</v>
      </c>
      <c r="M52">
        <v>5</v>
      </c>
      <c r="N52">
        <v>2</v>
      </c>
      <c r="O52">
        <v>42949</v>
      </c>
      <c r="P52">
        <v>5080</v>
      </c>
      <c r="Q52">
        <v>36468</v>
      </c>
      <c r="R52">
        <v>982</v>
      </c>
      <c r="S52">
        <v>871</v>
      </c>
      <c r="T52">
        <v>2221</v>
      </c>
      <c r="U52">
        <v>16155</v>
      </c>
      <c r="V52">
        <v>6379</v>
      </c>
      <c r="W52">
        <v>6188</v>
      </c>
      <c r="X52">
        <v>6344</v>
      </c>
      <c r="Y52">
        <v>829</v>
      </c>
      <c r="Z52">
        <v>4552</v>
      </c>
      <c r="AA52">
        <v>20</v>
      </c>
      <c r="AB52">
        <v>4315</v>
      </c>
      <c r="AC52">
        <v>11021</v>
      </c>
      <c r="AD52">
        <v>148</v>
      </c>
      <c r="AE52">
        <v>26899</v>
      </c>
      <c r="AF52">
        <v>24696</v>
      </c>
      <c r="AG52">
        <v>424</v>
      </c>
      <c r="AH52">
        <v>141</v>
      </c>
      <c r="AI52">
        <v>22934</v>
      </c>
      <c r="AJ52">
        <v>11778</v>
      </c>
      <c r="AK52">
        <v>115</v>
      </c>
      <c r="AL52">
        <v>5611</v>
      </c>
      <c r="AM52">
        <v>1616</v>
      </c>
      <c r="AN52">
        <v>3757</v>
      </c>
      <c r="AO52">
        <v>5308</v>
      </c>
      <c r="AP52">
        <v>5280</v>
      </c>
      <c r="AQ52">
        <v>1356</v>
      </c>
      <c r="AR52">
        <v>692</v>
      </c>
      <c r="AS52">
        <v>9307</v>
      </c>
      <c r="AT52">
        <v>3025</v>
      </c>
      <c r="AU52">
        <v>406</v>
      </c>
      <c r="AV52">
        <v>2138</v>
      </c>
      <c r="AW52">
        <v>799</v>
      </c>
      <c r="AX52">
        <v>1300</v>
      </c>
      <c r="AY52">
        <v>6817</v>
      </c>
      <c r="AZ52">
        <v>5862</v>
      </c>
      <c r="BA52">
        <v>20</v>
      </c>
    </row>
    <row r="53" spans="1:53">
      <c r="A53" t="s">
        <v>216</v>
      </c>
      <c r="B53">
        <v>62413</v>
      </c>
      <c r="C53">
        <v>59157</v>
      </c>
      <c r="D53">
        <v>55171</v>
      </c>
      <c r="E53">
        <v>21132</v>
      </c>
      <c r="F53">
        <v>165</v>
      </c>
      <c r="G53">
        <v>162</v>
      </c>
      <c r="H53">
        <v>149</v>
      </c>
      <c r="I53">
        <v>149</v>
      </c>
      <c r="J53">
        <v>149</v>
      </c>
      <c r="K53">
        <v>52</v>
      </c>
      <c r="L53">
        <v>84</v>
      </c>
      <c r="M53">
        <v>1</v>
      </c>
      <c r="N53">
        <v>0</v>
      </c>
      <c r="O53">
        <v>8185</v>
      </c>
      <c r="P53">
        <v>1962</v>
      </c>
      <c r="Q53">
        <v>6031</v>
      </c>
      <c r="R53">
        <v>339</v>
      </c>
      <c r="S53">
        <v>614</v>
      </c>
      <c r="T53">
        <v>816</v>
      </c>
      <c r="U53">
        <v>1652</v>
      </c>
      <c r="V53">
        <v>942</v>
      </c>
      <c r="W53">
        <v>880</v>
      </c>
      <c r="X53">
        <v>1111</v>
      </c>
      <c r="Y53">
        <v>49</v>
      </c>
      <c r="Z53">
        <v>759</v>
      </c>
      <c r="AA53">
        <v>15</v>
      </c>
      <c r="AB53">
        <v>705</v>
      </c>
      <c r="AC53">
        <v>2674</v>
      </c>
      <c r="AD53">
        <v>14</v>
      </c>
      <c r="AE53">
        <v>12549</v>
      </c>
      <c r="AF53">
        <v>11822</v>
      </c>
      <c r="AG53">
        <v>152</v>
      </c>
      <c r="AH53">
        <v>58</v>
      </c>
      <c r="AI53">
        <v>11145</v>
      </c>
      <c r="AJ53">
        <v>6993</v>
      </c>
      <c r="AK53">
        <v>94</v>
      </c>
      <c r="AL53">
        <v>5031</v>
      </c>
      <c r="AM53">
        <v>1372</v>
      </c>
      <c r="AN53">
        <v>3146</v>
      </c>
      <c r="AO53">
        <v>1598</v>
      </c>
      <c r="AP53">
        <v>1572</v>
      </c>
      <c r="AQ53">
        <v>560</v>
      </c>
      <c r="AR53">
        <v>297</v>
      </c>
      <c r="AS53">
        <v>3815</v>
      </c>
      <c r="AT53">
        <v>657</v>
      </c>
      <c r="AU53">
        <v>94</v>
      </c>
      <c r="AV53">
        <v>934</v>
      </c>
      <c r="AW53">
        <v>302</v>
      </c>
      <c r="AX53">
        <v>568</v>
      </c>
      <c r="AY53">
        <v>2737</v>
      </c>
      <c r="AZ53">
        <v>2549</v>
      </c>
      <c r="BA53">
        <v>4</v>
      </c>
    </row>
    <row r="54" spans="1:53">
      <c r="A54" t="s">
        <v>217</v>
      </c>
      <c r="B54">
        <v>232949</v>
      </c>
      <c r="C54">
        <v>206715</v>
      </c>
      <c r="D54">
        <v>194926</v>
      </c>
      <c r="E54">
        <v>110284</v>
      </c>
      <c r="F54">
        <v>166</v>
      </c>
      <c r="G54">
        <v>160</v>
      </c>
      <c r="H54">
        <v>142</v>
      </c>
      <c r="I54">
        <v>142</v>
      </c>
      <c r="J54">
        <v>141</v>
      </c>
      <c r="K54">
        <v>48</v>
      </c>
      <c r="L54">
        <v>79</v>
      </c>
      <c r="M54">
        <v>0</v>
      </c>
      <c r="N54">
        <v>3</v>
      </c>
      <c r="O54">
        <v>53013</v>
      </c>
      <c r="P54">
        <v>5540</v>
      </c>
      <c r="Q54">
        <v>47119</v>
      </c>
      <c r="R54">
        <v>1474</v>
      </c>
      <c r="S54">
        <v>2304</v>
      </c>
      <c r="T54">
        <v>7043</v>
      </c>
      <c r="U54">
        <v>28715</v>
      </c>
      <c r="V54">
        <v>3147</v>
      </c>
      <c r="W54">
        <v>3091</v>
      </c>
      <c r="X54">
        <v>3650</v>
      </c>
      <c r="Y54">
        <v>506</v>
      </c>
      <c r="Z54">
        <v>2323</v>
      </c>
      <c r="AA54">
        <v>405</v>
      </c>
      <c r="AB54">
        <v>1640</v>
      </c>
      <c r="AC54">
        <v>13226</v>
      </c>
      <c r="AD54">
        <v>157</v>
      </c>
      <c r="AE54">
        <v>56573</v>
      </c>
      <c r="AF54">
        <v>54079</v>
      </c>
      <c r="AG54">
        <v>111</v>
      </c>
      <c r="AH54">
        <v>237</v>
      </c>
      <c r="AI54">
        <v>52511</v>
      </c>
      <c r="AJ54">
        <v>26321</v>
      </c>
      <c r="AK54">
        <v>158</v>
      </c>
      <c r="AL54">
        <v>10207</v>
      </c>
      <c r="AM54">
        <v>2443</v>
      </c>
      <c r="AN54">
        <v>7267</v>
      </c>
      <c r="AO54">
        <v>13234</v>
      </c>
      <c r="AP54">
        <v>13181</v>
      </c>
      <c r="AQ54">
        <v>1739</v>
      </c>
      <c r="AR54">
        <v>374</v>
      </c>
      <c r="AS54">
        <v>22946</v>
      </c>
      <c r="AT54">
        <v>2649</v>
      </c>
      <c r="AU54">
        <v>288</v>
      </c>
      <c r="AV54">
        <v>4297</v>
      </c>
      <c r="AW54">
        <v>2348</v>
      </c>
      <c r="AX54">
        <v>1810</v>
      </c>
      <c r="AY54">
        <v>16832</v>
      </c>
      <c r="AZ54">
        <v>6730</v>
      </c>
      <c r="BA54">
        <v>49</v>
      </c>
    </row>
    <row r="55" spans="1:53">
      <c r="A55" t="s">
        <v>218</v>
      </c>
      <c r="B55">
        <v>86919</v>
      </c>
      <c r="C55">
        <v>81185</v>
      </c>
      <c r="D55">
        <v>78665</v>
      </c>
      <c r="E55">
        <v>49508</v>
      </c>
      <c r="F55">
        <v>92</v>
      </c>
      <c r="G55">
        <v>90</v>
      </c>
      <c r="H55">
        <v>86</v>
      </c>
      <c r="I55">
        <v>84</v>
      </c>
      <c r="J55">
        <v>84</v>
      </c>
      <c r="K55">
        <v>17</v>
      </c>
      <c r="L55">
        <v>58</v>
      </c>
      <c r="M55">
        <v>1</v>
      </c>
      <c r="N55">
        <v>1</v>
      </c>
      <c r="O55">
        <v>24820</v>
      </c>
      <c r="P55">
        <v>3921</v>
      </c>
      <c r="Q55">
        <v>20293</v>
      </c>
      <c r="R55">
        <v>717</v>
      </c>
      <c r="S55">
        <v>1560</v>
      </c>
      <c r="T55">
        <v>2990</v>
      </c>
      <c r="U55">
        <v>8315</v>
      </c>
      <c r="V55">
        <v>1019</v>
      </c>
      <c r="W55">
        <v>1007</v>
      </c>
      <c r="X55">
        <v>3475</v>
      </c>
      <c r="Y55">
        <v>534</v>
      </c>
      <c r="Z55">
        <v>2727</v>
      </c>
      <c r="AA55">
        <v>357</v>
      </c>
      <c r="AB55">
        <v>2123</v>
      </c>
      <c r="AC55">
        <v>7120</v>
      </c>
      <c r="AD55">
        <v>31</v>
      </c>
      <c r="AE55">
        <v>24379</v>
      </c>
      <c r="AF55">
        <v>21837</v>
      </c>
      <c r="AG55">
        <v>93</v>
      </c>
      <c r="AH55">
        <v>251</v>
      </c>
      <c r="AI55">
        <v>20954</v>
      </c>
      <c r="AJ55">
        <v>11790</v>
      </c>
      <c r="AK55">
        <v>55</v>
      </c>
      <c r="AL55">
        <v>6357</v>
      </c>
      <c r="AM55">
        <v>1930</v>
      </c>
      <c r="AN55">
        <v>3879</v>
      </c>
      <c r="AO55">
        <v>4362</v>
      </c>
      <c r="AP55">
        <v>4285</v>
      </c>
      <c r="AQ55">
        <v>637</v>
      </c>
      <c r="AR55">
        <v>191</v>
      </c>
      <c r="AS55">
        <v>7680</v>
      </c>
      <c r="AT55">
        <v>432</v>
      </c>
      <c r="AU55">
        <v>103</v>
      </c>
      <c r="AV55">
        <v>2100</v>
      </c>
      <c r="AW55">
        <v>475</v>
      </c>
      <c r="AX55">
        <v>1487</v>
      </c>
      <c r="AY55">
        <v>5215</v>
      </c>
      <c r="AZ55">
        <v>2100</v>
      </c>
      <c r="BA55">
        <v>283</v>
      </c>
    </row>
    <row r="56" spans="1:53">
      <c r="A56" t="s">
        <v>219</v>
      </c>
      <c r="B56">
        <v>85258</v>
      </c>
      <c r="C56">
        <v>80830</v>
      </c>
      <c r="D56">
        <v>71821</v>
      </c>
      <c r="E56">
        <v>19519</v>
      </c>
      <c r="F56">
        <v>315</v>
      </c>
      <c r="G56">
        <v>310</v>
      </c>
      <c r="H56">
        <v>284</v>
      </c>
      <c r="I56">
        <v>283</v>
      </c>
      <c r="J56">
        <v>283</v>
      </c>
      <c r="K56">
        <v>53</v>
      </c>
      <c r="L56">
        <v>180</v>
      </c>
      <c r="M56">
        <v>1</v>
      </c>
      <c r="N56">
        <v>4</v>
      </c>
      <c r="O56">
        <v>12052</v>
      </c>
      <c r="P56">
        <v>380</v>
      </c>
      <c r="Q56">
        <v>11234</v>
      </c>
      <c r="R56">
        <v>307</v>
      </c>
      <c r="S56">
        <v>521</v>
      </c>
      <c r="T56">
        <v>901</v>
      </c>
      <c r="U56">
        <v>3398</v>
      </c>
      <c r="V56">
        <v>1551</v>
      </c>
      <c r="W56">
        <v>1454</v>
      </c>
      <c r="X56">
        <v>2445</v>
      </c>
      <c r="Y56">
        <v>210</v>
      </c>
      <c r="Z56">
        <v>1446</v>
      </c>
      <c r="AA56">
        <v>65</v>
      </c>
      <c r="AB56">
        <v>1208</v>
      </c>
      <c r="AC56">
        <v>4080</v>
      </c>
      <c r="AD56">
        <v>52</v>
      </c>
      <c r="AE56">
        <v>6580</v>
      </c>
      <c r="AF56">
        <v>5899</v>
      </c>
      <c r="AG56">
        <v>51</v>
      </c>
      <c r="AH56">
        <v>95</v>
      </c>
      <c r="AI56">
        <v>5583</v>
      </c>
      <c r="AJ56">
        <v>1250</v>
      </c>
      <c r="AK56">
        <v>24</v>
      </c>
      <c r="AL56">
        <v>355</v>
      </c>
      <c r="AM56">
        <v>8</v>
      </c>
      <c r="AN56">
        <v>340</v>
      </c>
      <c r="AO56">
        <v>800</v>
      </c>
      <c r="AP56">
        <v>800</v>
      </c>
      <c r="AQ56">
        <v>263</v>
      </c>
      <c r="AR56">
        <v>32</v>
      </c>
      <c r="AS56">
        <v>3914</v>
      </c>
      <c r="AT56">
        <v>1101</v>
      </c>
      <c r="AU56">
        <v>60</v>
      </c>
      <c r="AV56">
        <v>239</v>
      </c>
      <c r="AW56">
        <v>222</v>
      </c>
      <c r="AX56">
        <v>13</v>
      </c>
      <c r="AY56">
        <v>3578</v>
      </c>
      <c r="AZ56">
        <v>3336</v>
      </c>
      <c r="BA56">
        <v>34</v>
      </c>
    </row>
    <row r="57" spans="1:53">
      <c r="A57" t="s">
        <v>220</v>
      </c>
      <c r="B57">
        <v>123596</v>
      </c>
      <c r="C57">
        <v>120354</v>
      </c>
      <c r="D57">
        <v>110696</v>
      </c>
      <c r="E57">
        <v>48343</v>
      </c>
      <c r="F57">
        <v>310</v>
      </c>
      <c r="G57">
        <v>246</v>
      </c>
      <c r="H57">
        <v>238</v>
      </c>
      <c r="I57">
        <v>238</v>
      </c>
      <c r="J57">
        <v>238</v>
      </c>
      <c r="K57">
        <v>50</v>
      </c>
      <c r="L57">
        <v>152</v>
      </c>
      <c r="M57">
        <v>5</v>
      </c>
      <c r="N57">
        <v>1</v>
      </c>
      <c r="O57">
        <v>23706</v>
      </c>
      <c r="P57">
        <v>6770</v>
      </c>
      <c r="Q57">
        <v>16594</v>
      </c>
      <c r="R57">
        <v>673</v>
      </c>
      <c r="S57">
        <v>994</v>
      </c>
      <c r="T57">
        <v>4092</v>
      </c>
      <c r="U57">
        <v>1450</v>
      </c>
      <c r="V57">
        <v>885</v>
      </c>
      <c r="W57">
        <v>857</v>
      </c>
      <c r="X57">
        <v>2518</v>
      </c>
      <c r="Y57">
        <v>321</v>
      </c>
      <c r="Z57">
        <v>1404</v>
      </c>
      <c r="AA57">
        <v>513</v>
      </c>
      <c r="AB57">
        <v>376</v>
      </c>
      <c r="AC57">
        <v>9823</v>
      </c>
      <c r="AD57">
        <v>72</v>
      </c>
      <c r="AE57">
        <v>23327</v>
      </c>
      <c r="AF57">
        <v>13636</v>
      </c>
      <c r="AG57">
        <v>86</v>
      </c>
      <c r="AH57">
        <v>40</v>
      </c>
      <c r="AI57">
        <v>13287</v>
      </c>
      <c r="AJ57">
        <v>8815</v>
      </c>
      <c r="AK57">
        <v>24</v>
      </c>
      <c r="AL57">
        <v>2173</v>
      </c>
      <c r="AM57">
        <v>593</v>
      </c>
      <c r="AN57">
        <v>1431</v>
      </c>
      <c r="AO57">
        <v>6023</v>
      </c>
      <c r="AP57">
        <v>5504</v>
      </c>
      <c r="AQ57">
        <v>291</v>
      </c>
      <c r="AR57">
        <v>70</v>
      </c>
      <c r="AS57">
        <v>3987</v>
      </c>
      <c r="AT57">
        <v>335</v>
      </c>
      <c r="AU57">
        <v>43</v>
      </c>
      <c r="AV57">
        <v>1291</v>
      </c>
      <c r="AW57">
        <v>211</v>
      </c>
      <c r="AX57">
        <v>1000</v>
      </c>
      <c r="AY57">
        <v>2493</v>
      </c>
      <c r="AZ57">
        <v>1487</v>
      </c>
      <c r="BA57">
        <v>11</v>
      </c>
    </row>
    <row r="58" spans="1:53">
      <c r="A58" t="s">
        <v>221</v>
      </c>
      <c r="B58">
        <v>166329</v>
      </c>
      <c r="C58">
        <v>161188</v>
      </c>
      <c r="D58">
        <v>150664</v>
      </c>
      <c r="E58">
        <v>61303</v>
      </c>
      <c r="F58">
        <v>29</v>
      </c>
      <c r="G58">
        <v>28</v>
      </c>
      <c r="H58">
        <v>26</v>
      </c>
      <c r="I58">
        <v>24</v>
      </c>
      <c r="J58">
        <v>24</v>
      </c>
      <c r="K58">
        <v>8</v>
      </c>
      <c r="L58">
        <v>13</v>
      </c>
      <c r="M58">
        <v>0</v>
      </c>
      <c r="N58">
        <v>0</v>
      </c>
      <c r="O58">
        <v>29370</v>
      </c>
      <c r="P58">
        <v>4066</v>
      </c>
      <c r="Q58">
        <v>24675</v>
      </c>
      <c r="R58">
        <v>1320</v>
      </c>
      <c r="S58">
        <v>1519</v>
      </c>
      <c r="T58">
        <v>2573</v>
      </c>
      <c r="U58">
        <v>12678</v>
      </c>
      <c r="V58">
        <v>8608</v>
      </c>
      <c r="W58">
        <v>8014</v>
      </c>
      <c r="X58">
        <v>1402</v>
      </c>
      <c r="Y58">
        <v>204</v>
      </c>
      <c r="Z58">
        <v>1031</v>
      </c>
      <c r="AA58">
        <v>28</v>
      </c>
      <c r="AB58">
        <v>957</v>
      </c>
      <c r="AC58">
        <v>9328</v>
      </c>
      <c r="AD58">
        <v>79</v>
      </c>
      <c r="AE58">
        <v>31580</v>
      </c>
      <c r="AF58">
        <v>29260</v>
      </c>
      <c r="AG58">
        <v>479</v>
      </c>
      <c r="AH58">
        <v>322</v>
      </c>
      <c r="AI58">
        <v>26675</v>
      </c>
      <c r="AJ58">
        <v>11069</v>
      </c>
      <c r="AK58">
        <v>78</v>
      </c>
      <c r="AL58">
        <v>5582</v>
      </c>
      <c r="AM58">
        <v>423</v>
      </c>
      <c r="AN58">
        <v>4908</v>
      </c>
      <c r="AO58">
        <v>4501</v>
      </c>
      <c r="AP58">
        <v>4463</v>
      </c>
      <c r="AQ58">
        <v>1306</v>
      </c>
      <c r="AR58">
        <v>643</v>
      </c>
      <c r="AS58">
        <v>13901</v>
      </c>
      <c r="AT58">
        <v>4019</v>
      </c>
      <c r="AU58">
        <v>715</v>
      </c>
      <c r="AV58">
        <v>2180</v>
      </c>
      <c r="AW58">
        <v>1686</v>
      </c>
      <c r="AX58">
        <v>368</v>
      </c>
      <c r="AY58">
        <v>11102</v>
      </c>
      <c r="AZ58">
        <v>9531</v>
      </c>
      <c r="BA58">
        <v>28</v>
      </c>
    </row>
    <row r="59" spans="1:53">
      <c r="A59" t="s">
        <v>222</v>
      </c>
      <c r="B59">
        <v>89352</v>
      </c>
      <c r="C59">
        <v>81651</v>
      </c>
      <c r="D59">
        <v>80568</v>
      </c>
      <c r="E59">
        <v>40335</v>
      </c>
      <c r="F59">
        <v>930</v>
      </c>
      <c r="G59">
        <v>863</v>
      </c>
      <c r="H59">
        <v>819</v>
      </c>
      <c r="I59">
        <v>814</v>
      </c>
      <c r="J59">
        <v>790</v>
      </c>
      <c r="K59">
        <v>200</v>
      </c>
      <c r="L59">
        <v>413</v>
      </c>
      <c r="M59">
        <v>14</v>
      </c>
      <c r="N59">
        <v>12</v>
      </c>
      <c r="O59">
        <v>15803</v>
      </c>
      <c r="P59">
        <v>2012</v>
      </c>
      <c r="Q59">
        <v>12928</v>
      </c>
      <c r="R59">
        <v>769</v>
      </c>
      <c r="S59">
        <v>1030</v>
      </c>
      <c r="T59">
        <v>1560</v>
      </c>
      <c r="U59">
        <v>3481</v>
      </c>
      <c r="V59">
        <v>584</v>
      </c>
      <c r="W59">
        <v>562</v>
      </c>
      <c r="X59">
        <v>4304</v>
      </c>
      <c r="Y59">
        <v>850</v>
      </c>
      <c r="Z59">
        <v>2970</v>
      </c>
      <c r="AA59">
        <v>394</v>
      </c>
      <c r="AB59">
        <v>2363</v>
      </c>
      <c r="AC59">
        <v>4196</v>
      </c>
      <c r="AD59">
        <v>71</v>
      </c>
      <c r="AE59">
        <v>20951</v>
      </c>
      <c r="AF59">
        <v>18832</v>
      </c>
      <c r="AG59">
        <v>356</v>
      </c>
      <c r="AH59">
        <v>609</v>
      </c>
      <c r="AI59">
        <v>16515</v>
      </c>
      <c r="AJ59">
        <v>8015</v>
      </c>
      <c r="AK59">
        <v>99</v>
      </c>
      <c r="AL59">
        <v>3782</v>
      </c>
      <c r="AM59">
        <v>1934</v>
      </c>
      <c r="AN59">
        <v>1628</v>
      </c>
      <c r="AO59">
        <v>3432</v>
      </c>
      <c r="AP59">
        <v>3057</v>
      </c>
      <c r="AQ59">
        <v>2207</v>
      </c>
      <c r="AR59">
        <v>1637</v>
      </c>
      <c r="AS59">
        <v>7909</v>
      </c>
      <c r="AT59">
        <v>2726</v>
      </c>
      <c r="AU59">
        <v>2073</v>
      </c>
      <c r="AV59">
        <v>688</v>
      </c>
      <c r="AW59">
        <v>211</v>
      </c>
      <c r="AX59">
        <v>447</v>
      </c>
      <c r="AY59">
        <v>6305</v>
      </c>
      <c r="AZ59">
        <v>2068</v>
      </c>
      <c r="BA59">
        <v>25</v>
      </c>
    </row>
    <row r="60" spans="1:53">
      <c r="A60" t="s">
        <v>223</v>
      </c>
      <c r="B60">
        <v>103950</v>
      </c>
      <c r="C60">
        <v>100965</v>
      </c>
      <c r="D60">
        <v>93340</v>
      </c>
      <c r="E60">
        <v>40289</v>
      </c>
      <c r="F60">
        <v>16</v>
      </c>
      <c r="G60">
        <v>15</v>
      </c>
      <c r="H60">
        <v>15</v>
      </c>
      <c r="I60">
        <v>13</v>
      </c>
      <c r="J60">
        <v>13</v>
      </c>
      <c r="K60">
        <v>8</v>
      </c>
      <c r="L60">
        <v>3</v>
      </c>
      <c r="M60">
        <v>0</v>
      </c>
      <c r="N60">
        <v>0</v>
      </c>
      <c r="O60">
        <v>23423</v>
      </c>
      <c r="P60">
        <v>1579</v>
      </c>
      <c r="Q60">
        <v>21529</v>
      </c>
      <c r="R60">
        <v>295</v>
      </c>
      <c r="S60">
        <v>274</v>
      </c>
      <c r="T60">
        <v>6737</v>
      </c>
      <c r="U60">
        <v>1640</v>
      </c>
      <c r="V60">
        <v>613</v>
      </c>
      <c r="W60">
        <v>579</v>
      </c>
      <c r="X60">
        <v>4511</v>
      </c>
      <c r="Y60">
        <v>65</v>
      </c>
      <c r="Z60">
        <v>4031</v>
      </c>
      <c r="AA60">
        <v>1679</v>
      </c>
      <c r="AB60">
        <v>592</v>
      </c>
      <c r="AC60">
        <v>10063</v>
      </c>
      <c r="AD60">
        <v>32</v>
      </c>
      <c r="AE60">
        <v>16268</v>
      </c>
      <c r="AF60">
        <v>9103</v>
      </c>
      <c r="AG60">
        <v>4</v>
      </c>
      <c r="AH60">
        <v>11</v>
      </c>
      <c r="AI60">
        <v>9059</v>
      </c>
      <c r="AJ60">
        <v>5271</v>
      </c>
      <c r="AK60">
        <v>6</v>
      </c>
      <c r="AL60">
        <v>1563</v>
      </c>
      <c r="AM60">
        <v>240</v>
      </c>
      <c r="AN60">
        <v>1229</v>
      </c>
      <c r="AO60">
        <v>3292</v>
      </c>
      <c r="AP60">
        <v>3279</v>
      </c>
      <c r="AQ60">
        <v>61</v>
      </c>
      <c r="AR60">
        <v>5</v>
      </c>
      <c r="AS60">
        <v>2779</v>
      </c>
      <c r="AT60">
        <v>63</v>
      </c>
      <c r="AU60">
        <v>2</v>
      </c>
      <c r="AV60">
        <v>505</v>
      </c>
      <c r="AW60">
        <v>291</v>
      </c>
      <c r="AX60">
        <v>169</v>
      </c>
      <c r="AY60">
        <v>2077</v>
      </c>
      <c r="AZ60">
        <v>1993</v>
      </c>
      <c r="BA60">
        <v>9</v>
      </c>
    </row>
    <row r="61" spans="1:53">
      <c r="A61" t="s">
        <v>224</v>
      </c>
      <c r="B61">
        <v>130376</v>
      </c>
      <c r="C61">
        <v>126147</v>
      </c>
      <c r="D61">
        <v>120112</v>
      </c>
      <c r="E61">
        <v>94813</v>
      </c>
      <c r="F61">
        <v>12</v>
      </c>
      <c r="G61">
        <v>12</v>
      </c>
      <c r="H61">
        <v>10</v>
      </c>
      <c r="I61">
        <v>10</v>
      </c>
      <c r="J61">
        <v>10</v>
      </c>
      <c r="K61">
        <v>5</v>
      </c>
      <c r="L61">
        <v>3</v>
      </c>
      <c r="M61">
        <v>0</v>
      </c>
      <c r="N61">
        <v>0</v>
      </c>
      <c r="O61">
        <v>23970</v>
      </c>
      <c r="P61">
        <v>4860</v>
      </c>
      <c r="Q61">
        <v>18848</v>
      </c>
      <c r="R61">
        <v>2080</v>
      </c>
      <c r="S61">
        <v>1118</v>
      </c>
      <c r="T61">
        <v>1173</v>
      </c>
      <c r="U61">
        <v>2367</v>
      </c>
      <c r="V61">
        <v>602</v>
      </c>
      <c r="W61">
        <v>552</v>
      </c>
      <c r="X61">
        <v>1300</v>
      </c>
      <c r="Y61">
        <v>199</v>
      </c>
      <c r="Z61">
        <v>977</v>
      </c>
      <c r="AA61">
        <v>45</v>
      </c>
      <c r="AB61">
        <v>788</v>
      </c>
      <c r="AC61">
        <v>14358</v>
      </c>
      <c r="AD61">
        <v>340</v>
      </c>
      <c r="AE61">
        <v>69848</v>
      </c>
      <c r="AF61">
        <v>61512</v>
      </c>
      <c r="AG61">
        <v>510</v>
      </c>
      <c r="AH61">
        <v>577</v>
      </c>
      <c r="AI61">
        <v>59314</v>
      </c>
      <c r="AJ61">
        <v>34428</v>
      </c>
      <c r="AK61">
        <v>160</v>
      </c>
      <c r="AL61">
        <v>16384</v>
      </c>
      <c r="AM61">
        <v>11059</v>
      </c>
      <c r="AN61">
        <v>4048</v>
      </c>
      <c r="AO61">
        <v>14413</v>
      </c>
      <c r="AP61">
        <v>12623</v>
      </c>
      <c r="AQ61">
        <v>1530</v>
      </c>
      <c r="AR61">
        <v>381</v>
      </c>
      <c r="AS61">
        <v>22096</v>
      </c>
      <c r="AT61">
        <v>1237</v>
      </c>
      <c r="AU61">
        <v>227</v>
      </c>
      <c r="AV61">
        <v>8455</v>
      </c>
      <c r="AW61">
        <v>520</v>
      </c>
      <c r="AX61">
        <v>7606</v>
      </c>
      <c r="AY61">
        <v>12629</v>
      </c>
      <c r="AZ61">
        <v>7694</v>
      </c>
      <c r="BA61">
        <v>208</v>
      </c>
    </row>
    <row r="62" spans="1:53">
      <c r="A62" t="s">
        <v>225</v>
      </c>
      <c r="B62">
        <v>129019</v>
      </c>
      <c r="C62">
        <v>125046</v>
      </c>
      <c r="D62">
        <v>121389</v>
      </c>
      <c r="E62">
        <v>85644</v>
      </c>
      <c r="F62">
        <v>95</v>
      </c>
      <c r="G62">
        <v>94</v>
      </c>
      <c r="H62">
        <v>89</v>
      </c>
      <c r="I62">
        <v>89</v>
      </c>
      <c r="J62">
        <v>89</v>
      </c>
      <c r="K62">
        <v>14</v>
      </c>
      <c r="L62">
        <v>68</v>
      </c>
      <c r="M62">
        <v>0</v>
      </c>
      <c r="N62">
        <v>1</v>
      </c>
      <c r="O62">
        <v>22951</v>
      </c>
      <c r="P62">
        <v>4476</v>
      </c>
      <c r="Q62">
        <v>18070</v>
      </c>
      <c r="R62">
        <v>2316</v>
      </c>
      <c r="S62">
        <v>5017</v>
      </c>
      <c r="T62">
        <v>5347</v>
      </c>
      <c r="U62">
        <v>2259</v>
      </c>
      <c r="V62">
        <v>1123</v>
      </c>
      <c r="W62">
        <v>981</v>
      </c>
      <c r="X62">
        <v>1831</v>
      </c>
      <c r="Y62">
        <v>641</v>
      </c>
      <c r="Z62">
        <v>1034</v>
      </c>
      <c r="AA62">
        <v>499</v>
      </c>
      <c r="AB62">
        <v>410</v>
      </c>
      <c r="AC62">
        <v>13158</v>
      </c>
      <c r="AD62">
        <v>120</v>
      </c>
      <c r="AE62">
        <v>62018</v>
      </c>
      <c r="AF62">
        <v>58887</v>
      </c>
      <c r="AG62">
        <v>1197</v>
      </c>
      <c r="AH62">
        <v>1129</v>
      </c>
      <c r="AI62">
        <v>52400</v>
      </c>
      <c r="AJ62">
        <v>35018</v>
      </c>
      <c r="AK62">
        <v>217</v>
      </c>
      <c r="AL62">
        <v>14679</v>
      </c>
      <c r="AM62">
        <v>5023</v>
      </c>
      <c r="AN62">
        <v>8154</v>
      </c>
      <c r="AO62">
        <v>18292</v>
      </c>
      <c r="AP62">
        <v>18120</v>
      </c>
      <c r="AQ62">
        <v>2379</v>
      </c>
      <c r="AR62">
        <v>1363</v>
      </c>
      <c r="AS62">
        <v>16555</v>
      </c>
      <c r="AT62">
        <v>2027</v>
      </c>
      <c r="AU62">
        <v>704</v>
      </c>
      <c r="AV62">
        <v>5055</v>
      </c>
      <c r="AW62">
        <v>726</v>
      </c>
      <c r="AX62">
        <v>3941</v>
      </c>
      <c r="AY62">
        <v>10968</v>
      </c>
      <c r="AZ62">
        <v>7112</v>
      </c>
      <c r="BA62">
        <v>32</v>
      </c>
    </row>
    <row r="63" spans="1:53">
      <c r="A63" t="s">
        <v>226</v>
      </c>
      <c r="B63">
        <v>35601</v>
      </c>
      <c r="C63">
        <v>32502</v>
      </c>
      <c r="D63">
        <v>31893</v>
      </c>
      <c r="E63">
        <v>12529</v>
      </c>
      <c r="F63">
        <v>139</v>
      </c>
      <c r="G63">
        <v>132</v>
      </c>
      <c r="H63">
        <v>121</v>
      </c>
      <c r="I63">
        <v>121</v>
      </c>
      <c r="J63">
        <v>121</v>
      </c>
      <c r="K63">
        <v>26</v>
      </c>
      <c r="L63">
        <v>73</v>
      </c>
      <c r="M63">
        <v>2</v>
      </c>
      <c r="N63">
        <v>0</v>
      </c>
      <c r="O63">
        <v>3066</v>
      </c>
      <c r="P63">
        <v>600</v>
      </c>
      <c r="Q63">
        <v>2325</v>
      </c>
      <c r="R63">
        <v>60</v>
      </c>
      <c r="S63">
        <v>13</v>
      </c>
      <c r="T63">
        <v>225</v>
      </c>
      <c r="U63">
        <v>692</v>
      </c>
      <c r="V63">
        <v>66</v>
      </c>
      <c r="W63">
        <v>26</v>
      </c>
      <c r="X63">
        <v>491</v>
      </c>
      <c r="Y63">
        <v>133</v>
      </c>
      <c r="Z63">
        <v>314</v>
      </c>
      <c r="AA63">
        <v>7</v>
      </c>
      <c r="AB63">
        <v>301</v>
      </c>
      <c r="AC63">
        <v>1048</v>
      </c>
      <c r="AD63">
        <v>33</v>
      </c>
      <c r="AE63">
        <v>9216</v>
      </c>
      <c r="AF63">
        <v>8684</v>
      </c>
      <c r="AG63">
        <v>41</v>
      </c>
      <c r="AH63">
        <v>5</v>
      </c>
      <c r="AI63">
        <v>8442</v>
      </c>
      <c r="AJ63">
        <v>6202</v>
      </c>
      <c r="AK63">
        <v>45</v>
      </c>
      <c r="AL63">
        <v>3116</v>
      </c>
      <c r="AM63">
        <v>1051</v>
      </c>
      <c r="AN63">
        <v>1760</v>
      </c>
      <c r="AO63">
        <v>2621</v>
      </c>
      <c r="AP63">
        <v>2583</v>
      </c>
      <c r="AQ63">
        <v>413</v>
      </c>
      <c r="AR63">
        <v>225</v>
      </c>
      <c r="AS63">
        <v>1915</v>
      </c>
      <c r="AT63">
        <v>285</v>
      </c>
      <c r="AU63">
        <v>47</v>
      </c>
      <c r="AV63">
        <v>542</v>
      </c>
      <c r="AW63">
        <v>216</v>
      </c>
      <c r="AX63">
        <v>297</v>
      </c>
      <c r="AY63">
        <v>1252</v>
      </c>
      <c r="AZ63">
        <v>1053</v>
      </c>
      <c r="BA63">
        <v>12</v>
      </c>
    </row>
    <row r="64" spans="1:53">
      <c r="A64" t="s">
        <v>227</v>
      </c>
      <c r="B64">
        <v>82779</v>
      </c>
      <c r="C64">
        <v>76468</v>
      </c>
      <c r="D64">
        <v>75354</v>
      </c>
      <c r="E64">
        <v>43236</v>
      </c>
      <c r="F64">
        <v>549</v>
      </c>
      <c r="G64">
        <v>499</v>
      </c>
      <c r="H64">
        <v>439</v>
      </c>
      <c r="I64">
        <v>437</v>
      </c>
      <c r="J64">
        <v>417</v>
      </c>
      <c r="K64">
        <v>101</v>
      </c>
      <c r="L64">
        <v>220</v>
      </c>
      <c r="M64">
        <v>26</v>
      </c>
      <c r="N64">
        <v>8</v>
      </c>
      <c r="O64">
        <v>21638</v>
      </c>
      <c r="P64">
        <v>12539</v>
      </c>
      <c r="Q64">
        <v>8046</v>
      </c>
      <c r="R64">
        <v>656</v>
      </c>
      <c r="S64">
        <v>1027</v>
      </c>
      <c r="T64">
        <v>1316</v>
      </c>
      <c r="U64">
        <v>2187</v>
      </c>
      <c r="V64">
        <v>568</v>
      </c>
      <c r="W64">
        <v>534</v>
      </c>
      <c r="X64">
        <v>1305</v>
      </c>
      <c r="Y64">
        <v>309</v>
      </c>
      <c r="Z64">
        <v>763</v>
      </c>
      <c r="AA64">
        <v>101</v>
      </c>
      <c r="AB64">
        <v>558</v>
      </c>
      <c r="AC64">
        <v>4097</v>
      </c>
      <c r="AD64">
        <v>31</v>
      </c>
      <c r="AE64">
        <v>18168</v>
      </c>
      <c r="AF64">
        <v>14978</v>
      </c>
      <c r="AG64">
        <v>325</v>
      </c>
      <c r="AH64">
        <v>76</v>
      </c>
      <c r="AI64">
        <v>13641</v>
      </c>
      <c r="AJ64">
        <v>9594</v>
      </c>
      <c r="AK64">
        <v>376</v>
      </c>
      <c r="AL64">
        <v>5658</v>
      </c>
      <c r="AM64">
        <v>3292</v>
      </c>
      <c r="AN64">
        <v>2263</v>
      </c>
      <c r="AO64">
        <v>2817</v>
      </c>
      <c r="AP64">
        <v>2708</v>
      </c>
      <c r="AQ64">
        <v>3366</v>
      </c>
      <c r="AR64">
        <v>2439</v>
      </c>
      <c r="AS64">
        <v>3048</v>
      </c>
      <c r="AT64">
        <v>1553</v>
      </c>
      <c r="AU64">
        <v>1097</v>
      </c>
      <c r="AV64">
        <v>1384</v>
      </c>
      <c r="AW64">
        <v>255</v>
      </c>
      <c r="AX64">
        <v>1108</v>
      </c>
      <c r="AY64">
        <v>1310</v>
      </c>
      <c r="AZ64">
        <v>1071</v>
      </c>
      <c r="BA64">
        <v>57</v>
      </c>
    </row>
    <row r="65" spans="1:53">
      <c r="A65" t="s">
        <v>228</v>
      </c>
      <c r="B65">
        <v>66184</v>
      </c>
      <c r="C65">
        <v>59940</v>
      </c>
      <c r="D65">
        <v>58794</v>
      </c>
      <c r="E65">
        <v>20753</v>
      </c>
      <c r="F65">
        <v>432</v>
      </c>
      <c r="G65">
        <v>422</v>
      </c>
      <c r="H65">
        <v>396</v>
      </c>
      <c r="I65">
        <v>395</v>
      </c>
      <c r="J65">
        <v>393</v>
      </c>
      <c r="K65">
        <v>147</v>
      </c>
      <c r="L65">
        <v>186</v>
      </c>
      <c r="M65">
        <v>2</v>
      </c>
      <c r="N65">
        <v>4</v>
      </c>
      <c r="O65">
        <v>10268</v>
      </c>
      <c r="P65">
        <v>4359</v>
      </c>
      <c r="Q65">
        <v>5368</v>
      </c>
      <c r="R65">
        <v>203</v>
      </c>
      <c r="S65">
        <v>30</v>
      </c>
      <c r="T65">
        <v>123</v>
      </c>
      <c r="U65">
        <v>1915</v>
      </c>
      <c r="V65">
        <v>605</v>
      </c>
      <c r="W65">
        <v>560</v>
      </c>
      <c r="X65">
        <v>1231</v>
      </c>
      <c r="Y65">
        <v>279</v>
      </c>
      <c r="Z65">
        <v>661</v>
      </c>
      <c r="AA65">
        <v>40</v>
      </c>
      <c r="AB65">
        <v>594</v>
      </c>
      <c r="AC65">
        <v>1435</v>
      </c>
      <c r="AD65">
        <v>20</v>
      </c>
      <c r="AE65">
        <v>9664</v>
      </c>
      <c r="AF65">
        <v>9186</v>
      </c>
      <c r="AG65">
        <v>30</v>
      </c>
      <c r="AH65">
        <v>45</v>
      </c>
      <c r="AI65">
        <v>8927</v>
      </c>
      <c r="AJ65">
        <v>5747</v>
      </c>
      <c r="AK65">
        <v>30</v>
      </c>
      <c r="AL65">
        <v>3604</v>
      </c>
      <c r="AM65">
        <v>701</v>
      </c>
      <c r="AN65">
        <v>2546</v>
      </c>
      <c r="AO65">
        <v>1653</v>
      </c>
      <c r="AP65">
        <v>1594</v>
      </c>
      <c r="AQ65">
        <v>416</v>
      </c>
      <c r="AR65">
        <v>103</v>
      </c>
      <c r="AS65">
        <v>2729</v>
      </c>
      <c r="AT65">
        <v>1005</v>
      </c>
      <c r="AU65">
        <v>79</v>
      </c>
      <c r="AV65">
        <v>765</v>
      </c>
      <c r="AW65">
        <v>259</v>
      </c>
      <c r="AX65">
        <v>427</v>
      </c>
      <c r="AY65">
        <v>1883</v>
      </c>
      <c r="AZ65">
        <v>1577</v>
      </c>
      <c r="BA65">
        <v>5</v>
      </c>
    </row>
    <row r="66" spans="1:53">
      <c r="A66" t="s">
        <v>229</v>
      </c>
      <c r="B66">
        <v>38823</v>
      </c>
      <c r="C66">
        <v>36155</v>
      </c>
      <c r="D66">
        <v>35289</v>
      </c>
      <c r="E66">
        <v>18899</v>
      </c>
      <c r="F66">
        <v>114</v>
      </c>
      <c r="G66">
        <v>111</v>
      </c>
      <c r="H66">
        <v>103</v>
      </c>
      <c r="I66">
        <v>103</v>
      </c>
      <c r="J66">
        <v>102</v>
      </c>
      <c r="K66">
        <v>27</v>
      </c>
      <c r="L66">
        <v>67</v>
      </c>
      <c r="M66">
        <v>1</v>
      </c>
      <c r="N66">
        <v>2</v>
      </c>
      <c r="O66">
        <v>5934</v>
      </c>
      <c r="P66">
        <v>1447</v>
      </c>
      <c r="Q66">
        <v>3828</v>
      </c>
      <c r="R66">
        <v>1287</v>
      </c>
      <c r="S66">
        <v>59</v>
      </c>
      <c r="T66">
        <v>56</v>
      </c>
      <c r="U66">
        <v>315</v>
      </c>
      <c r="V66">
        <v>65</v>
      </c>
      <c r="W66">
        <v>57</v>
      </c>
      <c r="X66">
        <v>909</v>
      </c>
      <c r="Y66">
        <v>270</v>
      </c>
      <c r="Z66">
        <v>323</v>
      </c>
      <c r="AA66">
        <v>10</v>
      </c>
      <c r="AB66">
        <v>295</v>
      </c>
      <c r="AC66">
        <v>2324</v>
      </c>
      <c r="AD66">
        <v>29</v>
      </c>
      <c r="AE66">
        <v>12539</v>
      </c>
      <c r="AF66">
        <v>11702</v>
      </c>
      <c r="AG66">
        <v>71</v>
      </c>
      <c r="AH66">
        <v>32</v>
      </c>
      <c r="AI66">
        <v>11296</v>
      </c>
      <c r="AJ66">
        <v>8903</v>
      </c>
      <c r="AK66">
        <v>27</v>
      </c>
      <c r="AL66">
        <v>3823</v>
      </c>
      <c r="AM66">
        <v>1252</v>
      </c>
      <c r="AN66">
        <v>2170</v>
      </c>
      <c r="AO66">
        <v>3963</v>
      </c>
      <c r="AP66">
        <v>3563</v>
      </c>
      <c r="AQ66">
        <v>519</v>
      </c>
      <c r="AR66">
        <v>224</v>
      </c>
      <c r="AS66">
        <v>2022</v>
      </c>
      <c r="AT66">
        <v>292</v>
      </c>
      <c r="AU66">
        <v>73</v>
      </c>
      <c r="AV66">
        <v>621</v>
      </c>
      <c r="AW66">
        <v>98</v>
      </c>
      <c r="AX66">
        <v>487</v>
      </c>
      <c r="AY66">
        <v>1258</v>
      </c>
      <c r="AZ66">
        <v>745</v>
      </c>
      <c r="BA66">
        <v>4</v>
      </c>
    </row>
    <row r="67" spans="1:53">
      <c r="A67" t="s">
        <v>230</v>
      </c>
      <c r="B67">
        <v>149245</v>
      </c>
      <c r="C67">
        <v>146074</v>
      </c>
      <c r="D67">
        <v>145481</v>
      </c>
      <c r="E67">
        <v>135150</v>
      </c>
      <c r="F67">
        <v>37</v>
      </c>
      <c r="G67">
        <v>36</v>
      </c>
      <c r="H67">
        <v>33</v>
      </c>
      <c r="I67">
        <v>31</v>
      </c>
      <c r="J67">
        <v>30</v>
      </c>
      <c r="K67">
        <v>6</v>
      </c>
      <c r="L67">
        <v>18</v>
      </c>
      <c r="M67">
        <v>0</v>
      </c>
      <c r="N67">
        <v>0</v>
      </c>
      <c r="O67">
        <v>49041</v>
      </c>
      <c r="P67">
        <v>6193</v>
      </c>
      <c r="Q67">
        <v>41403</v>
      </c>
      <c r="R67">
        <v>4477</v>
      </c>
      <c r="S67">
        <v>5787</v>
      </c>
      <c r="T67">
        <v>7834</v>
      </c>
      <c r="U67">
        <v>8778</v>
      </c>
      <c r="V67">
        <v>2067</v>
      </c>
      <c r="W67">
        <v>1389</v>
      </c>
      <c r="X67">
        <v>2499</v>
      </c>
      <c r="Y67">
        <v>299</v>
      </c>
      <c r="Z67">
        <v>1924</v>
      </c>
      <c r="AA67">
        <v>440</v>
      </c>
      <c r="AB67">
        <v>1345</v>
      </c>
      <c r="AC67">
        <v>28939</v>
      </c>
      <c r="AD67">
        <v>285</v>
      </c>
      <c r="AE67">
        <v>85539</v>
      </c>
      <c r="AF67">
        <v>77590</v>
      </c>
      <c r="AG67">
        <v>344</v>
      </c>
      <c r="AH67">
        <v>132</v>
      </c>
      <c r="AI67">
        <v>74877</v>
      </c>
      <c r="AJ67">
        <v>57384</v>
      </c>
      <c r="AK67">
        <v>254</v>
      </c>
      <c r="AL67">
        <v>16496</v>
      </c>
      <c r="AM67">
        <v>5208</v>
      </c>
      <c r="AN67">
        <v>9764</v>
      </c>
      <c r="AO67">
        <v>35449</v>
      </c>
      <c r="AP67">
        <v>34754</v>
      </c>
      <c r="AQ67">
        <v>1904</v>
      </c>
      <c r="AR67">
        <v>581</v>
      </c>
      <c r="AS67">
        <v>14873</v>
      </c>
      <c r="AT67">
        <v>1406</v>
      </c>
      <c r="AU67">
        <v>341</v>
      </c>
      <c r="AV67">
        <v>3286</v>
      </c>
      <c r="AW67">
        <v>495</v>
      </c>
      <c r="AX67">
        <v>2532</v>
      </c>
      <c r="AY67">
        <v>10397</v>
      </c>
      <c r="AZ67">
        <v>5415</v>
      </c>
      <c r="BA67">
        <v>22</v>
      </c>
    </row>
    <row r="68" spans="1:53">
      <c r="A68" t="s">
        <v>231</v>
      </c>
      <c r="B68">
        <v>36749</v>
      </c>
      <c r="C68">
        <v>35528</v>
      </c>
      <c r="D68">
        <v>35018</v>
      </c>
      <c r="E68">
        <v>30431</v>
      </c>
      <c r="F68">
        <v>31</v>
      </c>
      <c r="G68">
        <v>31</v>
      </c>
      <c r="H68">
        <v>28</v>
      </c>
      <c r="I68">
        <v>28</v>
      </c>
      <c r="J68">
        <v>28</v>
      </c>
      <c r="K68">
        <v>10</v>
      </c>
      <c r="L68">
        <v>13</v>
      </c>
      <c r="M68">
        <v>0</v>
      </c>
      <c r="N68">
        <v>0</v>
      </c>
      <c r="O68">
        <v>15334</v>
      </c>
      <c r="P68">
        <v>2031</v>
      </c>
      <c r="Q68">
        <v>13003</v>
      </c>
      <c r="R68">
        <v>887</v>
      </c>
      <c r="S68">
        <v>2258</v>
      </c>
      <c r="T68">
        <v>3213</v>
      </c>
      <c r="U68">
        <v>1897</v>
      </c>
      <c r="V68">
        <v>273</v>
      </c>
      <c r="W68">
        <v>254</v>
      </c>
      <c r="X68">
        <v>737</v>
      </c>
      <c r="Y68">
        <v>161</v>
      </c>
      <c r="Z68">
        <v>489</v>
      </c>
      <c r="AA68">
        <v>137</v>
      </c>
      <c r="AB68">
        <v>226</v>
      </c>
      <c r="AC68">
        <v>9501</v>
      </c>
      <c r="AD68">
        <v>46</v>
      </c>
      <c r="AE68">
        <v>14869</v>
      </c>
      <c r="AF68">
        <v>12930</v>
      </c>
      <c r="AG68">
        <v>21</v>
      </c>
      <c r="AH68">
        <v>45</v>
      </c>
      <c r="AI68">
        <v>12680</v>
      </c>
      <c r="AJ68">
        <v>6439</v>
      </c>
      <c r="AK68">
        <v>44</v>
      </c>
      <c r="AL68">
        <v>2208</v>
      </c>
      <c r="AM68">
        <v>886</v>
      </c>
      <c r="AN68">
        <v>1091</v>
      </c>
      <c r="AO68">
        <v>3551</v>
      </c>
      <c r="AP68">
        <v>3323</v>
      </c>
      <c r="AQ68">
        <v>391</v>
      </c>
      <c r="AR68">
        <v>83</v>
      </c>
      <c r="AS68">
        <v>5725</v>
      </c>
      <c r="AT68">
        <v>516</v>
      </c>
      <c r="AU68">
        <v>98</v>
      </c>
      <c r="AV68">
        <v>2156</v>
      </c>
      <c r="AW68">
        <v>119</v>
      </c>
      <c r="AX68">
        <v>1962</v>
      </c>
      <c r="AY68">
        <v>2943</v>
      </c>
      <c r="AZ68">
        <v>1820</v>
      </c>
      <c r="BA68">
        <v>14</v>
      </c>
    </row>
    <row r="69" spans="1:53">
      <c r="A69" t="s">
        <v>232</v>
      </c>
      <c r="B69">
        <v>41053</v>
      </c>
      <c r="C69">
        <v>38077</v>
      </c>
      <c r="D69">
        <v>36555</v>
      </c>
      <c r="E69">
        <v>27594</v>
      </c>
      <c r="F69">
        <v>67</v>
      </c>
      <c r="G69">
        <v>65</v>
      </c>
      <c r="H69">
        <v>58</v>
      </c>
      <c r="I69">
        <v>57</v>
      </c>
      <c r="J69">
        <v>56</v>
      </c>
      <c r="K69">
        <v>14</v>
      </c>
      <c r="L69">
        <v>36</v>
      </c>
      <c r="M69">
        <v>0</v>
      </c>
      <c r="N69">
        <v>0</v>
      </c>
      <c r="O69">
        <v>14794</v>
      </c>
      <c r="P69">
        <v>3140</v>
      </c>
      <c r="Q69">
        <v>11321</v>
      </c>
      <c r="R69">
        <v>315</v>
      </c>
      <c r="S69">
        <v>55</v>
      </c>
      <c r="T69">
        <v>474</v>
      </c>
      <c r="U69">
        <v>6847</v>
      </c>
      <c r="V69">
        <v>1390</v>
      </c>
      <c r="W69">
        <v>1356</v>
      </c>
      <c r="X69">
        <v>1393</v>
      </c>
      <c r="Y69">
        <v>161</v>
      </c>
      <c r="Z69">
        <v>1141</v>
      </c>
      <c r="AA69">
        <v>199</v>
      </c>
      <c r="AB69">
        <v>886</v>
      </c>
      <c r="AC69">
        <v>2198</v>
      </c>
      <c r="AD69">
        <v>99</v>
      </c>
      <c r="AE69">
        <v>12479</v>
      </c>
      <c r="AF69">
        <v>11532</v>
      </c>
      <c r="AG69">
        <v>62</v>
      </c>
      <c r="AH69">
        <v>15</v>
      </c>
      <c r="AI69">
        <v>11230</v>
      </c>
      <c r="AJ69">
        <v>8824</v>
      </c>
      <c r="AK69">
        <v>18</v>
      </c>
      <c r="AL69">
        <v>4814</v>
      </c>
      <c r="AM69">
        <v>2045</v>
      </c>
      <c r="AN69">
        <v>2356</v>
      </c>
      <c r="AO69">
        <v>3463</v>
      </c>
      <c r="AP69">
        <v>3405</v>
      </c>
      <c r="AQ69">
        <v>411</v>
      </c>
      <c r="AR69">
        <v>187</v>
      </c>
      <c r="AS69">
        <v>2059</v>
      </c>
      <c r="AT69">
        <v>298</v>
      </c>
      <c r="AU69">
        <v>91</v>
      </c>
      <c r="AV69">
        <v>932</v>
      </c>
      <c r="AW69">
        <v>206</v>
      </c>
      <c r="AX69">
        <v>676</v>
      </c>
      <c r="AY69">
        <v>1034</v>
      </c>
      <c r="AZ69">
        <v>662</v>
      </c>
      <c r="BA69">
        <v>7</v>
      </c>
    </row>
    <row r="70" spans="1:53">
      <c r="A70" t="s">
        <v>233</v>
      </c>
      <c r="B70">
        <v>284351</v>
      </c>
      <c r="C70">
        <v>257365</v>
      </c>
      <c r="D70">
        <v>244867</v>
      </c>
      <c r="E70">
        <v>125873</v>
      </c>
      <c r="F70">
        <v>654</v>
      </c>
      <c r="G70">
        <v>651</v>
      </c>
      <c r="H70">
        <v>612</v>
      </c>
      <c r="I70">
        <v>608</v>
      </c>
      <c r="J70">
        <v>607</v>
      </c>
      <c r="K70">
        <v>107</v>
      </c>
      <c r="L70">
        <v>377</v>
      </c>
      <c r="M70">
        <v>9</v>
      </c>
      <c r="N70">
        <v>22</v>
      </c>
      <c r="O70">
        <v>80189</v>
      </c>
      <c r="P70">
        <v>22269</v>
      </c>
      <c r="Q70">
        <v>55458</v>
      </c>
      <c r="R70">
        <v>2003</v>
      </c>
      <c r="S70">
        <v>5426</v>
      </c>
      <c r="T70">
        <v>6784</v>
      </c>
      <c r="U70">
        <v>23128</v>
      </c>
      <c r="V70">
        <v>8107</v>
      </c>
      <c r="W70">
        <v>8010</v>
      </c>
      <c r="X70">
        <v>8088</v>
      </c>
      <c r="Y70">
        <v>884</v>
      </c>
      <c r="Z70">
        <v>6142</v>
      </c>
      <c r="AA70">
        <v>712</v>
      </c>
      <c r="AB70">
        <v>5160</v>
      </c>
      <c r="AC70">
        <v>20229</v>
      </c>
      <c r="AD70">
        <v>136</v>
      </c>
      <c r="AE70">
        <v>43882</v>
      </c>
      <c r="AF70">
        <v>41370</v>
      </c>
      <c r="AG70">
        <v>228</v>
      </c>
      <c r="AH70">
        <v>154</v>
      </c>
      <c r="AI70">
        <v>40179</v>
      </c>
      <c r="AJ70">
        <v>29171</v>
      </c>
      <c r="AK70">
        <v>127</v>
      </c>
      <c r="AL70">
        <v>7243</v>
      </c>
      <c r="AM70">
        <v>1948</v>
      </c>
      <c r="AN70">
        <v>4680</v>
      </c>
      <c r="AO70">
        <v>19336</v>
      </c>
      <c r="AP70">
        <v>19055</v>
      </c>
      <c r="AQ70">
        <v>2222</v>
      </c>
      <c r="AR70">
        <v>377</v>
      </c>
      <c r="AS70">
        <v>9452</v>
      </c>
      <c r="AT70">
        <v>1833</v>
      </c>
      <c r="AU70">
        <v>77</v>
      </c>
      <c r="AV70">
        <v>1173</v>
      </c>
      <c r="AW70">
        <v>329</v>
      </c>
      <c r="AX70">
        <v>776</v>
      </c>
      <c r="AY70">
        <v>7848</v>
      </c>
      <c r="AZ70">
        <v>6177</v>
      </c>
      <c r="BA70">
        <v>16</v>
      </c>
    </row>
    <row r="71" spans="1:53">
      <c r="A71" t="s">
        <v>234</v>
      </c>
      <c r="B71">
        <v>93789</v>
      </c>
      <c r="C71">
        <v>90800</v>
      </c>
      <c r="D71">
        <v>89845</v>
      </c>
      <c r="E71">
        <v>82551</v>
      </c>
      <c r="F71">
        <v>135</v>
      </c>
      <c r="G71">
        <v>134</v>
      </c>
      <c r="H71">
        <v>125</v>
      </c>
      <c r="I71">
        <v>124</v>
      </c>
      <c r="J71">
        <v>123</v>
      </c>
      <c r="K71">
        <v>36</v>
      </c>
      <c r="L71">
        <v>62</v>
      </c>
      <c r="M71">
        <v>0</v>
      </c>
      <c r="N71">
        <v>4</v>
      </c>
      <c r="O71">
        <v>48721</v>
      </c>
      <c r="P71">
        <v>9631</v>
      </c>
      <c r="Q71">
        <v>36839</v>
      </c>
      <c r="R71">
        <v>602</v>
      </c>
      <c r="S71">
        <v>328</v>
      </c>
      <c r="T71">
        <v>1375</v>
      </c>
      <c r="U71">
        <v>21825</v>
      </c>
      <c r="V71">
        <v>6608</v>
      </c>
      <c r="W71">
        <v>6507</v>
      </c>
      <c r="X71">
        <v>5880</v>
      </c>
      <c r="Y71">
        <v>908</v>
      </c>
      <c r="Z71">
        <v>1429</v>
      </c>
      <c r="AA71">
        <v>42</v>
      </c>
      <c r="AB71">
        <v>1297</v>
      </c>
      <c r="AC71">
        <v>6632</v>
      </c>
      <c r="AD71">
        <v>369</v>
      </c>
      <c r="AE71">
        <v>32949</v>
      </c>
      <c r="AF71">
        <v>30552</v>
      </c>
      <c r="AG71">
        <v>265</v>
      </c>
      <c r="AH71">
        <v>43</v>
      </c>
      <c r="AI71">
        <v>29114</v>
      </c>
      <c r="AJ71">
        <v>13414</v>
      </c>
      <c r="AK71">
        <v>227</v>
      </c>
      <c r="AL71">
        <v>3595</v>
      </c>
      <c r="AM71">
        <v>835</v>
      </c>
      <c r="AN71">
        <v>2579</v>
      </c>
      <c r="AO71">
        <v>8681</v>
      </c>
      <c r="AP71">
        <v>8624</v>
      </c>
      <c r="AQ71">
        <v>1438</v>
      </c>
      <c r="AR71">
        <v>462</v>
      </c>
      <c r="AS71">
        <v>12834</v>
      </c>
      <c r="AT71">
        <v>1084</v>
      </c>
      <c r="AU71">
        <v>441</v>
      </c>
      <c r="AV71">
        <v>2030</v>
      </c>
      <c r="AW71">
        <v>1089</v>
      </c>
      <c r="AX71">
        <v>801</v>
      </c>
      <c r="AY71">
        <v>9594</v>
      </c>
      <c r="AZ71">
        <v>8427</v>
      </c>
      <c r="BA71">
        <v>58</v>
      </c>
    </row>
    <row r="72" spans="1:53">
      <c r="A72" t="s">
        <v>235</v>
      </c>
      <c r="B72">
        <v>531658</v>
      </c>
      <c r="C72">
        <v>526326</v>
      </c>
      <c r="D72">
        <v>525070</v>
      </c>
      <c r="E72">
        <v>487834</v>
      </c>
      <c r="F72">
        <v>139</v>
      </c>
      <c r="G72">
        <v>133</v>
      </c>
      <c r="H72">
        <v>126</v>
      </c>
      <c r="I72">
        <v>125</v>
      </c>
      <c r="J72">
        <v>125</v>
      </c>
      <c r="K72">
        <v>78</v>
      </c>
      <c r="L72">
        <v>24</v>
      </c>
      <c r="M72">
        <v>0</v>
      </c>
      <c r="N72">
        <v>2</v>
      </c>
      <c r="O72">
        <v>171694</v>
      </c>
      <c r="P72">
        <v>112989</v>
      </c>
      <c r="Q72">
        <v>55629</v>
      </c>
      <c r="R72">
        <v>1089</v>
      </c>
      <c r="S72">
        <v>611</v>
      </c>
      <c r="T72">
        <v>4434</v>
      </c>
      <c r="U72">
        <v>9296</v>
      </c>
      <c r="V72">
        <v>5618</v>
      </c>
      <c r="W72">
        <v>324</v>
      </c>
      <c r="X72">
        <v>5802</v>
      </c>
      <c r="Y72">
        <v>481</v>
      </c>
      <c r="Z72">
        <v>4927</v>
      </c>
      <c r="AA72">
        <v>1379</v>
      </c>
      <c r="AB72">
        <v>3115</v>
      </c>
      <c r="AC72">
        <v>36700</v>
      </c>
      <c r="AD72">
        <v>5315</v>
      </c>
      <c r="AE72">
        <v>302687</v>
      </c>
      <c r="AF72">
        <v>242169</v>
      </c>
      <c r="AG72">
        <v>1037</v>
      </c>
      <c r="AH72">
        <v>2106</v>
      </c>
      <c r="AI72">
        <v>234465</v>
      </c>
      <c r="AJ72">
        <v>128474</v>
      </c>
      <c r="AK72">
        <v>335</v>
      </c>
      <c r="AL72">
        <v>20581</v>
      </c>
      <c r="AM72">
        <v>5278</v>
      </c>
      <c r="AN72">
        <v>14071</v>
      </c>
      <c r="AO72">
        <v>97729</v>
      </c>
      <c r="AP72">
        <v>93950</v>
      </c>
      <c r="AQ72">
        <v>2667</v>
      </c>
      <c r="AR72">
        <v>728</v>
      </c>
      <c r="AS72">
        <v>90620</v>
      </c>
      <c r="AT72">
        <v>4253</v>
      </c>
      <c r="AU72">
        <v>892</v>
      </c>
      <c r="AV72">
        <v>13048</v>
      </c>
      <c r="AW72">
        <v>4792</v>
      </c>
      <c r="AX72">
        <v>7619</v>
      </c>
      <c r="AY72">
        <v>71923</v>
      </c>
      <c r="AZ72">
        <v>46760</v>
      </c>
      <c r="BA72">
        <v>89</v>
      </c>
    </row>
    <row r="73" spans="1:53">
      <c r="A73" t="s">
        <v>236</v>
      </c>
      <c r="B73">
        <v>23831</v>
      </c>
      <c r="C73">
        <v>22120</v>
      </c>
      <c r="D73">
        <v>20852</v>
      </c>
      <c r="E73">
        <v>12950</v>
      </c>
      <c r="F73">
        <v>227</v>
      </c>
      <c r="G73">
        <v>227</v>
      </c>
      <c r="H73">
        <v>210</v>
      </c>
      <c r="I73">
        <v>210</v>
      </c>
      <c r="J73">
        <v>210</v>
      </c>
      <c r="K73">
        <v>29</v>
      </c>
      <c r="L73">
        <v>151</v>
      </c>
      <c r="M73">
        <v>12</v>
      </c>
      <c r="N73">
        <v>0</v>
      </c>
      <c r="O73">
        <v>6366</v>
      </c>
      <c r="P73">
        <v>777</v>
      </c>
      <c r="Q73">
        <v>5320</v>
      </c>
      <c r="R73">
        <v>170</v>
      </c>
      <c r="S73">
        <v>157</v>
      </c>
      <c r="T73">
        <v>357</v>
      </c>
      <c r="U73">
        <v>2174</v>
      </c>
      <c r="V73">
        <v>119</v>
      </c>
      <c r="W73">
        <v>90</v>
      </c>
      <c r="X73">
        <v>1120</v>
      </c>
      <c r="Y73">
        <v>146</v>
      </c>
      <c r="Z73">
        <v>864</v>
      </c>
      <c r="AA73">
        <v>18</v>
      </c>
      <c r="AB73">
        <v>805</v>
      </c>
      <c r="AC73">
        <v>1636</v>
      </c>
      <c r="AD73">
        <v>8</v>
      </c>
      <c r="AE73">
        <v>6169</v>
      </c>
      <c r="AF73">
        <v>5589</v>
      </c>
      <c r="AG73">
        <v>40</v>
      </c>
      <c r="AH73">
        <v>53</v>
      </c>
      <c r="AI73">
        <v>5284</v>
      </c>
      <c r="AJ73">
        <v>2825</v>
      </c>
      <c r="AK73">
        <v>19</v>
      </c>
      <c r="AL73">
        <v>829</v>
      </c>
      <c r="AM73">
        <v>355</v>
      </c>
      <c r="AN73">
        <v>423</v>
      </c>
      <c r="AO73">
        <v>1907</v>
      </c>
      <c r="AP73">
        <v>1895</v>
      </c>
      <c r="AQ73">
        <v>524</v>
      </c>
      <c r="AR73">
        <v>68</v>
      </c>
      <c r="AS73">
        <v>2047</v>
      </c>
      <c r="AT73">
        <v>432</v>
      </c>
      <c r="AU73">
        <v>70</v>
      </c>
      <c r="AV73">
        <v>575</v>
      </c>
      <c r="AW73">
        <v>56</v>
      </c>
      <c r="AX73">
        <v>503</v>
      </c>
      <c r="AY73">
        <v>1411</v>
      </c>
      <c r="AZ73">
        <v>886</v>
      </c>
      <c r="BA73">
        <v>23</v>
      </c>
    </row>
    <row r="74" spans="1:53">
      <c r="A74" t="s">
        <v>237</v>
      </c>
      <c r="B74">
        <v>150567</v>
      </c>
      <c r="C74">
        <v>146792</v>
      </c>
      <c r="D74">
        <v>145799</v>
      </c>
      <c r="E74">
        <v>118434</v>
      </c>
      <c r="F74">
        <v>126</v>
      </c>
      <c r="G74">
        <v>125</v>
      </c>
      <c r="H74">
        <v>118</v>
      </c>
      <c r="I74">
        <v>118</v>
      </c>
      <c r="J74">
        <v>118</v>
      </c>
      <c r="K74">
        <v>54</v>
      </c>
      <c r="L74">
        <v>41</v>
      </c>
      <c r="M74">
        <v>0</v>
      </c>
      <c r="N74">
        <v>1</v>
      </c>
      <c r="O74">
        <v>52054</v>
      </c>
      <c r="P74">
        <v>5658</v>
      </c>
      <c r="Q74">
        <v>45748</v>
      </c>
      <c r="R74">
        <v>1080</v>
      </c>
      <c r="S74">
        <v>524</v>
      </c>
      <c r="T74">
        <v>1934</v>
      </c>
      <c r="U74">
        <v>25288</v>
      </c>
      <c r="V74">
        <v>4227</v>
      </c>
      <c r="W74">
        <v>4009</v>
      </c>
      <c r="X74">
        <v>4037</v>
      </c>
      <c r="Y74">
        <v>501</v>
      </c>
      <c r="Z74">
        <v>3222</v>
      </c>
      <c r="AA74">
        <v>146</v>
      </c>
      <c r="AB74">
        <v>2937</v>
      </c>
      <c r="AC74">
        <v>14644</v>
      </c>
      <c r="AD74">
        <v>276</v>
      </c>
      <c r="AE74">
        <v>65345</v>
      </c>
      <c r="AF74">
        <v>61533</v>
      </c>
      <c r="AG74">
        <v>242</v>
      </c>
      <c r="AH74">
        <v>188</v>
      </c>
      <c r="AI74">
        <v>59978</v>
      </c>
      <c r="AJ74">
        <v>41237</v>
      </c>
      <c r="AK74">
        <v>200</v>
      </c>
      <c r="AL74">
        <v>25588</v>
      </c>
      <c r="AM74">
        <v>12332</v>
      </c>
      <c r="AN74">
        <v>10652</v>
      </c>
      <c r="AO74">
        <v>11507</v>
      </c>
      <c r="AP74">
        <v>10882</v>
      </c>
      <c r="AQ74">
        <v>1854</v>
      </c>
      <c r="AR74">
        <v>993</v>
      </c>
      <c r="AS74">
        <v>15265</v>
      </c>
      <c r="AT74">
        <v>1251</v>
      </c>
      <c r="AU74">
        <v>415</v>
      </c>
      <c r="AV74">
        <v>7703</v>
      </c>
      <c r="AW74">
        <v>603</v>
      </c>
      <c r="AX74">
        <v>6685</v>
      </c>
      <c r="AY74">
        <v>6738</v>
      </c>
      <c r="AZ74">
        <v>3598</v>
      </c>
      <c r="BA74">
        <v>10</v>
      </c>
    </row>
    <row r="75" spans="1:53">
      <c r="A75" t="s">
        <v>238</v>
      </c>
      <c r="B75">
        <v>202436</v>
      </c>
      <c r="C75">
        <v>196874</v>
      </c>
      <c r="D75">
        <v>194481</v>
      </c>
      <c r="E75">
        <v>175913</v>
      </c>
      <c r="F75">
        <v>145</v>
      </c>
      <c r="G75">
        <v>143</v>
      </c>
      <c r="H75">
        <v>134</v>
      </c>
      <c r="I75">
        <v>133</v>
      </c>
      <c r="J75">
        <v>133</v>
      </c>
      <c r="K75">
        <v>33</v>
      </c>
      <c r="L75">
        <v>69</v>
      </c>
      <c r="M75">
        <v>0</v>
      </c>
      <c r="N75">
        <v>3</v>
      </c>
      <c r="O75">
        <v>82442</v>
      </c>
      <c r="P75">
        <v>17909</v>
      </c>
      <c r="Q75">
        <v>62222</v>
      </c>
      <c r="R75">
        <v>5796</v>
      </c>
      <c r="S75">
        <v>1624</v>
      </c>
      <c r="T75">
        <v>2526</v>
      </c>
      <c r="U75">
        <v>27295</v>
      </c>
      <c r="V75">
        <v>6838</v>
      </c>
      <c r="W75">
        <v>3</v>
      </c>
      <c r="X75">
        <v>5248</v>
      </c>
      <c r="Y75">
        <v>945</v>
      </c>
      <c r="Z75">
        <v>4004</v>
      </c>
      <c r="AA75">
        <v>470</v>
      </c>
      <c r="AB75">
        <v>3320</v>
      </c>
      <c r="AC75">
        <v>27206</v>
      </c>
      <c r="AD75">
        <v>296</v>
      </c>
      <c r="AE75">
        <v>92854</v>
      </c>
      <c r="AF75">
        <v>85912</v>
      </c>
      <c r="AG75">
        <v>493</v>
      </c>
      <c r="AH75">
        <v>208</v>
      </c>
      <c r="AI75">
        <v>83556</v>
      </c>
      <c r="AJ75">
        <v>61612</v>
      </c>
      <c r="AK75">
        <v>151</v>
      </c>
      <c r="AL75">
        <v>42521</v>
      </c>
      <c r="AM75">
        <v>16184</v>
      </c>
      <c r="AN75">
        <v>21923</v>
      </c>
      <c r="AO75">
        <v>14650</v>
      </c>
      <c r="AP75">
        <v>14519</v>
      </c>
      <c r="AQ75">
        <v>3570</v>
      </c>
      <c r="AR75">
        <v>1428</v>
      </c>
      <c r="AS75">
        <v>19343</v>
      </c>
      <c r="AT75">
        <v>1382</v>
      </c>
      <c r="AU75">
        <v>542</v>
      </c>
      <c r="AV75">
        <v>9358</v>
      </c>
      <c r="AW75">
        <v>1720</v>
      </c>
      <c r="AX75">
        <v>6892</v>
      </c>
      <c r="AY75">
        <v>8790</v>
      </c>
      <c r="AZ75">
        <v>6449</v>
      </c>
      <c r="BA75">
        <v>101</v>
      </c>
    </row>
    <row r="76" spans="1:53">
      <c r="A76" t="s">
        <v>239</v>
      </c>
      <c r="B76">
        <v>50067</v>
      </c>
      <c r="C76">
        <v>47421</v>
      </c>
      <c r="D76">
        <v>43820</v>
      </c>
      <c r="E76">
        <v>22368</v>
      </c>
      <c r="F76">
        <v>361</v>
      </c>
      <c r="G76">
        <v>358</v>
      </c>
      <c r="H76">
        <v>335</v>
      </c>
      <c r="I76">
        <v>335</v>
      </c>
      <c r="J76">
        <v>332</v>
      </c>
      <c r="K76">
        <v>190</v>
      </c>
      <c r="L76">
        <v>75</v>
      </c>
      <c r="M76">
        <v>0</v>
      </c>
      <c r="N76">
        <v>2</v>
      </c>
      <c r="O76">
        <v>11444</v>
      </c>
      <c r="P76">
        <v>1689</v>
      </c>
      <c r="Q76">
        <v>9435</v>
      </c>
      <c r="R76">
        <v>314</v>
      </c>
      <c r="S76">
        <v>58</v>
      </c>
      <c r="T76">
        <v>203</v>
      </c>
      <c r="U76">
        <v>3044</v>
      </c>
      <c r="V76">
        <v>537</v>
      </c>
      <c r="W76">
        <v>424</v>
      </c>
      <c r="X76">
        <v>3699</v>
      </c>
      <c r="Y76">
        <v>365</v>
      </c>
      <c r="Z76">
        <v>2831</v>
      </c>
      <c r="AA76">
        <v>45</v>
      </c>
      <c r="AB76">
        <v>2686</v>
      </c>
      <c r="AC76">
        <v>1665</v>
      </c>
      <c r="AD76">
        <v>54</v>
      </c>
      <c r="AE76">
        <v>10116</v>
      </c>
      <c r="AF76">
        <v>9168</v>
      </c>
      <c r="AG76">
        <v>86</v>
      </c>
      <c r="AH76">
        <v>28</v>
      </c>
      <c r="AI76">
        <v>8623</v>
      </c>
      <c r="AJ76">
        <v>4259</v>
      </c>
      <c r="AK76">
        <v>11</v>
      </c>
      <c r="AL76">
        <v>1376</v>
      </c>
      <c r="AM76">
        <v>475</v>
      </c>
      <c r="AN76">
        <v>770</v>
      </c>
      <c r="AO76">
        <v>2608</v>
      </c>
      <c r="AP76">
        <v>2580</v>
      </c>
      <c r="AQ76">
        <v>261</v>
      </c>
      <c r="AR76">
        <v>107</v>
      </c>
      <c r="AS76">
        <v>3537</v>
      </c>
      <c r="AT76">
        <v>1024</v>
      </c>
      <c r="AU76">
        <v>148</v>
      </c>
      <c r="AV76">
        <v>1250</v>
      </c>
      <c r="AW76">
        <v>215</v>
      </c>
      <c r="AX76">
        <v>947</v>
      </c>
      <c r="AY76">
        <v>2143</v>
      </c>
      <c r="AZ76">
        <v>1339</v>
      </c>
      <c r="BA7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BEC7-77C6-D64D-922B-3C8041BA71E9}">
  <dimension ref="A1:BX76"/>
  <sheetViews>
    <sheetView zoomScale="89" workbookViewId="0">
      <selection activeCell="K1" sqref="K1"/>
    </sheetView>
  </sheetViews>
  <sheetFormatPr defaultColWidth="11" defaultRowHeight="15.95"/>
  <cols>
    <col min="2" max="2" width="10.875" style="4"/>
  </cols>
  <sheetData>
    <row r="1" spans="1:76" ht="288.9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112</v>
      </c>
      <c r="Y1" s="19" t="s">
        <v>113</v>
      </c>
      <c r="Z1" s="19" t="s">
        <v>114</v>
      </c>
      <c r="AA1" s="19" t="s">
        <v>115</v>
      </c>
      <c r="AB1" s="19" t="s">
        <v>116</v>
      </c>
      <c r="AC1" s="2" t="s">
        <v>117</v>
      </c>
      <c r="AD1" s="2" t="s">
        <v>118</v>
      </c>
      <c r="AE1" s="2" t="s">
        <v>119</v>
      </c>
      <c r="AF1" s="2" t="s">
        <v>120</v>
      </c>
      <c r="AG1" s="2" t="s">
        <v>121</v>
      </c>
      <c r="AH1" s="2" t="s">
        <v>122</v>
      </c>
      <c r="AI1" s="2" t="s">
        <v>123</v>
      </c>
      <c r="AJ1" s="2" t="s">
        <v>124</v>
      </c>
      <c r="AK1" s="2" t="s">
        <v>125</v>
      </c>
      <c r="AL1" s="2" t="s">
        <v>126</v>
      </c>
      <c r="AM1" s="2" t="s">
        <v>127</v>
      </c>
      <c r="AN1" s="2" t="s">
        <v>128</v>
      </c>
      <c r="AO1" s="2" t="s">
        <v>129</v>
      </c>
      <c r="AP1" s="2" t="s">
        <v>130</v>
      </c>
      <c r="AQ1" s="2" t="s">
        <v>131</v>
      </c>
      <c r="AR1" s="2" t="s">
        <v>132</v>
      </c>
      <c r="AS1" s="2" t="s">
        <v>133</v>
      </c>
      <c r="AT1" s="2" t="s">
        <v>134</v>
      </c>
      <c r="AU1" s="2" t="s">
        <v>135</v>
      </c>
      <c r="AV1" s="2" t="s">
        <v>136</v>
      </c>
      <c r="AW1" s="2" t="s">
        <v>137</v>
      </c>
      <c r="AX1" s="2" t="s">
        <v>138</v>
      </c>
      <c r="AY1" s="2" t="s">
        <v>139</v>
      </c>
      <c r="AZ1" s="2" t="s">
        <v>140</v>
      </c>
      <c r="BA1" s="2" t="s">
        <v>141</v>
      </c>
      <c r="BB1" s="2" t="s">
        <v>142</v>
      </c>
      <c r="BC1" s="2" t="s">
        <v>143</v>
      </c>
      <c r="BD1" s="2" t="s">
        <v>144</v>
      </c>
      <c r="BE1" s="2" t="s">
        <v>145</v>
      </c>
      <c r="BF1" s="2" t="s">
        <v>146</v>
      </c>
      <c r="BG1" s="2" t="s">
        <v>147</v>
      </c>
      <c r="BH1" s="2" t="s">
        <v>148</v>
      </c>
      <c r="BI1" s="2" t="s">
        <v>149</v>
      </c>
      <c r="BJ1" s="2" t="s">
        <v>150</v>
      </c>
      <c r="BK1" s="2" t="s">
        <v>151</v>
      </c>
      <c r="BL1" s="2" t="s">
        <v>152</v>
      </c>
      <c r="BM1" s="2" t="s">
        <v>153</v>
      </c>
      <c r="BN1" s="2" t="s">
        <v>154</v>
      </c>
      <c r="BO1" s="2" t="s">
        <v>155</v>
      </c>
      <c r="BP1" s="2" t="s">
        <v>156</v>
      </c>
      <c r="BQ1" s="2" t="s">
        <v>157</v>
      </c>
      <c r="BR1" s="2" t="s">
        <v>158</v>
      </c>
      <c r="BS1" s="2" t="s">
        <v>159</v>
      </c>
      <c r="BT1" s="2" t="s">
        <v>160</v>
      </c>
      <c r="BU1" s="2" t="s">
        <v>161</v>
      </c>
      <c r="BV1" s="2" t="s">
        <v>162</v>
      </c>
      <c r="BW1" s="2" t="s">
        <v>163</v>
      </c>
      <c r="BX1" s="2" t="s">
        <v>164</v>
      </c>
    </row>
    <row r="2" spans="1:76">
      <c r="A2" s="1">
        <v>1066</v>
      </c>
      <c r="B2" s="3" t="s">
        <v>62</v>
      </c>
      <c r="C2" s="1" t="s">
        <v>25</v>
      </c>
      <c r="D2" s="1" t="s">
        <v>24</v>
      </c>
      <c r="E2" s="1" t="s">
        <v>24</v>
      </c>
      <c r="F2" s="1" t="s">
        <v>24</v>
      </c>
      <c r="G2" s="1" t="s">
        <v>32</v>
      </c>
      <c r="H2" s="1">
        <v>55</v>
      </c>
      <c r="I2" s="1" t="s">
        <v>27</v>
      </c>
      <c r="J2" s="1" t="s">
        <v>28</v>
      </c>
      <c r="K2" s="1">
        <v>31.1</v>
      </c>
      <c r="L2" s="1" t="s">
        <v>29</v>
      </c>
      <c r="M2" s="1"/>
      <c r="N2" s="1" t="s">
        <v>29</v>
      </c>
      <c r="O2" s="1" t="s">
        <v>29</v>
      </c>
      <c r="P2" s="1"/>
      <c r="Q2" s="1" t="s">
        <v>29</v>
      </c>
      <c r="R2" s="1" t="s">
        <v>29</v>
      </c>
      <c r="S2" s="1" t="s">
        <v>34</v>
      </c>
      <c r="T2" s="1" t="s">
        <v>29</v>
      </c>
      <c r="U2" s="1" t="s">
        <v>29</v>
      </c>
      <c r="V2" s="1" t="s">
        <v>29</v>
      </c>
      <c r="W2" s="1" t="s">
        <v>29</v>
      </c>
      <c r="X2" t="s">
        <v>190</v>
      </c>
      <c r="Y2">
        <v>137438</v>
      </c>
      <c r="Z2">
        <v>134002</v>
      </c>
      <c r="AA2">
        <v>128884</v>
      </c>
      <c r="AB2">
        <v>106643</v>
      </c>
      <c r="AC2">
        <v>61</v>
      </c>
      <c r="AD2">
        <v>60</v>
      </c>
      <c r="AE2">
        <v>57</v>
      </c>
      <c r="AF2">
        <v>56</v>
      </c>
      <c r="AG2">
        <v>53</v>
      </c>
      <c r="AH2">
        <v>19</v>
      </c>
      <c r="AI2">
        <v>28</v>
      </c>
      <c r="AJ2">
        <v>0</v>
      </c>
      <c r="AK2">
        <v>1</v>
      </c>
      <c r="AL2">
        <v>45445</v>
      </c>
      <c r="AM2">
        <v>10135</v>
      </c>
      <c r="AN2">
        <v>34601</v>
      </c>
      <c r="AO2">
        <v>614</v>
      </c>
      <c r="AP2">
        <v>216</v>
      </c>
      <c r="AQ2">
        <v>2254</v>
      </c>
      <c r="AR2">
        <v>24333</v>
      </c>
      <c r="AS2">
        <v>13588</v>
      </c>
      <c r="AT2">
        <v>12140</v>
      </c>
      <c r="AU2">
        <v>2310</v>
      </c>
      <c r="AV2">
        <v>100</v>
      </c>
      <c r="AW2">
        <v>1349</v>
      </c>
      <c r="AX2">
        <v>19</v>
      </c>
      <c r="AY2">
        <v>1281</v>
      </c>
      <c r="AZ2">
        <v>5553</v>
      </c>
      <c r="BA2">
        <v>239</v>
      </c>
      <c r="BB2">
        <v>60081</v>
      </c>
      <c r="BC2">
        <v>58737</v>
      </c>
      <c r="BD2">
        <v>3124</v>
      </c>
      <c r="BE2">
        <v>425</v>
      </c>
      <c r="BF2">
        <v>47576</v>
      </c>
      <c r="BG2">
        <v>27536</v>
      </c>
      <c r="BH2">
        <v>307</v>
      </c>
      <c r="BI2">
        <v>8699</v>
      </c>
      <c r="BJ2">
        <v>219</v>
      </c>
      <c r="BK2">
        <v>8348</v>
      </c>
      <c r="BL2">
        <v>16660</v>
      </c>
      <c r="BM2">
        <v>16637</v>
      </c>
      <c r="BN2">
        <v>9363</v>
      </c>
      <c r="BO2">
        <v>6646</v>
      </c>
      <c r="BP2">
        <v>14814</v>
      </c>
      <c r="BQ2">
        <v>8343</v>
      </c>
      <c r="BR2">
        <v>5066</v>
      </c>
      <c r="BS2">
        <v>3378</v>
      </c>
      <c r="BT2">
        <v>2715</v>
      </c>
      <c r="BU2">
        <v>495</v>
      </c>
      <c r="BV2">
        <v>10383</v>
      </c>
      <c r="BW2">
        <v>10165</v>
      </c>
      <c r="BX2">
        <v>15</v>
      </c>
    </row>
    <row r="3" spans="1:76">
      <c r="A3" s="1">
        <v>1069</v>
      </c>
      <c r="B3" s="3" t="s">
        <v>63</v>
      </c>
      <c r="C3" s="1" t="s">
        <v>25</v>
      </c>
      <c r="D3" s="1" t="s">
        <v>24</v>
      </c>
      <c r="E3" s="1" t="s">
        <v>24</v>
      </c>
      <c r="F3" s="1" t="s">
        <v>24</v>
      </c>
      <c r="G3" s="1" t="s">
        <v>26</v>
      </c>
      <c r="H3" s="1">
        <v>62</v>
      </c>
      <c r="I3" s="1" t="s">
        <v>37</v>
      </c>
      <c r="J3" s="1" t="s">
        <v>37</v>
      </c>
      <c r="K3" s="1">
        <v>31.6</v>
      </c>
      <c r="L3" s="1" t="s">
        <v>29</v>
      </c>
      <c r="M3" s="1"/>
      <c r="N3" s="1" t="s">
        <v>29</v>
      </c>
      <c r="O3" s="1" t="s">
        <v>29</v>
      </c>
      <c r="P3" s="1"/>
      <c r="Q3" s="1" t="s">
        <v>29</v>
      </c>
      <c r="R3" s="1" t="s">
        <v>29</v>
      </c>
      <c r="S3" s="1" t="s">
        <v>34</v>
      </c>
      <c r="T3" s="1" t="s">
        <v>29</v>
      </c>
      <c r="U3" s="1" t="s">
        <v>29</v>
      </c>
      <c r="V3" s="1" t="s">
        <v>29</v>
      </c>
      <c r="W3" s="1" t="s">
        <v>29</v>
      </c>
      <c r="X3" t="s">
        <v>191</v>
      </c>
      <c r="Y3">
        <v>195514</v>
      </c>
      <c r="Z3">
        <v>191326</v>
      </c>
      <c r="AA3">
        <v>189278</v>
      </c>
      <c r="AB3">
        <v>151871</v>
      </c>
      <c r="AC3">
        <v>4779</v>
      </c>
      <c r="AD3">
        <v>4746</v>
      </c>
      <c r="AE3">
        <v>4568</v>
      </c>
      <c r="AF3">
        <v>4557</v>
      </c>
      <c r="AG3">
        <v>4547</v>
      </c>
      <c r="AH3">
        <v>1025</v>
      </c>
      <c r="AI3">
        <v>3020</v>
      </c>
      <c r="AJ3">
        <v>4</v>
      </c>
      <c r="AK3">
        <v>36</v>
      </c>
      <c r="AL3">
        <v>90157</v>
      </c>
      <c r="AM3">
        <v>23770</v>
      </c>
      <c r="AN3">
        <v>63914</v>
      </c>
      <c r="AO3">
        <v>1166</v>
      </c>
      <c r="AP3">
        <v>311</v>
      </c>
      <c r="AQ3">
        <v>1218</v>
      </c>
      <c r="AR3">
        <v>31700</v>
      </c>
      <c r="AS3">
        <v>7782</v>
      </c>
      <c r="AT3">
        <v>7581</v>
      </c>
      <c r="AU3">
        <v>18229</v>
      </c>
      <c r="AV3">
        <v>3851</v>
      </c>
      <c r="AW3">
        <v>11044</v>
      </c>
      <c r="AX3">
        <v>173</v>
      </c>
      <c r="AY3">
        <v>9862</v>
      </c>
      <c r="AZ3">
        <v>7980</v>
      </c>
      <c r="BA3">
        <v>122</v>
      </c>
      <c r="BB3">
        <v>53447</v>
      </c>
      <c r="BC3">
        <v>50207</v>
      </c>
      <c r="BD3">
        <v>275</v>
      </c>
      <c r="BE3">
        <v>290</v>
      </c>
      <c r="BF3">
        <v>48822</v>
      </c>
      <c r="BG3">
        <v>32990</v>
      </c>
      <c r="BH3">
        <v>108</v>
      </c>
      <c r="BI3">
        <v>26767</v>
      </c>
      <c r="BJ3">
        <v>7187</v>
      </c>
      <c r="BK3">
        <v>16646</v>
      </c>
      <c r="BL3">
        <v>5246</v>
      </c>
      <c r="BM3">
        <v>5064</v>
      </c>
      <c r="BN3">
        <v>3693</v>
      </c>
      <c r="BO3">
        <v>2360</v>
      </c>
      <c r="BP3">
        <v>14257</v>
      </c>
      <c r="BQ3">
        <v>2877</v>
      </c>
      <c r="BR3">
        <v>733</v>
      </c>
      <c r="BS3">
        <v>8560</v>
      </c>
      <c r="BT3">
        <v>1374</v>
      </c>
      <c r="BU3">
        <v>6395</v>
      </c>
      <c r="BV3">
        <v>5420</v>
      </c>
      <c r="BW3">
        <v>4024</v>
      </c>
      <c r="BX3">
        <v>204</v>
      </c>
    </row>
    <row r="4" spans="1:76">
      <c r="A4" s="1">
        <v>1309</v>
      </c>
      <c r="B4" s="3" t="s">
        <v>108</v>
      </c>
      <c r="C4" s="1" t="s">
        <v>24</v>
      </c>
      <c r="D4" s="1" t="s">
        <v>24</v>
      </c>
      <c r="E4" s="1" t="s">
        <v>24</v>
      </c>
      <c r="F4" s="1" t="s">
        <v>24</v>
      </c>
      <c r="G4" s="1" t="s">
        <v>26</v>
      </c>
      <c r="H4" s="1">
        <v>47</v>
      </c>
      <c r="I4" s="1" t="s">
        <v>27</v>
      </c>
      <c r="J4" s="1" t="s">
        <v>76</v>
      </c>
      <c r="K4" s="1">
        <v>26.8</v>
      </c>
      <c r="L4" s="1" t="s">
        <v>29</v>
      </c>
      <c r="M4" s="1"/>
      <c r="N4" s="1" t="s">
        <v>29</v>
      </c>
      <c r="O4" s="1" t="s">
        <v>29</v>
      </c>
      <c r="P4" s="1"/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t="s">
        <v>236</v>
      </c>
      <c r="Y4">
        <v>23831</v>
      </c>
      <c r="Z4">
        <v>22120</v>
      </c>
      <c r="AA4">
        <v>20852</v>
      </c>
      <c r="AB4">
        <v>12950</v>
      </c>
      <c r="AC4">
        <v>227</v>
      </c>
      <c r="AD4">
        <v>227</v>
      </c>
      <c r="AE4">
        <v>210</v>
      </c>
      <c r="AF4">
        <v>210</v>
      </c>
      <c r="AG4">
        <v>210</v>
      </c>
      <c r="AH4">
        <v>29</v>
      </c>
      <c r="AI4">
        <v>151</v>
      </c>
      <c r="AJ4">
        <v>12</v>
      </c>
      <c r="AK4">
        <v>0</v>
      </c>
      <c r="AL4">
        <v>6366</v>
      </c>
      <c r="AM4">
        <v>777</v>
      </c>
      <c r="AN4">
        <v>5320</v>
      </c>
      <c r="AO4">
        <v>170</v>
      </c>
      <c r="AP4">
        <v>157</v>
      </c>
      <c r="AQ4">
        <v>357</v>
      </c>
      <c r="AR4">
        <v>2174</v>
      </c>
      <c r="AS4">
        <v>119</v>
      </c>
      <c r="AT4">
        <v>90</v>
      </c>
      <c r="AU4">
        <v>1120</v>
      </c>
      <c r="AV4">
        <v>146</v>
      </c>
      <c r="AW4">
        <v>864</v>
      </c>
      <c r="AX4">
        <v>18</v>
      </c>
      <c r="AY4">
        <v>805</v>
      </c>
      <c r="AZ4">
        <v>1636</v>
      </c>
      <c r="BA4">
        <v>8</v>
      </c>
      <c r="BB4">
        <v>6169</v>
      </c>
      <c r="BC4">
        <v>5589</v>
      </c>
      <c r="BD4">
        <v>40</v>
      </c>
      <c r="BE4">
        <v>53</v>
      </c>
      <c r="BF4">
        <v>5284</v>
      </c>
      <c r="BG4">
        <v>2825</v>
      </c>
      <c r="BH4">
        <v>19</v>
      </c>
      <c r="BI4">
        <v>829</v>
      </c>
      <c r="BJ4">
        <v>355</v>
      </c>
      <c r="BK4">
        <v>423</v>
      </c>
      <c r="BL4">
        <v>1907</v>
      </c>
      <c r="BM4">
        <v>1895</v>
      </c>
      <c r="BN4">
        <v>524</v>
      </c>
      <c r="BO4">
        <v>68</v>
      </c>
      <c r="BP4">
        <v>2047</v>
      </c>
      <c r="BQ4">
        <v>432</v>
      </c>
      <c r="BR4">
        <v>70</v>
      </c>
      <c r="BS4">
        <v>575</v>
      </c>
      <c r="BT4">
        <v>56</v>
      </c>
      <c r="BU4">
        <v>503</v>
      </c>
      <c r="BV4">
        <v>1411</v>
      </c>
      <c r="BW4">
        <v>886</v>
      </c>
      <c r="BX4">
        <v>23</v>
      </c>
    </row>
    <row r="5" spans="1:76">
      <c r="A5" s="1">
        <v>1090</v>
      </c>
      <c r="B5" s="3" t="s">
        <v>66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32</v>
      </c>
      <c r="H5" s="1">
        <v>29</v>
      </c>
      <c r="I5" s="1" t="s">
        <v>27</v>
      </c>
      <c r="J5" s="1" t="s">
        <v>28</v>
      </c>
      <c r="K5" s="1">
        <v>26.2</v>
      </c>
      <c r="L5" s="1" t="s">
        <v>29</v>
      </c>
      <c r="M5" s="1"/>
      <c r="N5" s="1" t="s">
        <v>29</v>
      </c>
      <c r="O5" s="1" t="s">
        <v>29</v>
      </c>
      <c r="P5" s="1"/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t="s">
        <v>194</v>
      </c>
      <c r="Y5">
        <v>41092</v>
      </c>
      <c r="Z5">
        <v>39807</v>
      </c>
      <c r="AA5">
        <v>35649</v>
      </c>
      <c r="AB5">
        <v>19175</v>
      </c>
      <c r="AC5">
        <v>41</v>
      </c>
      <c r="AD5">
        <v>41</v>
      </c>
      <c r="AE5">
        <v>38</v>
      </c>
      <c r="AF5">
        <v>38</v>
      </c>
      <c r="AG5">
        <v>38</v>
      </c>
      <c r="AH5">
        <v>10</v>
      </c>
      <c r="AI5">
        <v>21</v>
      </c>
      <c r="AJ5">
        <v>0</v>
      </c>
      <c r="AK5">
        <v>0</v>
      </c>
      <c r="AL5">
        <v>7660</v>
      </c>
      <c r="AM5">
        <v>1324</v>
      </c>
      <c r="AN5">
        <v>5952</v>
      </c>
      <c r="AO5">
        <v>440</v>
      </c>
      <c r="AP5">
        <v>438</v>
      </c>
      <c r="AQ5">
        <v>1323</v>
      </c>
      <c r="AR5">
        <v>1408</v>
      </c>
      <c r="AS5">
        <v>181</v>
      </c>
      <c r="AT5">
        <v>164</v>
      </c>
      <c r="AU5">
        <v>498</v>
      </c>
      <c r="AV5">
        <v>64</v>
      </c>
      <c r="AW5">
        <v>354</v>
      </c>
      <c r="AX5">
        <v>26</v>
      </c>
      <c r="AY5">
        <v>323</v>
      </c>
      <c r="AZ5">
        <v>3864</v>
      </c>
      <c r="BA5">
        <v>61</v>
      </c>
      <c r="BB5">
        <v>11359</v>
      </c>
      <c r="BC5">
        <v>10572</v>
      </c>
      <c r="BD5">
        <v>87</v>
      </c>
      <c r="BE5">
        <v>33</v>
      </c>
      <c r="BF5">
        <v>10151</v>
      </c>
      <c r="BG5">
        <v>6357</v>
      </c>
      <c r="BH5">
        <v>11</v>
      </c>
      <c r="BI5">
        <v>3529</v>
      </c>
      <c r="BJ5">
        <v>1224</v>
      </c>
      <c r="BK5">
        <v>1968</v>
      </c>
      <c r="BL5">
        <v>2414</v>
      </c>
      <c r="BM5">
        <v>2321</v>
      </c>
      <c r="BN5">
        <v>627</v>
      </c>
      <c r="BO5">
        <v>252</v>
      </c>
      <c r="BP5">
        <v>3091</v>
      </c>
      <c r="BQ5">
        <v>438</v>
      </c>
      <c r="BR5">
        <v>110</v>
      </c>
      <c r="BS5">
        <v>1389</v>
      </c>
      <c r="BT5">
        <v>296</v>
      </c>
      <c r="BU5">
        <v>953</v>
      </c>
      <c r="BV5">
        <v>1594</v>
      </c>
      <c r="BW5">
        <v>1191</v>
      </c>
      <c r="BX5">
        <v>75</v>
      </c>
    </row>
    <row r="6" spans="1:76">
      <c r="A6" s="1">
        <v>1097</v>
      </c>
      <c r="B6" s="3" t="s">
        <v>70</v>
      </c>
      <c r="C6" s="1" t="s">
        <v>24</v>
      </c>
      <c r="D6" s="1" t="s">
        <v>25</v>
      </c>
      <c r="E6" s="1" t="s">
        <v>24</v>
      </c>
      <c r="F6" s="1" t="s">
        <v>24</v>
      </c>
      <c r="G6" s="1" t="s">
        <v>32</v>
      </c>
      <c r="H6" s="1">
        <v>68</v>
      </c>
      <c r="I6" s="1" t="s">
        <v>27</v>
      </c>
      <c r="J6" s="1" t="s">
        <v>28</v>
      </c>
      <c r="K6" s="1">
        <v>37.4</v>
      </c>
      <c r="L6" s="1" t="s">
        <v>29</v>
      </c>
      <c r="M6" s="1"/>
      <c r="N6" s="1" t="s">
        <v>29</v>
      </c>
      <c r="O6" s="1" t="s">
        <v>29</v>
      </c>
      <c r="P6" s="1"/>
      <c r="Q6" s="1" t="s">
        <v>29</v>
      </c>
      <c r="R6" s="1" t="s">
        <v>29</v>
      </c>
      <c r="S6" s="1" t="s">
        <v>34</v>
      </c>
      <c r="T6" s="1" t="s">
        <v>29</v>
      </c>
      <c r="U6" s="1" t="s">
        <v>29</v>
      </c>
      <c r="V6" s="1" t="s">
        <v>29</v>
      </c>
      <c r="W6" s="1" t="s">
        <v>34</v>
      </c>
      <c r="X6" t="s">
        <v>197</v>
      </c>
      <c r="Y6">
        <v>241814</v>
      </c>
      <c r="Z6">
        <v>235966</v>
      </c>
      <c r="AA6">
        <v>231326</v>
      </c>
      <c r="AB6">
        <v>203103</v>
      </c>
      <c r="AC6">
        <v>561</v>
      </c>
      <c r="AD6">
        <v>555</v>
      </c>
      <c r="AE6">
        <v>519</v>
      </c>
      <c r="AF6">
        <v>518</v>
      </c>
      <c r="AG6">
        <v>518</v>
      </c>
      <c r="AH6">
        <v>261</v>
      </c>
      <c r="AI6">
        <v>207</v>
      </c>
      <c r="AJ6">
        <v>5</v>
      </c>
      <c r="AK6">
        <v>4</v>
      </c>
      <c r="AL6">
        <v>61057</v>
      </c>
      <c r="AM6">
        <v>15743</v>
      </c>
      <c r="AN6">
        <v>43266</v>
      </c>
      <c r="AO6">
        <v>2389</v>
      </c>
      <c r="AP6">
        <v>2167</v>
      </c>
      <c r="AQ6">
        <v>8253</v>
      </c>
      <c r="AR6">
        <v>15622</v>
      </c>
      <c r="AS6">
        <v>7357</v>
      </c>
      <c r="AT6">
        <v>7000</v>
      </c>
      <c r="AU6">
        <v>4079</v>
      </c>
      <c r="AV6">
        <v>567</v>
      </c>
      <c r="AW6">
        <v>2803</v>
      </c>
      <c r="AX6">
        <v>110</v>
      </c>
      <c r="AY6">
        <v>2555</v>
      </c>
      <c r="AZ6">
        <v>21514</v>
      </c>
      <c r="BA6">
        <v>188</v>
      </c>
      <c r="BB6">
        <v>140609</v>
      </c>
      <c r="BC6">
        <v>131588</v>
      </c>
      <c r="BD6">
        <v>435</v>
      </c>
      <c r="BE6">
        <v>1690</v>
      </c>
      <c r="BF6">
        <v>125826</v>
      </c>
      <c r="BG6">
        <v>37448</v>
      </c>
      <c r="BH6">
        <v>439</v>
      </c>
      <c r="BI6">
        <v>18452</v>
      </c>
      <c r="BJ6">
        <v>4486</v>
      </c>
      <c r="BK6">
        <v>12779</v>
      </c>
      <c r="BL6">
        <v>15065</v>
      </c>
      <c r="BM6">
        <v>14964</v>
      </c>
      <c r="BN6">
        <v>5618</v>
      </c>
      <c r="BO6">
        <v>908</v>
      </c>
      <c r="BP6">
        <v>83703</v>
      </c>
      <c r="BQ6">
        <v>13383</v>
      </c>
      <c r="BR6">
        <v>1164</v>
      </c>
      <c r="BS6">
        <v>5172</v>
      </c>
      <c r="BT6">
        <v>2123</v>
      </c>
      <c r="BU6">
        <v>2777</v>
      </c>
      <c r="BV6">
        <v>76629</v>
      </c>
      <c r="BW6">
        <v>53362</v>
      </c>
      <c r="BX6">
        <v>1213</v>
      </c>
    </row>
    <row r="7" spans="1:76">
      <c r="A7" s="1">
        <v>1012</v>
      </c>
      <c r="B7" s="3" t="s">
        <v>36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26</v>
      </c>
      <c r="H7" s="1">
        <v>31</v>
      </c>
      <c r="I7" s="1" t="s">
        <v>37</v>
      </c>
      <c r="J7" s="1" t="s">
        <v>37</v>
      </c>
      <c r="K7" s="1">
        <v>18.3</v>
      </c>
      <c r="L7" s="1" t="s">
        <v>29</v>
      </c>
      <c r="M7" s="1"/>
      <c r="N7" s="1" t="s">
        <v>29</v>
      </c>
      <c r="O7" s="1" t="s">
        <v>29</v>
      </c>
      <c r="P7" s="1"/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t="s">
        <v>170</v>
      </c>
      <c r="Y7">
        <v>270926</v>
      </c>
      <c r="Z7">
        <v>265202</v>
      </c>
      <c r="AA7">
        <v>261135</v>
      </c>
      <c r="AB7">
        <v>167832</v>
      </c>
      <c r="AC7">
        <v>1547</v>
      </c>
      <c r="AD7">
        <v>1516</v>
      </c>
      <c r="AE7">
        <v>1454</v>
      </c>
      <c r="AF7">
        <v>1439</v>
      </c>
      <c r="AG7">
        <v>1432</v>
      </c>
      <c r="AH7">
        <v>639</v>
      </c>
      <c r="AI7">
        <v>612</v>
      </c>
      <c r="AJ7">
        <v>16</v>
      </c>
      <c r="AK7">
        <v>20</v>
      </c>
      <c r="AL7">
        <v>100530</v>
      </c>
      <c r="AM7">
        <v>24253</v>
      </c>
      <c r="AN7">
        <v>71034</v>
      </c>
      <c r="AO7">
        <v>2153</v>
      </c>
      <c r="AP7">
        <v>2647</v>
      </c>
      <c r="AQ7">
        <v>4370</v>
      </c>
      <c r="AR7">
        <v>27309</v>
      </c>
      <c r="AS7">
        <v>9535</v>
      </c>
      <c r="AT7">
        <v>9282</v>
      </c>
      <c r="AU7">
        <v>21634</v>
      </c>
      <c r="AV7">
        <v>4506</v>
      </c>
      <c r="AW7">
        <v>13647</v>
      </c>
      <c r="AX7">
        <v>155</v>
      </c>
      <c r="AY7">
        <v>12386</v>
      </c>
      <c r="AZ7">
        <v>15506</v>
      </c>
      <c r="BA7">
        <v>214</v>
      </c>
      <c r="BB7">
        <v>63098</v>
      </c>
      <c r="BC7">
        <v>60720</v>
      </c>
      <c r="BD7">
        <v>522</v>
      </c>
      <c r="BE7">
        <v>519</v>
      </c>
      <c r="BF7">
        <v>57375</v>
      </c>
      <c r="BG7">
        <v>25309</v>
      </c>
      <c r="BH7">
        <v>208</v>
      </c>
      <c r="BI7">
        <v>12451</v>
      </c>
      <c r="BJ7">
        <v>7555</v>
      </c>
      <c r="BK7">
        <v>3972</v>
      </c>
      <c r="BL7">
        <v>10943</v>
      </c>
      <c r="BM7">
        <v>10584</v>
      </c>
      <c r="BN7">
        <v>2019</v>
      </c>
      <c r="BO7">
        <v>434</v>
      </c>
      <c r="BP7">
        <v>29360</v>
      </c>
      <c r="BQ7">
        <v>5302</v>
      </c>
      <c r="BR7">
        <v>760</v>
      </c>
      <c r="BS7">
        <v>12353</v>
      </c>
      <c r="BT7">
        <v>888</v>
      </c>
      <c r="BU7">
        <v>11077</v>
      </c>
      <c r="BV7">
        <v>15587</v>
      </c>
      <c r="BW7">
        <v>10183</v>
      </c>
      <c r="BX7">
        <v>21</v>
      </c>
    </row>
    <row r="8" spans="1:76">
      <c r="A8" s="1">
        <v>1048</v>
      </c>
      <c r="B8" s="3" t="s">
        <v>58</v>
      </c>
      <c r="C8" s="1" t="s">
        <v>24</v>
      </c>
      <c r="D8" s="1" t="s">
        <v>25</v>
      </c>
      <c r="E8" s="1" t="s">
        <v>24</v>
      </c>
      <c r="F8" s="1" t="s">
        <v>24</v>
      </c>
      <c r="G8" s="1" t="s">
        <v>26</v>
      </c>
      <c r="H8" s="1">
        <v>24</v>
      </c>
      <c r="I8" s="1" t="s">
        <v>27</v>
      </c>
      <c r="J8" s="1" t="s">
        <v>28</v>
      </c>
      <c r="K8" s="1">
        <v>25.4</v>
      </c>
      <c r="L8" s="1" t="s">
        <v>29</v>
      </c>
      <c r="M8" s="1"/>
      <c r="N8" s="1" t="s">
        <v>29</v>
      </c>
      <c r="O8" s="1" t="s">
        <v>29</v>
      </c>
      <c r="P8" s="1"/>
      <c r="Q8" s="1" t="s">
        <v>29</v>
      </c>
      <c r="R8" s="1" t="s">
        <v>34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t="s">
        <v>186</v>
      </c>
      <c r="Y8">
        <v>148761</v>
      </c>
      <c r="Z8">
        <v>144702</v>
      </c>
      <c r="AA8">
        <v>136700</v>
      </c>
      <c r="AB8">
        <v>94801</v>
      </c>
      <c r="AC8">
        <v>74</v>
      </c>
      <c r="AD8">
        <v>67</v>
      </c>
      <c r="AE8">
        <v>59</v>
      </c>
      <c r="AF8">
        <v>59</v>
      </c>
      <c r="AG8">
        <v>59</v>
      </c>
      <c r="AH8">
        <v>12</v>
      </c>
      <c r="AI8">
        <v>40</v>
      </c>
      <c r="AJ8">
        <v>0</v>
      </c>
      <c r="AK8">
        <v>0</v>
      </c>
      <c r="AL8">
        <v>32910</v>
      </c>
      <c r="AM8">
        <v>7765</v>
      </c>
      <c r="AN8">
        <v>24615</v>
      </c>
      <c r="AO8">
        <v>1384</v>
      </c>
      <c r="AP8">
        <v>2647</v>
      </c>
      <c r="AQ8">
        <v>4320</v>
      </c>
      <c r="AR8">
        <v>9659</v>
      </c>
      <c r="AS8">
        <v>4074</v>
      </c>
      <c r="AT8">
        <v>3993</v>
      </c>
      <c r="AU8">
        <v>1735</v>
      </c>
      <c r="AV8">
        <v>365</v>
      </c>
      <c r="AW8">
        <v>1149</v>
      </c>
      <c r="AX8">
        <v>95</v>
      </c>
      <c r="AY8">
        <v>1023</v>
      </c>
      <c r="AZ8">
        <v>12211</v>
      </c>
      <c r="BA8">
        <v>176</v>
      </c>
      <c r="BB8">
        <v>61337</v>
      </c>
      <c r="BC8">
        <v>55718</v>
      </c>
      <c r="BD8">
        <v>535</v>
      </c>
      <c r="BE8">
        <v>373</v>
      </c>
      <c r="BF8">
        <v>53500</v>
      </c>
      <c r="BG8">
        <v>30299</v>
      </c>
      <c r="BH8">
        <v>64</v>
      </c>
      <c r="BI8">
        <v>19538</v>
      </c>
      <c r="BJ8">
        <v>7660</v>
      </c>
      <c r="BK8">
        <v>10219</v>
      </c>
      <c r="BL8">
        <v>8767</v>
      </c>
      <c r="BM8">
        <v>8712</v>
      </c>
      <c r="BN8">
        <v>2332</v>
      </c>
      <c r="BO8">
        <v>695</v>
      </c>
      <c r="BP8">
        <v>20453</v>
      </c>
      <c r="BQ8">
        <v>3134</v>
      </c>
      <c r="BR8">
        <v>466</v>
      </c>
      <c r="BS8">
        <v>11251</v>
      </c>
      <c r="BT8">
        <v>1902</v>
      </c>
      <c r="BU8">
        <v>8800</v>
      </c>
      <c r="BV8">
        <v>8324</v>
      </c>
      <c r="BW8">
        <v>6821</v>
      </c>
      <c r="BX8">
        <v>163</v>
      </c>
    </row>
    <row r="9" spans="1:76">
      <c r="A9" s="1">
        <v>1235</v>
      </c>
      <c r="B9" s="3" t="s">
        <v>104</v>
      </c>
      <c r="C9" s="1" t="s">
        <v>24</v>
      </c>
      <c r="D9" s="1" t="s">
        <v>25</v>
      </c>
      <c r="E9" s="1" t="s">
        <v>24</v>
      </c>
      <c r="F9" s="1" t="s">
        <v>24</v>
      </c>
      <c r="G9" s="1" t="s">
        <v>32</v>
      </c>
      <c r="H9" s="1">
        <v>25</v>
      </c>
      <c r="I9" s="1" t="s">
        <v>27</v>
      </c>
      <c r="J9" s="1" t="s">
        <v>76</v>
      </c>
      <c r="K9" s="1">
        <v>19</v>
      </c>
      <c r="L9" s="1" t="s">
        <v>29</v>
      </c>
      <c r="M9" s="1"/>
      <c r="N9" s="1" t="s">
        <v>29</v>
      </c>
      <c r="O9" s="1" t="s">
        <v>29</v>
      </c>
      <c r="P9" s="1"/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W9" s="1" t="s">
        <v>29</v>
      </c>
      <c r="X9" t="s">
        <v>231</v>
      </c>
      <c r="Y9">
        <v>36749</v>
      </c>
      <c r="Z9">
        <v>35528</v>
      </c>
      <c r="AA9">
        <v>35018</v>
      </c>
      <c r="AB9">
        <v>30431</v>
      </c>
      <c r="AC9">
        <v>31</v>
      </c>
      <c r="AD9">
        <v>31</v>
      </c>
      <c r="AE9">
        <v>28</v>
      </c>
      <c r="AF9">
        <v>28</v>
      </c>
      <c r="AG9">
        <v>28</v>
      </c>
      <c r="AH9">
        <v>10</v>
      </c>
      <c r="AI9">
        <v>13</v>
      </c>
      <c r="AJ9">
        <v>0</v>
      </c>
      <c r="AK9">
        <v>0</v>
      </c>
      <c r="AL9">
        <v>15334</v>
      </c>
      <c r="AM9">
        <v>2031</v>
      </c>
      <c r="AN9">
        <v>13003</v>
      </c>
      <c r="AO9">
        <v>887</v>
      </c>
      <c r="AP9">
        <v>2258</v>
      </c>
      <c r="AQ9">
        <v>3213</v>
      </c>
      <c r="AR9">
        <v>1897</v>
      </c>
      <c r="AS9">
        <v>273</v>
      </c>
      <c r="AT9">
        <v>254</v>
      </c>
      <c r="AU9">
        <v>737</v>
      </c>
      <c r="AV9">
        <v>161</v>
      </c>
      <c r="AW9">
        <v>489</v>
      </c>
      <c r="AX9">
        <v>137</v>
      </c>
      <c r="AY9">
        <v>226</v>
      </c>
      <c r="AZ9">
        <v>9501</v>
      </c>
      <c r="BA9">
        <v>46</v>
      </c>
      <c r="BB9">
        <v>14869</v>
      </c>
      <c r="BC9">
        <v>12930</v>
      </c>
      <c r="BD9">
        <v>21</v>
      </c>
      <c r="BE9">
        <v>45</v>
      </c>
      <c r="BF9">
        <v>12680</v>
      </c>
      <c r="BG9">
        <v>6439</v>
      </c>
      <c r="BH9">
        <v>44</v>
      </c>
      <c r="BI9">
        <v>2208</v>
      </c>
      <c r="BJ9">
        <v>886</v>
      </c>
      <c r="BK9">
        <v>1091</v>
      </c>
      <c r="BL9">
        <v>3551</v>
      </c>
      <c r="BM9">
        <v>3323</v>
      </c>
      <c r="BN9">
        <v>391</v>
      </c>
      <c r="BO9">
        <v>83</v>
      </c>
      <c r="BP9">
        <v>5725</v>
      </c>
      <c r="BQ9">
        <v>516</v>
      </c>
      <c r="BR9">
        <v>98</v>
      </c>
      <c r="BS9">
        <v>2156</v>
      </c>
      <c r="BT9">
        <v>119</v>
      </c>
      <c r="BU9">
        <v>1962</v>
      </c>
      <c r="BV9">
        <v>2943</v>
      </c>
      <c r="BW9">
        <v>1820</v>
      </c>
      <c r="BX9">
        <v>14</v>
      </c>
    </row>
    <row r="10" spans="1:76">
      <c r="A10" s="1">
        <v>1001</v>
      </c>
      <c r="B10" s="3" t="s">
        <v>23</v>
      </c>
      <c r="C10" s="1" t="s">
        <v>24</v>
      </c>
      <c r="D10" s="1" t="s">
        <v>25</v>
      </c>
      <c r="E10" s="1" t="s">
        <v>24</v>
      </c>
      <c r="F10" s="1" t="s">
        <v>24</v>
      </c>
      <c r="G10" s="1" t="s">
        <v>26</v>
      </c>
      <c r="H10" s="1">
        <v>34</v>
      </c>
      <c r="I10" s="1" t="s">
        <v>27</v>
      </c>
      <c r="J10" s="1" t="s">
        <v>28</v>
      </c>
      <c r="K10" s="1">
        <v>23.9</v>
      </c>
      <c r="L10" s="1" t="s">
        <v>29</v>
      </c>
      <c r="M10" s="1"/>
      <c r="N10" s="1" t="s">
        <v>29</v>
      </c>
      <c r="O10" s="1" t="s">
        <v>29</v>
      </c>
      <c r="P10" s="1"/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29</v>
      </c>
      <c r="X10" t="s">
        <v>165</v>
      </c>
      <c r="Y10">
        <v>277764</v>
      </c>
      <c r="Z10">
        <v>265500</v>
      </c>
      <c r="AA10">
        <v>262632</v>
      </c>
      <c r="AB10">
        <v>102216</v>
      </c>
      <c r="AC10">
        <v>2698</v>
      </c>
      <c r="AD10">
        <v>2649</v>
      </c>
      <c r="AE10">
        <v>2482</v>
      </c>
      <c r="AF10">
        <v>2472</v>
      </c>
      <c r="AG10">
        <v>2463</v>
      </c>
      <c r="AH10">
        <v>547</v>
      </c>
      <c r="AI10">
        <v>1517</v>
      </c>
      <c r="AJ10">
        <v>53</v>
      </c>
      <c r="AK10">
        <v>86</v>
      </c>
      <c r="AL10">
        <v>38541</v>
      </c>
      <c r="AM10">
        <v>7265</v>
      </c>
      <c r="AN10">
        <v>29957</v>
      </c>
      <c r="AO10">
        <v>1300</v>
      </c>
      <c r="AP10">
        <v>889</v>
      </c>
      <c r="AQ10">
        <v>1026</v>
      </c>
      <c r="AR10">
        <v>13380</v>
      </c>
      <c r="AS10">
        <v>5675</v>
      </c>
      <c r="AT10">
        <v>5624</v>
      </c>
      <c r="AU10">
        <v>8258</v>
      </c>
      <c r="AV10">
        <v>2276</v>
      </c>
      <c r="AW10">
        <v>5095</v>
      </c>
      <c r="AX10">
        <v>42</v>
      </c>
      <c r="AY10">
        <v>4884</v>
      </c>
      <c r="AZ10">
        <v>5749</v>
      </c>
      <c r="BA10">
        <v>106</v>
      </c>
      <c r="BB10">
        <v>58069</v>
      </c>
      <c r="BC10">
        <v>55511</v>
      </c>
      <c r="BD10">
        <v>301</v>
      </c>
      <c r="BE10">
        <v>176</v>
      </c>
      <c r="BF10">
        <v>53861</v>
      </c>
      <c r="BG10">
        <v>32786</v>
      </c>
      <c r="BH10">
        <v>130</v>
      </c>
      <c r="BI10">
        <v>19853</v>
      </c>
      <c r="BJ10">
        <v>15656</v>
      </c>
      <c r="BK10">
        <v>3132</v>
      </c>
      <c r="BL10">
        <v>7645</v>
      </c>
      <c r="BM10">
        <v>6090</v>
      </c>
      <c r="BN10">
        <v>1144</v>
      </c>
      <c r="BO10">
        <v>201</v>
      </c>
      <c r="BP10">
        <v>19694</v>
      </c>
      <c r="BQ10">
        <v>1655</v>
      </c>
      <c r="BR10">
        <v>130</v>
      </c>
      <c r="BS10">
        <v>7234</v>
      </c>
      <c r="BT10">
        <v>298</v>
      </c>
      <c r="BU10">
        <v>6835</v>
      </c>
      <c r="BV10">
        <v>11340</v>
      </c>
      <c r="BW10">
        <v>5716</v>
      </c>
      <c r="BX10">
        <v>154</v>
      </c>
    </row>
    <row r="11" spans="1:76">
      <c r="A11" s="1">
        <v>1227</v>
      </c>
      <c r="B11" s="3" t="s">
        <v>103</v>
      </c>
      <c r="C11" s="1" t="s">
        <v>24</v>
      </c>
      <c r="D11" s="1" t="s">
        <v>25</v>
      </c>
      <c r="E11" s="1" t="s">
        <v>24</v>
      </c>
      <c r="F11" s="1" t="s">
        <v>24</v>
      </c>
      <c r="G11" s="1" t="s">
        <v>26</v>
      </c>
      <c r="H11" s="1">
        <v>53</v>
      </c>
      <c r="I11" s="1" t="s">
        <v>27</v>
      </c>
      <c r="J11" s="1" t="s">
        <v>28</v>
      </c>
      <c r="K11" s="1">
        <v>40.299999999999997</v>
      </c>
      <c r="L11" s="1" t="s">
        <v>29</v>
      </c>
      <c r="M11" s="1"/>
      <c r="N11" s="1" t="s">
        <v>29</v>
      </c>
      <c r="O11" s="1" t="s">
        <v>29</v>
      </c>
      <c r="P11" s="1"/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1" t="s">
        <v>29</v>
      </c>
      <c r="X11" t="s">
        <v>230</v>
      </c>
      <c r="Y11">
        <v>149245</v>
      </c>
      <c r="Z11">
        <v>146074</v>
      </c>
      <c r="AA11">
        <v>145481</v>
      </c>
      <c r="AB11">
        <v>135150</v>
      </c>
      <c r="AC11">
        <v>37</v>
      </c>
      <c r="AD11">
        <v>36</v>
      </c>
      <c r="AE11">
        <v>33</v>
      </c>
      <c r="AF11">
        <v>31</v>
      </c>
      <c r="AG11">
        <v>30</v>
      </c>
      <c r="AH11">
        <v>6</v>
      </c>
      <c r="AI11">
        <v>18</v>
      </c>
      <c r="AJ11">
        <v>0</v>
      </c>
      <c r="AK11">
        <v>0</v>
      </c>
      <c r="AL11">
        <v>49041</v>
      </c>
      <c r="AM11">
        <v>6193</v>
      </c>
      <c r="AN11">
        <v>41403</v>
      </c>
      <c r="AO11">
        <v>4477</v>
      </c>
      <c r="AP11">
        <v>5787</v>
      </c>
      <c r="AQ11">
        <v>7834</v>
      </c>
      <c r="AR11">
        <v>8778</v>
      </c>
      <c r="AS11">
        <v>2067</v>
      </c>
      <c r="AT11">
        <v>1389</v>
      </c>
      <c r="AU11">
        <v>2499</v>
      </c>
      <c r="AV11">
        <v>299</v>
      </c>
      <c r="AW11">
        <v>1924</v>
      </c>
      <c r="AX11">
        <v>440</v>
      </c>
      <c r="AY11">
        <v>1345</v>
      </c>
      <c r="AZ11">
        <v>28939</v>
      </c>
      <c r="BA11">
        <v>285</v>
      </c>
      <c r="BB11">
        <v>85539</v>
      </c>
      <c r="BC11">
        <v>77590</v>
      </c>
      <c r="BD11">
        <v>344</v>
      </c>
      <c r="BE11">
        <v>132</v>
      </c>
      <c r="BF11">
        <v>74877</v>
      </c>
      <c r="BG11">
        <v>57384</v>
      </c>
      <c r="BH11">
        <v>254</v>
      </c>
      <c r="BI11">
        <v>16496</v>
      </c>
      <c r="BJ11">
        <v>5208</v>
      </c>
      <c r="BK11">
        <v>9764</v>
      </c>
      <c r="BL11">
        <v>35449</v>
      </c>
      <c r="BM11">
        <v>34754</v>
      </c>
      <c r="BN11">
        <v>1904</v>
      </c>
      <c r="BO11">
        <v>581</v>
      </c>
      <c r="BP11">
        <v>14873</v>
      </c>
      <c r="BQ11">
        <v>1406</v>
      </c>
      <c r="BR11">
        <v>341</v>
      </c>
      <c r="BS11">
        <v>3286</v>
      </c>
      <c r="BT11">
        <v>495</v>
      </c>
      <c r="BU11">
        <v>2532</v>
      </c>
      <c r="BV11">
        <v>10397</v>
      </c>
      <c r="BW11">
        <v>5415</v>
      </c>
      <c r="BX11">
        <v>22</v>
      </c>
    </row>
    <row r="12" spans="1:76">
      <c r="A12" s="1">
        <v>1154</v>
      </c>
      <c r="B12" s="3" t="s">
        <v>83</v>
      </c>
      <c r="C12" s="1" t="s">
        <v>25</v>
      </c>
      <c r="D12" s="1" t="s">
        <v>24</v>
      </c>
      <c r="E12" s="1" t="s">
        <v>24</v>
      </c>
      <c r="F12" s="1" t="s">
        <v>25</v>
      </c>
      <c r="G12" s="1" t="s">
        <v>32</v>
      </c>
      <c r="H12" s="1">
        <v>61</v>
      </c>
      <c r="I12" s="1" t="s">
        <v>27</v>
      </c>
      <c r="J12" s="1" t="s">
        <v>84</v>
      </c>
      <c r="K12" s="1">
        <v>24.5</v>
      </c>
      <c r="L12" s="1" t="s">
        <v>29</v>
      </c>
      <c r="M12" s="1"/>
      <c r="N12" s="1" t="s">
        <v>29</v>
      </c>
      <c r="O12" s="1" t="s">
        <v>29</v>
      </c>
      <c r="P12" s="1"/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1" t="s">
        <v>29</v>
      </c>
      <c r="X12" t="s">
        <v>208</v>
      </c>
      <c r="Y12">
        <v>105939</v>
      </c>
      <c r="Z12">
        <v>97892</v>
      </c>
      <c r="AA12">
        <v>91684</v>
      </c>
      <c r="AB12">
        <v>60528</v>
      </c>
      <c r="AC12">
        <v>335</v>
      </c>
      <c r="AD12">
        <v>321</v>
      </c>
      <c r="AE12">
        <v>308</v>
      </c>
      <c r="AF12">
        <v>303</v>
      </c>
      <c r="AG12">
        <v>302</v>
      </c>
      <c r="AH12">
        <v>106</v>
      </c>
      <c r="AI12">
        <v>134</v>
      </c>
      <c r="AJ12">
        <v>2</v>
      </c>
      <c r="AK12">
        <v>3</v>
      </c>
      <c r="AL12">
        <v>32196</v>
      </c>
      <c r="AM12">
        <v>7484</v>
      </c>
      <c r="AN12">
        <v>23914</v>
      </c>
      <c r="AO12">
        <v>1421</v>
      </c>
      <c r="AP12">
        <v>1744</v>
      </c>
      <c r="AQ12">
        <v>3775</v>
      </c>
      <c r="AR12">
        <v>8938</v>
      </c>
      <c r="AS12">
        <v>1834</v>
      </c>
      <c r="AT12">
        <v>1801</v>
      </c>
      <c r="AU12">
        <v>4384</v>
      </c>
      <c r="AV12">
        <v>399</v>
      </c>
      <c r="AW12">
        <v>2854</v>
      </c>
      <c r="AX12">
        <v>568</v>
      </c>
      <c r="AY12">
        <v>1902</v>
      </c>
      <c r="AZ12">
        <v>8792</v>
      </c>
      <c r="BA12">
        <v>45</v>
      </c>
      <c r="BB12">
        <v>27484</v>
      </c>
      <c r="BC12">
        <v>25403</v>
      </c>
      <c r="BD12">
        <v>396</v>
      </c>
      <c r="BE12">
        <v>217</v>
      </c>
      <c r="BF12">
        <v>23782</v>
      </c>
      <c r="BG12">
        <v>16705</v>
      </c>
      <c r="BH12">
        <v>228</v>
      </c>
      <c r="BI12">
        <v>6381</v>
      </c>
      <c r="BJ12">
        <v>1479</v>
      </c>
      <c r="BK12">
        <v>4704</v>
      </c>
      <c r="BL12">
        <v>9085</v>
      </c>
      <c r="BM12">
        <v>8302</v>
      </c>
      <c r="BN12">
        <v>3522</v>
      </c>
      <c r="BO12">
        <v>1031</v>
      </c>
      <c r="BP12">
        <v>6384</v>
      </c>
      <c r="BQ12">
        <v>1591</v>
      </c>
      <c r="BR12">
        <v>223</v>
      </c>
      <c r="BS12">
        <v>1200</v>
      </c>
      <c r="BT12">
        <v>419</v>
      </c>
      <c r="BU12">
        <v>718</v>
      </c>
      <c r="BV12">
        <v>4897</v>
      </c>
      <c r="BW12">
        <v>2190</v>
      </c>
      <c r="BX12">
        <v>87</v>
      </c>
    </row>
    <row r="13" spans="1:76">
      <c r="A13" s="1">
        <v>1003</v>
      </c>
      <c r="B13" s="3" t="s">
        <v>30</v>
      </c>
      <c r="C13" s="1" t="s">
        <v>24</v>
      </c>
      <c r="D13" s="1" t="s">
        <v>25</v>
      </c>
      <c r="E13" s="1" t="s">
        <v>24</v>
      </c>
      <c r="F13" s="1" t="s">
        <v>24</v>
      </c>
      <c r="G13" s="1" t="s">
        <v>26</v>
      </c>
      <c r="H13" s="1">
        <v>35</v>
      </c>
      <c r="I13" s="1" t="s">
        <v>27</v>
      </c>
      <c r="J13" s="1" t="s">
        <v>28</v>
      </c>
      <c r="K13" s="1">
        <v>26.5</v>
      </c>
      <c r="L13" s="1" t="s">
        <v>29</v>
      </c>
      <c r="M13" s="1"/>
      <c r="N13" s="1" t="s">
        <v>29</v>
      </c>
      <c r="O13" s="1" t="s">
        <v>29</v>
      </c>
      <c r="P13" s="1"/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t="s">
        <v>166</v>
      </c>
      <c r="Y13">
        <v>321845</v>
      </c>
      <c r="Z13">
        <v>314310</v>
      </c>
      <c r="AA13">
        <v>309191</v>
      </c>
      <c r="AB13">
        <v>181785</v>
      </c>
      <c r="AC13">
        <v>3329</v>
      </c>
      <c r="AD13">
        <v>3197</v>
      </c>
      <c r="AE13">
        <v>2976</v>
      </c>
      <c r="AF13">
        <v>2935</v>
      </c>
      <c r="AG13">
        <v>2904</v>
      </c>
      <c r="AH13">
        <v>1162</v>
      </c>
      <c r="AI13">
        <v>407</v>
      </c>
      <c r="AJ13">
        <v>9</v>
      </c>
      <c r="AK13">
        <v>20</v>
      </c>
      <c r="AL13">
        <v>90578</v>
      </c>
      <c r="AM13">
        <v>35124</v>
      </c>
      <c r="AN13">
        <v>51872</v>
      </c>
      <c r="AO13">
        <v>1659</v>
      </c>
      <c r="AP13">
        <v>927</v>
      </c>
      <c r="AQ13">
        <v>2509</v>
      </c>
      <c r="AR13">
        <v>21579</v>
      </c>
      <c r="AS13">
        <v>11303</v>
      </c>
      <c r="AT13">
        <v>10861</v>
      </c>
      <c r="AU13">
        <v>13356</v>
      </c>
      <c r="AV13">
        <v>2863</v>
      </c>
      <c r="AW13">
        <v>8637</v>
      </c>
      <c r="AX13">
        <v>317</v>
      </c>
      <c r="AY13">
        <v>6310</v>
      </c>
      <c r="AZ13">
        <v>9556</v>
      </c>
      <c r="BA13">
        <v>122</v>
      </c>
      <c r="BB13">
        <v>82123</v>
      </c>
      <c r="BC13">
        <v>75753</v>
      </c>
      <c r="BD13">
        <v>618</v>
      </c>
      <c r="BE13">
        <v>651</v>
      </c>
      <c r="BF13">
        <v>72429</v>
      </c>
      <c r="BG13">
        <v>46060</v>
      </c>
      <c r="BH13">
        <v>125</v>
      </c>
      <c r="BI13">
        <v>38228</v>
      </c>
      <c r="BJ13">
        <v>36081</v>
      </c>
      <c r="BK13">
        <v>1486</v>
      </c>
      <c r="BL13">
        <v>5701</v>
      </c>
      <c r="BM13">
        <v>2403</v>
      </c>
      <c r="BN13">
        <v>5549</v>
      </c>
      <c r="BO13">
        <v>3054</v>
      </c>
      <c r="BP13">
        <v>24060</v>
      </c>
      <c r="BQ13">
        <v>3824</v>
      </c>
      <c r="BR13">
        <v>736</v>
      </c>
      <c r="BS13">
        <v>8187</v>
      </c>
      <c r="BT13">
        <v>89</v>
      </c>
      <c r="BU13">
        <v>7976</v>
      </c>
      <c r="BV13">
        <v>15216</v>
      </c>
      <c r="BW13">
        <v>788</v>
      </c>
      <c r="BX13">
        <v>165</v>
      </c>
    </row>
    <row r="14" spans="1:76">
      <c r="A14" s="1">
        <v>1086</v>
      </c>
      <c r="B14" s="3" t="s">
        <v>65</v>
      </c>
      <c r="C14" s="1" t="s">
        <v>24</v>
      </c>
      <c r="D14" s="1" t="s">
        <v>25</v>
      </c>
      <c r="E14" s="1" t="s">
        <v>24</v>
      </c>
      <c r="F14" s="1" t="s">
        <v>24</v>
      </c>
      <c r="G14" s="1" t="s">
        <v>32</v>
      </c>
      <c r="H14" s="1">
        <v>65</v>
      </c>
      <c r="I14" s="1" t="s">
        <v>27</v>
      </c>
      <c r="J14" s="1" t="s">
        <v>28</v>
      </c>
      <c r="K14" s="1">
        <v>42.6</v>
      </c>
      <c r="L14" s="1" t="s">
        <v>29</v>
      </c>
      <c r="M14" s="1"/>
      <c r="N14" s="1" t="s">
        <v>29</v>
      </c>
      <c r="O14" s="1" t="s">
        <v>29</v>
      </c>
      <c r="P14" s="1"/>
      <c r="Q14" s="1" t="s">
        <v>29</v>
      </c>
      <c r="R14" s="1" t="s">
        <v>29</v>
      </c>
      <c r="S14" s="1" t="s">
        <v>34</v>
      </c>
      <c r="T14" s="1" t="s">
        <v>29</v>
      </c>
      <c r="U14" s="1" t="s">
        <v>29</v>
      </c>
      <c r="V14" s="1" t="s">
        <v>29</v>
      </c>
      <c r="W14" s="1" t="s">
        <v>29</v>
      </c>
      <c r="X14" t="s">
        <v>193</v>
      </c>
      <c r="Y14">
        <v>141672</v>
      </c>
      <c r="Z14">
        <v>138657</v>
      </c>
      <c r="AA14">
        <v>125312</v>
      </c>
      <c r="AB14">
        <v>78685</v>
      </c>
      <c r="AC14">
        <v>595</v>
      </c>
      <c r="AD14">
        <v>589</v>
      </c>
      <c r="AE14">
        <v>548</v>
      </c>
      <c r="AF14">
        <v>548</v>
      </c>
      <c r="AG14">
        <v>546</v>
      </c>
      <c r="AH14">
        <v>278</v>
      </c>
      <c r="AI14">
        <v>174</v>
      </c>
      <c r="AJ14">
        <v>11</v>
      </c>
      <c r="AK14">
        <v>6</v>
      </c>
      <c r="AL14">
        <v>37666</v>
      </c>
      <c r="AM14">
        <v>5139</v>
      </c>
      <c r="AN14">
        <v>31471</v>
      </c>
      <c r="AO14">
        <v>2202</v>
      </c>
      <c r="AP14">
        <v>1234</v>
      </c>
      <c r="AQ14">
        <v>3050</v>
      </c>
      <c r="AR14">
        <v>10114</v>
      </c>
      <c r="AS14">
        <v>4354</v>
      </c>
      <c r="AT14">
        <v>4324</v>
      </c>
      <c r="AU14">
        <v>3195</v>
      </c>
      <c r="AV14">
        <v>525</v>
      </c>
      <c r="AW14">
        <v>2041</v>
      </c>
      <c r="AX14">
        <v>427</v>
      </c>
      <c r="AY14">
        <v>1313</v>
      </c>
      <c r="AZ14">
        <v>15723</v>
      </c>
      <c r="BA14">
        <v>103</v>
      </c>
      <c r="BB14">
        <v>39612</v>
      </c>
      <c r="BC14">
        <v>37410</v>
      </c>
      <c r="BD14">
        <v>102</v>
      </c>
      <c r="BE14">
        <v>81</v>
      </c>
      <c r="BF14">
        <v>36835</v>
      </c>
      <c r="BG14">
        <v>27029</v>
      </c>
      <c r="BH14">
        <v>267</v>
      </c>
      <c r="BI14">
        <v>13443</v>
      </c>
      <c r="BJ14">
        <v>6109</v>
      </c>
      <c r="BK14">
        <v>6532</v>
      </c>
      <c r="BL14">
        <v>10474</v>
      </c>
      <c r="BM14">
        <v>10265</v>
      </c>
      <c r="BN14">
        <v>1376</v>
      </c>
      <c r="BO14">
        <v>327</v>
      </c>
      <c r="BP14">
        <v>8272</v>
      </c>
      <c r="BQ14">
        <v>1367</v>
      </c>
      <c r="BR14">
        <v>142</v>
      </c>
      <c r="BS14">
        <v>2308</v>
      </c>
      <c r="BT14">
        <v>879</v>
      </c>
      <c r="BU14">
        <v>1341</v>
      </c>
      <c r="BV14">
        <v>5192</v>
      </c>
      <c r="BW14">
        <v>4347</v>
      </c>
      <c r="BX14">
        <v>11</v>
      </c>
    </row>
    <row r="15" spans="1:76">
      <c r="A15" s="1">
        <v>1004</v>
      </c>
      <c r="B15" s="3" t="s">
        <v>31</v>
      </c>
      <c r="C15" s="1" t="s">
        <v>24</v>
      </c>
      <c r="D15" s="1" t="s">
        <v>25</v>
      </c>
      <c r="E15" s="1" t="s">
        <v>24</v>
      </c>
      <c r="F15" s="1" t="s">
        <v>24</v>
      </c>
      <c r="G15" s="1" t="s">
        <v>32</v>
      </c>
      <c r="H15" s="1">
        <v>68</v>
      </c>
      <c r="I15" s="1" t="s">
        <v>27</v>
      </c>
      <c r="J15" s="1" t="s">
        <v>28</v>
      </c>
      <c r="K15" s="1">
        <v>27.1</v>
      </c>
      <c r="L15" s="1" t="s">
        <v>29</v>
      </c>
      <c r="M15" s="1"/>
      <c r="N15" s="1" t="s">
        <v>29</v>
      </c>
      <c r="O15" s="1" t="s">
        <v>29</v>
      </c>
      <c r="P15" s="1"/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1" t="s">
        <v>29</v>
      </c>
      <c r="X15" t="s">
        <v>167</v>
      </c>
      <c r="Y15">
        <v>303378</v>
      </c>
      <c r="Z15">
        <v>294206</v>
      </c>
      <c r="AA15">
        <v>293104</v>
      </c>
      <c r="AB15">
        <v>123429</v>
      </c>
      <c r="AC15">
        <v>1998</v>
      </c>
      <c r="AD15">
        <v>1955</v>
      </c>
      <c r="AE15">
        <v>1890</v>
      </c>
      <c r="AF15">
        <v>1861</v>
      </c>
      <c r="AG15">
        <v>1855</v>
      </c>
      <c r="AH15">
        <v>613</v>
      </c>
      <c r="AI15">
        <v>927</v>
      </c>
      <c r="AJ15">
        <v>22</v>
      </c>
      <c r="AK15">
        <v>32</v>
      </c>
      <c r="AL15">
        <v>29560</v>
      </c>
      <c r="AM15">
        <v>2362</v>
      </c>
      <c r="AN15">
        <v>26672</v>
      </c>
      <c r="AO15">
        <v>1932</v>
      </c>
      <c r="AP15">
        <v>3761</v>
      </c>
      <c r="AQ15">
        <v>4628</v>
      </c>
      <c r="AR15">
        <v>9325</v>
      </c>
      <c r="AS15">
        <v>247</v>
      </c>
      <c r="AT15">
        <v>234</v>
      </c>
      <c r="AU15">
        <v>3798</v>
      </c>
      <c r="AV15">
        <v>831</v>
      </c>
      <c r="AW15">
        <v>2116</v>
      </c>
      <c r="AX15">
        <v>104</v>
      </c>
      <c r="AY15">
        <v>1905</v>
      </c>
      <c r="AZ15">
        <v>12819</v>
      </c>
      <c r="BA15">
        <v>385</v>
      </c>
      <c r="BB15">
        <v>89371</v>
      </c>
      <c r="BC15">
        <v>81626</v>
      </c>
      <c r="BD15">
        <v>368</v>
      </c>
      <c r="BE15">
        <v>1572</v>
      </c>
      <c r="BF15">
        <v>77563</v>
      </c>
      <c r="BG15">
        <v>35933</v>
      </c>
      <c r="BH15">
        <v>693</v>
      </c>
      <c r="BI15">
        <v>11210</v>
      </c>
      <c r="BJ15">
        <v>2531</v>
      </c>
      <c r="BK15">
        <v>7689</v>
      </c>
      <c r="BL15">
        <v>22284</v>
      </c>
      <c r="BM15">
        <v>22077</v>
      </c>
      <c r="BN15">
        <v>1226</v>
      </c>
      <c r="BO15">
        <v>243</v>
      </c>
      <c r="BP15">
        <v>38816</v>
      </c>
      <c r="BQ15">
        <v>5337</v>
      </c>
      <c r="BR15">
        <v>346</v>
      </c>
      <c r="BS15">
        <v>764</v>
      </c>
      <c r="BT15">
        <v>401</v>
      </c>
      <c r="BU15">
        <v>306</v>
      </c>
      <c r="BV15">
        <v>37407</v>
      </c>
      <c r="BW15">
        <v>14084</v>
      </c>
      <c r="BX15">
        <v>126</v>
      </c>
    </row>
    <row r="16" spans="1:76">
      <c r="A16" s="1">
        <v>1146</v>
      </c>
      <c r="B16" s="3" t="s">
        <v>79</v>
      </c>
      <c r="C16" s="1" t="s">
        <v>24</v>
      </c>
      <c r="D16" s="1" t="s">
        <v>25</v>
      </c>
      <c r="E16" s="1" t="s">
        <v>24</v>
      </c>
      <c r="F16" s="1" t="s">
        <v>24</v>
      </c>
      <c r="G16" s="1" t="s">
        <v>32</v>
      </c>
      <c r="H16" s="1">
        <v>47</v>
      </c>
      <c r="I16" s="1" t="s">
        <v>27</v>
      </c>
      <c r="J16" s="1" t="s">
        <v>28</v>
      </c>
      <c r="K16" s="1">
        <v>22.8</v>
      </c>
      <c r="L16" s="1" t="s">
        <v>29</v>
      </c>
      <c r="M16" s="1"/>
      <c r="N16" s="1" t="s">
        <v>29</v>
      </c>
      <c r="O16" s="1" t="s">
        <v>29</v>
      </c>
      <c r="P16" s="1"/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1" t="s">
        <v>29</v>
      </c>
      <c r="X16" t="s">
        <v>204</v>
      </c>
      <c r="Y16">
        <v>120485</v>
      </c>
      <c r="Z16">
        <v>116000</v>
      </c>
      <c r="AA16">
        <v>110462</v>
      </c>
      <c r="AB16">
        <v>69007</v>
      </c>
      <c r="AC16">
        <v>161</v>
      </c>
      <c r="AD16">
        <v>157</v>
      </c>
      <c r="AE16">
        <v>153</v>
      </c>
      <c r="AF16">
        <v>153</v>
      </c>
      <c r="AG16">
        <v>153</v>
      </c>
      <c r="AH16">
        <v>100</v>
      </c>
      <c r="AI16">
        <v>31</v>
      </c>
      <c r="AJ16">
        <v>1</v>
      </c>
      <c r="AK16">
        <v>0</v>
      </c>
      <c r="AL16">
        <v>46114</v>
      </c>
      <c r="AM16">
        <v>2769</v>
      </c>
      <c r="AN16">
        <v>42546</v>
      </c>
      <c r="AO16">
        <v>1737</v>
      </c>
      <c r="AP16">
        <v>1542</v>
      </c>
      <c r="AQ16">
        <v>1563</v>
      </c>
      <c r="AR16">
        <v>24230</v>
      </c>
      <c r="AS16">
        <v>10455</v>
      </c>
      <c r="AT16">
        <v>10315</v>
      </c>
      <c r="AU16">
        <v>6220</v>
      </c>
      <c r="AV16">
        <v>624</v>
      </c>
      <c r="AW16">
        <v>4547</v>
      </c>
      <c r="AX16">
        <v>149</v>
      </c>
      <c r="AY16">
        <v>3881</v>
      </c>
      <c r="AZ16">
        <v>7841</v>
      </c>
      <c r="BA16">
        <v>82</v>
      </c>
      <c r="BB16">
        <v>21952</v>
      </c>
      <c r="BC16">
        <v>20127</v>
      </c>
      <c r="BD16">
        <v>261</v>
      </c>
      <c r="BE16">
        <v>212</v>
      </c>
      <c r="BF16">
        <v>18773</v>
      </c>
      <c r="BG16">
        <v>6943</v>
      </c>
      <c r="BH16">
        <v>38</v>
      </c>
      <c r="BI16">
        <v>3631</v>
      </c>
      <c r="BJ16">
        <v>1288</v>
      </c>
      <c r="BK16">
        <v>2093</v>
      </c>
      <c r="BL16">
        <v>2953</v>
      </c>
      <c r="BM16">
        <v>2895</v>
      </c>
      <c r="BN16">
        <v>1085</v>
      </c>
      <c r="BO16">
        <v>517</v>
      </c>
      <c r="BP16">
        <v>10899</v>
      </c>
      <c r="BQ16">
        <v>2622</v>
      </c>
      <c r="BR16">
        <v>550</v>
      </c>
      <c r="BS16">
        <v>3334</v>
      </c>
      <c r="BT16">
        <v>1048</v>
      </c>
      <c r="BU16">
        <v>2115</v>
      </c>
      <c r="BV16">
        <v>7092</v>
      </c>
      <c r="BW16">
        <v>3758</v>
      </c>
      <c r="BX16">
        <v>29</v>
      </c>
    </row>
    <row r="17" spans="1:76">
      <c r="A17" s="1">
        <v>1160</v>
      </c>
      <c r="B17" s="3" t="s">
        <v>89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32</v>
      </c>
      <c r="H17" s="1">
        <v>65</v>
      </c>
      <c r="I17" s="1" t="s">
        <v>27</v>
      </c>
      <c r="J17" s="1" t="s">
        <v>28</v>
      </c>
      <c r="K17" s="1">
        <v>24.5</v>
      </c>
      <c r="L17" s="1" t="s">
        <v>29</v>
      </c>
      <c r="M17" s="1"/>
      <c r="N17" s="1" t="s">
        <v>29</v>
      </c>
      <c r="O17" s="1" t="s">
        <v>34</v>
      </c>
      <c r="P17" s="1" t="s">
        <v>90</v>
      </c>
      <c r="Q17" s="1" t="s">
        <v>29</v>
      </c>
      <c r="R17" s="1" t="s">
        <v>29</v>
      </c>
      <c r="S17" s="1" t="s">
        <v>34</v>
      </c>
      <c r="T17" s="1" t="s">
        <v>29</v>
      </c>
      <c r="U17" s="1" t="s">
        <v>29</v>
      </c>
      <c r="V17" s="1" t="s">
        <v>29</v>
      </c>
      <c r="W17" s="1" t="s">
        <v>29</v>
      </c>
      <c r="X17" t="s">
        <v>214</v>
      </c>
      <c r="Y17">
        <v>99510</v>
      </c>
      <c r="Z17">
        <v>93685</v>
      </c>
      <c r="AA17">
        <v>90392</v>
      </c>
      <c r="AB17">
        <v>55396</v>
      </c>
      <c r="AC17">
        <v>282</v>
      </c>
      <c r="AD17">
        <v>277</v>
      </c>
      <c r="AE17">
        <v>271</v>
      </c>
      <c r="AF17">
        <v>271</v>
      </c>
      <c r="AG17">
        <v>271</v>
      </c>
      <c r="AH17">
        <v>142</v>
      </c>
      <c r="AI17">
        <v>109</v>
      </c>
      <c r="AJ17">
        <v>0</v>
      </c>
      <c r="AK17">
        <v>2</v>
      </c>
      <c r="AL17">
        <v>32289</v>
      </c>
      <c r="AM17">
        <v>3261</v>
      </c>
      <c r="AN17">
        <v>28515</v>
      </c>
      <c r="AO17">
        <v>2174</v>
      </c>
      <c r="AP17">
        <v>6082</v>
      </c>
      <c r="AQ17">
        <v>5683</v>
      </c>
      <c r="AR17">
        <v>8971</v>
      </c>
      <c r="AS17">
        <v>2751</v>
      </c>
      <c r="AT17">
        <v>2632</v>
      </c>
      <c r="AU17">
        <v>3263</v>
      </c>
      <c r="AV17">
        <v>275</v>
      </c>
      <c r="AW17">
        <v>2653</v>
      </c>
      <c r="AX17">
        <v>422</v>
      </c>
      <c r="AY17">
        <v>2028</v>
      </c>
      <c r="AZ17">
        <v>14793</v>
      </c>
      <c r="BA17">
        <v>69</v>
      </c>
      <c r="BB17">
        <v>22349</v>
      </c>
      <c r="BC17">
        <v>20906</v>
      </c>
      <c r="BD17">
        <v>259</v>
      </c>
      <c r="BE17">
        <v>255</v>
      </c>
      <c r="BF17">
        <v>19213</v>
      </c>
      <c r="BG17">
        <v>11320</v>
      </c>
      <c r="BH17">
        <v>131</v>
      </c>
      <c r="BI17">
        <v>5266</v>
      </c>
      <c r="BJ17">
        <v>2098</v>
      </c>
      <c r="BK17">
        <v>2784</v>
      </c>
      <c r="BL17">
        <v>5161</v>
      </c>
      <c r="BM17">
        <v>5052</v>
      </c>
      <c r="BN17">
        <v>1286</v>
      </c>
      <c r="BO17">
        <v>290</v>
      </c>
      <c r="BP17">
        <v>6666</v>
      </c>
      <c r="BQ17">
        <v>1860</v>
      </c>
      <c r="BR17">
        <v>163</v>
      </c>
      <c r="BS17">
        <v>1839</v>
      </c>
      <c r="BT17">
        <v>332</v>
      </c>
      <c r="BU17">
        <v>1471</v>
      </c>
      <c r="BV17">
        <v>4636</v>
      </c>
      <c r="BW17">
        <v>3976</v>
      </c>
      <c r="BX17">
        <v>8</v>
      </c>
    </row>
    <row r="18" spans="1:76">
      <c r="A18" s="1">
        <v>1165</v>
      </c>
      <c r="B18" s="3" t="s">
        <v>93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32</v>
      </c>
      <c r="H18" s="1">
        <v>66</v>
      </c>
      <c r="I18" s="1" t="s">
        <v>27</v>
      </c>
      <c r="J18" s="1" t="s">
        <v>28</v>
      </c>
      <c r="K18" s="1">
        <v>28.9</v>
      </c>
      <c r="L18" s="1" t="s">
        <v>29</v>
      </c>
      <c r="M18" s="1"/>
      <c r="N18" s="1" t="s">
        <v>29</v>
      </c>
      <c r="O18" s="1" t="s">
        <v>29</v>
      </c>
      <c r="P18" s="1"/>
      <c r="Q18" s="1" t="s">
        <v>34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t="s">
        <v>217</v>
      </c>
      <c r="Y18">
        <v>232949</v>
      </c>
      <c r="Z18">
        <v>206715</v>
      </c>
      <c r="AA18">
        <v>194926</v>
      </c>
      <c r="AB18">
        <v>110284</v>
      </c>
      <c r="AC18">
        <v>166</v>
      </c>
      <c r="AD18">
        <v>160</v>
      </c>
      <c r="AE18">
        <v>142</v>
      </c>
      <c r="AF18">
        <v>142</v>
      </c>
      <c r="AG18">
        <v>141</v>
      </c>
      <c r="AH18">
        <v>48</v>
      </c>
      <c r="AI18">
        <v>79</v>
      </c>
      <c r="AJ18">
        <v>0</v>
      </c>
      <c r="AK18">
        <v>3</v>
      </c>
      <c r="AL18">
        <v>53013</v>
      </c>
      <c r="AM18">
        <v>5540</v>
      </c>
      <c r="AN18">
        <v>47119</v>
      </c>
      <c r="AO18">
        <v>1474</v>
      </c>
      <c r="AP18">
        <v>2304</v>
      </c>
      <c r="AQ18">
        <v>7043</v>
      </c>
      <c r="AR18">
        <v>28715</v>
      </c>
      <c r="AS18">
        <v>3147</v>
      </c>
      <c r="AT18">
        <v>3091</v>
      </c>
      <c r="AU18">
        <v>3650</v>
      </c>
      <c r="AV18">
        <v>506</v>
      </c>
      <c r="AW18">
        <v>2323</v>
      </c>
      <c r="AX18">
        <v>405</v>
      </c>
      <c r="AY18">
        <v>1640</v>
      </c>
      <c r="AZ18">
        <v>13226</v>
      </c>
      <c r="BA18">
        <v>157</v>
      </c>
      <c r="BB18">
        <v>56573</v>
      </c>
      <c r="BC18">
        <v>54079</v>
      </c>
      <c r="BD18">
        <v>111</v>
      </c>
      <c r="BE18">
        <v>237</v>
      </c>
      <c r="BF18">
        <v>52511</v>
      </c>
      <c r="BG18">
        <v>26321</v>
      </c>
      <c r="BH18">
        <v>158</v>
      </c>
      <c r="BI18">
        <v>10207</v>
      </c>
      <c r="BJ18">
        <v>2443</v>
      </c>
      <c r="BK18">
        <v>7267</v>
      </c>
      <c r="BL18">
        <v>13234</v>
      </c>
      <c r="BM18">
        <v>13181</v>
      </c>
      <c r="BN18">
        <v>1739</v>
      </c>
      <c r="BO18">
        <v>374</v>
      </c>
      <c r="BP18">
        <v>22946</v>
      </c>
      <c r="BQ18">
        <v>2649</v>
      </c>
      <c r="BR18">
        <v>288</v>
      </c>
      <c r="BS18">
        <v>4297</v>
      </c>
      <c r="BT18">
        <v>2348</v>
      </c>
      <c r="BU18">
        <v>1810</v>
      </c>
      <c r="BV18">
        <v>16832</v>
      </c>
      <c r="BW18">
        <v>6730</v>
      </c>
      <c r="BX18">
        <v>49</v>
      </c>
    </row>
    <row r="19" spans="1:76">
      <c r="A19" s="1">
        <v>1158</v>
      </c>
      <c r="B19" s="3" t="s">
        <v>87</v>
      </c>
      <c r="C19" s="1" t="s">
        <v>25</v>
      </c>
      <c r="D19" s="1" t="s">
        <v>24</v>
      </c>
      <c r="E19" s="1" t="s">
        <v>24</v>
      </c>
      <c r="F19" s="1" t="s">
        <v>24</v>
      </c>
      <c r="G19" s="1" t="s">
        <v>32</v>
      </c>
      <c r="H19" s="1">
        <v>58</v>
      </c>
      <c r="I19" s="1" t="s">
        <v>27</v>
      </c>
      <c r="J19" s="1" t="s">
        <v>28</v>
      </c>
      <c r="K19" s="1">
        <v>32.6</v>
      </c>
      <c r="L19" s="1" t="s">
        <v>29</v>
      </c>
      <c r="M19" s="1"/>
      <c r="N19" s="1" t="s">
        <v>29</v>
      </c>
      <c r="O19" s="1" t="s">
        <v>29</v>
      </c>
      <c r="P19" s="1"/>
      <c r="Q19" s="1" t="s">
        <v>34</v>
      </c>
      <c r="R19" s="1" t="s">
        <v>29</v>
      </c>
      <c r="S19" s="1" t="s">
        <v>34</v>
      </c>
      <c r="T19" s="1" t="s">
        <v>29</v>
      </c>
      <c r="U19" s="1" t="s">
        <v>29</v>
      </c>
      <c r="V19" s="1" t="s">
        <v>34</v>
      </c>
      <c r="W19" s="1" t="s">
        <v>29</v>
      </c>
      <c r="X19" t="s">
        <v>212</v>
      </c>
      <c r="Y19">
        <v>214097</v>
      </c>
      <c r="Z19">
        <v>190556</v>
      </c>
      <c r="AA19">
        <v>189560</v>
      </c>
      <c r="AB19">
        <v>124663</v>
      </c>
      <c r="AC19">
        <v>241</v>
      </c>
      <c r="AD19">
        <v>235</v>
      </c>
      <c r="AE19">
        <v>222</v>
      </c>
      <c r="AF19">
        <v>217</v>
      </c>
      <c r="AG19">
        <v>208</v>
      </c>
      <c r="AH19">
        <v>56</v>
      </c>
      <c r="AI19">
        <v>76</v>
      </c>
      <c r="AJ19">
        <v>1</v>
      </c>
      <c r="AK19">
        <v>1</v>
      </c>
      <c r="AL19">
        <v>48445</v>
      </c>
      <c r="AM19">
        <v>6964</v>
      </c>
      <c r="AN19">
        <v>40514</v>
      </c>
      <c r="AO19">
        <v>2326</v>
      </c>
      <c r="AP19">
        <v>2358</v>
      </c>
      <c r="AQ19">
        <v>3722</v>
      </c>
      <c r="AR19">
        <v>15650</v>
      </c>
      <c r="AS19">
        <v>4558</v>
      </c>
      <c r="AT19">
        <v>4266</v>
      </c>
      <c r="AU19">
        <v>4097</v>
      </c>
      <c r="AV19">
        <v>609</v>
      </c>
      <c r="AW19">
        <v>3187</v>
      </c>
      <c r="AX19">
        <v>236</v>
      </c>
      <c r="AY19">
        <v>2702</v>
      </c>
      <c r="AZ19">
        <v>17033</v>
      </c>
      <c r="BA19">
        <v>175</v>
      </c>
      <c r="BB19">
        <v>72912</v>
      </c>
      <c r="BC19">
        <v>66004</v>
      </c>
      <c r="BD19">
        <v>1116</v>
      </c>
      <c r="BE19">
        <v>2749</v>
      </c>
      <c r="BF19">
        <v>57409</v>
      </c>
      <c r="BG19">
        <v>36438</v>
      </c>
      <c r="BH19">
        <v>283</v>
      </c>
      <c r="BI19">
        <v>24524</v>
      </c>
      <c r="BJ19">
        <v>11148</v>
      </c>
      <c r="BK19">
        <v>12017</v>
      </c>
      <c r="BL19">
        <v>8734</v>
      </c>
      <c r="BM19">
        <v>8574</v>
      </c>
      <c r="BN19">
        <v>8198</v>
      </c>
      <c r="BO19">
        <v>5403</v>
      </c>
      <c r="BP19">
        <v>17653</v>
      </c>
      <c r="BQ19">
        <v>5720</v>
      </c>
      <c r="BR19">
        <v>3767</v>
      </c>
      <c r="BS19">
        <v>12292</v>
      </c>
      <c r="BT19">
        <v>1419</v>
      </c>
      <c r="BU19">
        <v>10653</v>
      </c>
      <c r="BV19">
        <v>4037</v>
      </c>
      <c r="BW19">
        <v>3143</v>
      </c>
      <c r="BX19">
        <v>48</v>
      </c>
    </row>
    <row r="20" spans="1:76">
      <c r="A20" s="1">
        <v>1091</v>
      </c>
      <c r="B20" s="3" t="s">
        <v>67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26</v>
      </c>
      <c r="H20" s="1">
        <v>61</v>
      </c>
      <c r="I20" s="1" t="s">
        <v>27</v>
      </c>
      <c r="J20" s="1" t="s">
        <v>28</v>
      </c>
      <c r="K20" s="1">
        <v>33.799999999999997</v>
      </c>
      <c r="L20" s="1" t="s">
        <v>29</v>
      </c>
      <c r="M20" s="1"/>
      <c r="N20" s="1" t="s">
        <v>29</v>
      </c>
      <c r="O20" s="1" t="s">
        <v>29</v>
      </c>
      <c r="P20" s="1"/>
      <c r="Q20" s="1" t="s">
        <v>34</v>
      </c>
      <c r="R20" s="1" t="s">
        <v>29</v>
      </c>
      <c r="S20" s="1" t="s">
        <v>34</v>
      </c>
      <c r="T20" s="1" t="s">
        <v>29</v>
      </c>
      <c r="U20" s="1" t="s">
        <v>29</v>
      </c>
      <c r="V20" s="1" t="s">
        <v>29</v>
      </c>
      <c r="W20" s="1" t="s">
        <v>29</v>
      </c>
      <c r="X20" t="s">
        <v>195</v>
      </c>
      <c r="Y20">
        <v>219518</v>
      </c>
      <c r="Z20">
        <v>216315</v>
      </c>
      <c r="AA20">
        <v>196851</v>
      </c>
      <c r="AB20">
        <v>93614</v>
      </c>
      <c r="AC20">
        <v>353</v>
      </c>
      <c r="AD20">
        <v>353</v>
      </c>
      <c r="AE20">
        <v>336</v>
      </c>
      <c r="AF20">
        <v>330</v>
      </c>
      <c r="AG20">
        <v>328</v>
      </c>
      <c r="AH20">
        <v>185</v>
      </c>
      <c r="AI20">
        <v>19</v>
      </c>
      <c r="AJ20">
        <v>0</v>
      </c>
      <c r="AK20">
        <v>0</v>
      </c>
      <c r="AL20">
        <v>34564</v>
      </c>
      <c r="AM20">
        <v>4324</v>
      </c>
      <c r="AN20">
        <v>29353</v>
      </c>
      <c r="AO20">
        <v>683</v>
      </c>
      <c r="AP20">
        <v>2649</v>
      </c>
      <c r="AQ20">
        <v>6757</v>
      </c>
      <c r="AR20">
        <v>11811</v>
      </c>
      <c r="AS20">
        <v>10308</v>
      </c>
      <c r="AT20">
        <v>10065</v>
      </c>
      <c r="AU20">
        <v>1695</v>
      </c>
      <c r="AV20">
        <v>250</v>
      </c>
      <c r="AW20">
        <v>1293</v>
      </c>
      <c r="AX20">
        <v>116</v>
      </c>
      <c r="AY20">
        <v>901</v>
      </c>
      <c r="AZ20">
        <v>13136</v>
      </c>
      <c r="BA20">
        <v>123</v>
      </c>
      <c r="BB20">
        <v>57919</v>
      </c>
      <c r="BC20">
        <v>55364</v>
      </c>
      <c r="BD20">
        <v>253</v>
      </c>
      <c r="BE20">
        <v>356</v>
      </c>
      <c r="BF20">
        <v>53436</v>
      </c>
      <c r="BG20">
        <v>38925</v>
      </c>
      <c r="BH20">
        <v>91</v>
      </c>
      <c r="BI20">
        <v>26088</v>
      </c>
      <c r="BJ20">
        <v>5447</v>
      </c>
      <c r="BK20">
        <v>18128</v>
      </c>
      <c r="BL20">
        <v>9765</v>
      </c>
      <c r="BM20">
        <v>9624</v>
      </c>
      <c r="BN20">
        <v>2212</v>
      </c>
      <c r="BO20">
        <v>829</v>
      </c>
      <c r="BP20">
        <v>12392</v>
      </c>
      <c r="BQ20">
        <v>1112</v>
      </c>
      <c r="BR20">
        <v>170</v>
      </c>
      <c r="BS20">
        <v>3140</v>
      </c>
      <c r="BT20">
        <v>1220</v>
      </c>
      <c r="BU20">
        <v>1625</v>
      </c>
      <c r="BV20">
        <v>8487</v>
      </c>
      <c r="BW20">
        <v>5886</v>
      </c>
      <c r="BX20">
        <v>123</v>
      </c>
    </row>
    <row r="21" spans="1:76">
      <c r="A21" s="1">
        <v>1047</v>
      </c>
      <c r="B21" s="3" t="s">
        <v>57</v>
      </c>
      <c r="C21" s="1" t="s">
        <v>24</v>
      </c>
      <c r="D21" s="1" t="s">
        <v>25</v>
      </c>
      <c r="E21" s="1" t="s">
        <v>24</v>
      </c>
      <c r="F21" s="1" t="s">
        <v>24</v>
      </c>
      <c r="G21" s="1" t="s">
        <v>32</v>
      </c>
      <c r="H21" s="1">
        <v>69</v>
      </c>
      <c r="I21" s="1" t="s">
        <v>27</v>
      </c>
      <c r="J21" s="1" t="s">
        <v>28</v>
      </c>
      <c r="K21" s="1">
        <v>23.5</v>
      </c>
      <c r="L21" s="1" t="s">
        <v>29</v>
      </c>
      <c r="M21" s="1"/>
      <c r="N21" s="1" t="s">
        <v>29</v>
      </c>
      <c r="O21" s="1" t="s">
        <v>29</v>
      </c>
      <c r="P21" s="1"/>
      <c r="Q21" s="1" t="s">
        <v>34</v>
      </c>
      <c r="R21" s="1" t="s">
        <v>29</v>
      </c>
      <c r="S21" s="1" t="s">
        <v>34</v>
      </c>
      <c r="T21" s="1" t="s">
        <v>29</v>
      </c>
      <c r="U21" s="1" t="s">
        <v>29</v>
      </c>
      <c r="V21" s="1" t="s">
        <v>29</v>
      </c>
      <c r="W21" s="1" t="s">
        <v>29</v>
      </c>
      <c r="X21" t="s">
        <v>185</v>
      </c>
      <c r="Y21">
        <v>78807</v>
      </c>
      <c r="Z21">
        <v>74432</v>
      </c>
      <c r="AA21">
        <v>72740</v>
      </c>
      <c r="AB21">
        <v>51195</v>
      </c>
      <c r="AC21">
        <v>531</v>
      </c>
      <c r="AD21">
        <v>515</v>
      </c>
      <c r="AE21">
        <v>491</v>
      </c>
      <c r="AF21">
        <v>488</v>
      </c>
      <c r="AG21">
        <v>487</v>
      </c>
      <c r="AH21">
        <v>167</v>
      </c>
      <c r="AI21">
        <v>256</v>
      </c>
      <c r="AJ21">
        <v>11</v>
      </c>
      <c r="AK21">
        <v>6</v>
      </c>
      <c r="AL21">
        <v>33201</v>
      </c>
      <c r="AM21">
        <v>2892</v>
      </c>
      <c r="AN21">
        <v>28840</v>
      </c>
      <c r="AO21">
        <v>1075</v>
      </c>
      <c r="AP21">
        <v>491</v>
      </c>
      <c r="AQ21">
        <v>4550</v>
      </c>
      <c r="AR21">
        <v>13389</v>
      </c>
      <c r="AS21">
        <v>4064</v>
      </c>
      <c r="AT21">
        <v>3859</v>
      </c>
      <c r="AU21">
        <v>5159</v>
      </c>
      <c r="AV21">
        <v>485</v>
      </c>
      <c r="AW21">
        <v>3925</v>
      </c>
      <c r="AX21">
        <v>111</v>
      </c>
      <c r="AY21">
        <v>3465</v>
      </c>
      <c r="AZ21">
        <v>8058</v>
      </c>
      <c r="BA21">
        <v>81</v>
      </c>
      <c r="BB21">
        <v>16336</v>
      </c>
      <c r="BC21">
        <v>15513</v>
      </c>
      <c r="BD21">
        <v>199</v>
      </c>
      <c r="BE21">
        <v>133</v>
      </c>
      <c r="BF21">
        <v>14466</v>
      </c>
      <c r="BG21">
        <v>7424</v>
      </c>
      <c r="BH21">
        <v>187</v>
      </c>
      <c r="BI21">
        <v>3483</v>
      </c>
      <c r="BJ21">
        <v>714</v>
      </c>
      <c r="BK21">
        <v>2585</v>
      </c>
      <c r="BL21">
        <v>3166</v>
      </c>
      <c r="BM21">
        <v>3130</v>
      </c>
      <c r="BN21">
        <v>690</v>
      </c>
      <c r="BO21">
        <v>136</v>
      </c>
      <c r="BP21">
        <v>5861</v>
      </c>
      <c r="BQ21">
        <v>1647</v>
      </c>
      <c r="BR21">
        <v>146</v>
      </c>
      <c r="BS21">
        <v>1485</v>
      </c>
      <c r="BT21">
        <v>621</v>
      </c>
      <c r="BU21">
        <v>786</v>
      </c>
      <c r="BV21">
        <v>3817</v>
      </c>
      <c r="BW21">
        <v>3168</v>
      </c>
      <c r="BX21">
        <v>16</v>
      </c>
    </row>
    <row r="22" spans="1:76">
      <c r="A22" s="1">
        <v>1210</v>
      </c>
      <c r="B22" s="3" t="s">
        <v>80</v>
      </c>
      <c r="C22" s="1" t="s">
        <v>25</v>
      </c>
      <c r="D22" s="1" t="s">
        <v>24</v>
      </c>
      <c r="E22" s="1" t="s">
        <v>24</v>
      </c>
      <c r="F22" s="1" t="s">
        <v>24</v>
      </c>
      <c r="G22" s="1" t="s">
        <v>32</v>
      </c>
      <c r="H22" s="1">
        <v>59</v>
      </c>
      <c r="I22" s="1" t="s">
        <v>27</v>
      </c>
      <c r="J22" s="1" t="s">
        <v>28</v>
      </c>
      <c r="K22" s="1">
        <v>27.5</v>
      </c>
      <c r="L22" s="1" t="s">
        <v>29</v>
      </c>
      <c r="M22" s="1"/>
      <c r="N22" s="1" t="s">
        <v>29</v>
      </c>
      <c r="O22" s="1" t="s">
        <v>29</v>
      </c>
      <c r="P22" s="1"/>
      <c r="Q22" s="1" t="s">
        <v>34</v>
      </c>
      <c r="R22" s="1" t="s">
        <v>29</v>
      </c>
      <c r="S22" s="1" t="s">
        <v>34</v>
      </c>
      <c r="T22" s="1" t="s">
        <v>29</v>
      </c>
      <c r="U22" s="1" t="s">
        <v>29</v>
      </c>
      <c r="V22" s="1" t="s">
        <v>29</v>
      </c>
      <c r="W22" s="1" t="s">
        <v>29</v>
      </c>
      <c r="X22" t="s">
        <v>228</v>
      </c>
      <c r="Y22">
        <v>66184</v>
      </c>
      <c r="Z22">
        <v>59940</v>
      </c>
      <c r="AA22">
        <v>58794</v>
      </c>
      <c r="AB22">
        <v>20753</v>
      </c>
      <c r="AC22">
        <v>432</v>
      </c>
      <c r="AD22">
        <v>422</v>
      </c>
      <c r="AE22">
        <v>396</v>
      </c>
      <c r="AF22">
        <v>395</v>
      </c>
      <c r="AG22">
        <v>393</v>
      </c>
      <c r="AH22">
        <v>147</v>
      </c>
      <c r="AI22">
        <v>186</v>
      </c>
      <c r="AJ22">
        <v>2</v>
      </c>
      <c r="AK22">
        <v>4</v>
      </c>
      <c r="AL22">
        <v>10268</v>
      </c>
      <c r="AM22">
        <v>4359</v>
      </c>
      <c r="AN22">
        <v>5368</v>
      </c>
      <c r="AO22">
        <v>203</v>
      </c>
      <c r="AP22">
        <v>30</v>
      </c>
      <c r="AQ22">
        <v>123</v>
      </c>
      <c r="AR22">
        <v>1915</v>
      </c>
      <c r="AS22">
        <v>605</v>
      </c>
      <c r="AT22">
        <v>560</v>
      </c>
      <c r="AU22">
        <v>1231</v>
      </c>
      <c r="AV22">
        <v>279</v>
      </c>
      <c r="AW22">
        <v>661</v>
      </c>
      <c r="AX22">
        <v>40</v>
      </c>
      <c r="AY22">
        <v>594</v>
      </c>
      <c r="AZ22">
        <v>1435</v>
      </c>
      <c r="BA22">
        <v>20</v>
      </c>
      <c r="BB22">
        <v>9664</v>
      </c>
      <c r="BC22">
        <v>9186</v>
      </c>
      <c r="BD22">
        <v>30</v>
      </c>
      <c r="BE22">
        <v>45</v>
      </c>
      <c r="BF22">
        <v>8927</v>
      </c>
      <c r="BG22">
        <v>5747</v>
      </c>
      <c r="BH22">
        <v>30</v>
      </c>
      <c r="BI22">
        <v>3604</v>
      </c>
      <c r="BJ22">
        <v>701</v>
      </c>
      <c r="BK22">
        <v>2546</v>
      </c>
      <c r="BL22">
        <v>1653</v>
      </c>
      <c r="BM22">
        <v>1594</v>
      </c>
      <c r="BN22">
        <v>416</v>
      </c>
      <c r="BO22">
        <v>103</v>
      </c>
      <c r="BP22">
        <v>2729</v>
      </c>
      <c r="BQ22">
        <v>1005</v>
      </c>
      <c r="BR22">
        <v>79</v>
      </c>
      <c r="BS22">
        <v>765</v>
      </c>
      <c r="BT22">
        <v>259</v>
      </c>
      <c r="BU22">
        <v>427</v>
      </c>
      <c r="BV22">
        <v>1883</v>
      </c>
      <c r="BW22">
        <v>1577</v>
      </c>
      <c r="BX22">
        <v>5</v>
      </c>
    </row>
    <row r="23" spans="1:76">
      <c r="A23" s="1">
        <v>1155</v>
      </c>
      <c r="B23" s="3" t="s">
        <v>80</v>
      </c>
      <c r="C23" s="1" t="s">
        <v>25</v>
      </c>
      <c r="D23" s="1" t="s">
        <v>24</v>
      </c>
      <c r="E23" s="1" t="s">
        <v>24</v>
      </c>
      <c r="F23" s="1" t="s">
        <v>24</v>
      </c>
      <c r="G23" s="1" t="s">
        <v>32</v>
      </c>
      <c r="H23" s="1">
        <v>89</v>
      </c>
      <c r="I23" s="1" t="s">
        <v>27</v>
      </c>
      <c r="J23" s="1" t="s">
        <v>28</v>
      </c>
      <c r="K23" s="1">
        <v>22.8</v>
      </c>
      <c r="L23" s="1" t="s">
        <v>29</v>
      </c>
      <c r="M23" s="1"/>
      <c r="N23" s="1" t="s">
        <v>34</v>
      </c>
      <c r="O23" s="1" t="s">
        <v>29</v>
      </c>
      <c r="P23" s="1"/>
      <c r="Q23" s="1" t="s">
        <v>34</v>
      </c>
      <c r="R23" s="1" t="s">
        <v>29</v>
      </c>
      <c r="S23" s="1" t="s">
        <v>34</v>
      </c>
      <c r="T23" s="1" t="s">
        <v>34</v>
      </c>
      <c r="U23" s="1" t="s">
        <v>29</v>
      </c>
      <c r="V23" s="1" t="s">
        <v>29</v>
      </c>
      <c r="W23" s="1" t="s">
        <v>29</v>
      </c>
      <c r="X23" t="s">
        <v>209</v>
      </c>
      <c r="Y23">
        <v>348111</v>
      </c>
      <c r="Z23">
        <v>320999</v>
      </c>
      <c r="AA23">
        <v>317961</v>
      </c>
      <c r="AB23">
        <v>189871</v>
      </c>
      <c r="AC23">
        <v>681</v>
      </c>
      <c r="AD23">
        <v>661</v>
      </c>
      <c r="AE23">
        <v>641</v>
      </c>
      <c r="AF23">
        <v>635</v>
      </c>
      <c r="AG23">
        <v>632</v>
      </c>
      <c r="AH23">
        <v>223</v>
      </c>
      <c r="AI23">
        <v>292</v>
      </c>
      <c r="AJ23">
        <v>1</v>
      </c>
      <c r="AK23">
        <v>2</v>
      </c>
      <c r="AL23">
        <v>74044</v>
      </c>
      <c r="AM23">
        <v>13874</v>
      </c>
      <c r="AN23">
        <v>59298</v>
      </c>
      <c r="AO23">
        <v>2902</v>
      </c>
      <c r="AP23">
        <v>3767</v>
      </c>
      <c r="AQ23">
        <v>4702</v>
      </c>
      <c r="AR23">
        <v>34939</v>
      </c>
      <c r="AS23">
        <v>4768</v>
      </c>
      <c r="AT23">
        <v>686</v>
      </c>
      <c r="AU23">
        <v>6655</v>
      </c>
      <c r="AV23">
        <v>2254</v>
      </c>
      <c r="AW23">
        <v>3526</v>
      </c>
      <c r="AX23">
        <v>361</v>
      </c>
      <c r="AY23">
        <v>2871</v>
      </c>
      <c r="AZ23">
        <v>15353</v>
      </c>
      <c r="BA23">
        <v>125</v>
      </c>
      <c r="BB23">
        <v>113906</v>
      </c>
      <c r="BC23">
        <v>104450</v>
      </c>
      <c r="BD23">
        <v>943</v>
      </c>
      <c r="BE23">
        <v>1434</v>
      </c>
      <c r="BF23">
        <v>98560</v>
      </c>
      <c r="BG23">
        <v>71002</v>
      </c>
      <c r="BH23">
        <v>163</v>
      </c>
      <c r="BI23">
        <v>41835</v>
      </c>
      <c r="BJ23">
        <v>10625</v>
      </c>
      <c r="BK23">
        <v>27403</v>
      </c>
      <c r="BL23">
        <v>22552</v>
      </c>
      <c r="BM23">
        <v>21350</v>
      </c>
      <c r="BN23">
        <v>3133</v>
      </c>
      <c r="BO23">
        <v>453</v>
      </c>
      <c r="BP23">
        <v>24339</v>
      </c>
      <c r="BQ23">
        <v>2576</v>
      </c>
      <c r="BR23">
        <v>143</v>
      </c>
      <c r="BS23">
        <v>2919</v>
      </c>
      <c r="BT23">
        <v>874</v>
      </c>
      <c r="BU23">
        <v>1808</v>
      </c>
      <c r="BV23">
        <v>20550</v>
      </c>
      <c r="BW23">
        <v>9545</v>
      </c>
      <c r="BX23">
        <v>535</v>
      </c>
    </row>
    <row r="24" spans="1:76">
      <c r="A24" s="1">
        <v>1169</v>
      </c>
      <c r="B24" s="3" t="s">
        <v>80</v>
      </c>
      <c r="C24" s="1" t="s">
        <v>25</v>
      </c>
      <c r="D24" s="1" t="s">
        <v>24</v>
      </c>
      <c r="E24" s="1" t="s">
        <v>24</v>
      </c>
      <c r="F24" s="1" t="s">
        <v>24</v>
      </c>
      <c r="G24" s="1" t="s">
        <v>26</v>
      </c>
      <c r="H24" s="1">
        <v>58</v>
      </c>
      <c r="I24" s="1" t="s">
        <v>27</v>
      </c>
      <c r="J24" s="1" t="s">
        <v>84</v>
      </c>
      <c r="K24" s="1">
        <v>47</v>
      </c>
      <c r="L24" s="1" t="s">
        <v>29</v>
      </c>
      <c r="M24" s="1"/>
      <c r="N24" s="1" t="s">
        <v>34</v>
      </c>
      <c r="O24" s="1" t="s">
        <v>29</v>
      </c>
      <c r="P24" s="1"/>
      <c r="Q24" s="1" t="s">
        <v>34</v>
      </c>
      <c r="R24" s="1" t="s">
        <v>29</v>
      </c>
      <c r="S24" s="1" t="s">
        <v>34</v>
      </c>
      <c r="T24" s="1" t="s">
        <v>29</v>
      </c>
      <c r="U24" s="1" t="s">
        <v>29</v>
      </c>
      <c r="V24" s="1" t="s">
        <v>29</v>
      </c>
      <c r="W24" s="1" t="s">
        <v>29</v>
      </c>
      <c r="X24" t="s">
        <v>220</v>
      </c>
      <c r="Y24">
        <v>123596</v>
      </c>
      <c r="Z24">
        <v>120354</v>
      </c>
      <c r="AA24">
        <v>110696</v>
      </c>
      <c r="AB24">
        <v>48343</v>
      </c>
      <c r="AC24">
        <v>310</v>
      </c>
      <c r="AD24">
        <v>246</v>
      </c>
      <c r="AE24">
        <v>238</v>
      </c>
      <c r="AF24">
        <v>238</v>
      </c>
      <c r="AG24">
        <v>238</v>
      </c>
      <c r="AH24">
        <v>50</v>
      </c>
      <c r="AI24">
        <v>152</v>
      </c>
      <c r="AJ24">
        <v>5</v>
      </c>
      <c r="AK24">
        <v>1</v>
      </c>
      <c r="AL24">
        <v>23706</v>
      </c>
      <c r="AM24">
        <v>6770</v>
      </c>
      <c r="AN24">
        <v>16594</v>
      </c>
      <c r="AO24">
        <v>673</v>
      </c>
      <c r="AP24">
        <v>994</v>
      </c>
      <c r="AQ24">
        <v>4092</v>
      </c>
      <c r="AR24">
        <v>1450</v>
      </c>
      <c r="AS24">
        <v>885</v>
      </c>
      <c r="AT24">
        <v>857</v>
      </c>
      <c r="AU24">
        <v>2518</v>
      </c>
      <c r="AV24">
        <v>321</v>
      </c>
      <c r="AW24">
        <v>1404</v>
      </c>
      <c r="AX24">
        <v>513</v>
      </c>
      <c r="AY24">
        <v>376</v>
      </c>
      <c r="AZ24">
        <v>9823</v>
      </c>
      <c r="BA24">
        <v>72</v>
      </c>
      <c r="BB24">
        <v>23327</v>
      </c>
      <c r="BC24">
        <v>13636</v>
      </c>
      <c r="BD24">
        <v>86</v>
      </c>
      <c r="BE24">
        <v>40</v>
      </c>
      <c r="BF24">
        <v>13287</v>
      </c>
      <c r="BG24">
        <v>8815</v>
      </c>
      <c r="BH24">
        <v>24</v>
      </c>
      <c r="BI24">
        <v>2173</v>
      </c>
      <c r="BJ24">
        <v>593</v>
      </c>
      <c r="BK24">
        <v>1431</v>
      </c>
      <c r="BL24">
        <v>6023</v>
      </c>
      <c r="BM24">
        <v>5504</v>
      </c>
      <c r="BN24">
        <v>291</v>
      </c>
      <c r="BO24">
        <v>70</v>
      </c>
      <c r="BP24">
        <v>3987</v>
      </c>
      <c r="BQ24">
        <v>335</v>
      </c>
      <c r="BR24">
        <v>43</v>
      </c>
      <c r="BS24">
        <v>1291</v>
      </c>
      <c r="BT24">
        <v>211</v>
      </c>
      <c r="BU24">
        <v>1000</v>
      </c>
      <c r="BV24">
        <v>2493</v>
      </c>
      <c r="BW24">
        <v>1487</v>
      </c>
      <c r="BX24">
        <v>11</v>
      </c>
    </row>
    <row r="25" spans="1:76">
      <c r="A25" s="1">
        <v>1156</v>
      </c>
      <c r="B25" s="3" t="s">
        <v>85</v>
      </c>
      <c r="C25" s="1" t="s">
        <v>25</v>
      </c>
      <c r="D25" s="1" t="s">
        <v>25</v>
      </c>
      <c r="E25" s="1" t="s">
        <v>24</v>
      </c>
      <c r="F25" s="1" t="s">
        <v>24</v>
      </c>
      <c r="G25" s="1" t="s">
        <v>26</v>
      </c>
      <c r="H25" s="1">
        <v>78</v>
      </c>
      <c r="I25" s="1" t="s">
        <v>27</v>
      </c>
      <c r="J25" s="1" t="s">
        <v>28</v>
      </c>
      <c r="K25" s="1">
        <v>26.9</v>
      </c>
      <c r="L25" s="1" t="s">
        <v>29</v>
      </c>
      <c r="M25" s="1"/>
      <c r="N25" s="1" t="s">
        <v>29</v>
      </c>
      <c r="O25" s="1" t="s">
        <v>29</v>
      </c>
      <c r="P25" s="1"/>
      <c r="Q25" s="1" t="s">
        <v>34</v>
      </c>
      <c r="R25" s="1" t="s">
        <v>29</v>
      </c>
      <c r="S25" s="1" t="s">
        <v>34</v>
      </c>
      <c r="T25" s="1" t="s">
        <v>29</v>
      </c>
      <c r="U25" s="1" t="s">
        <v>29</v>
      </c>
      <c r="V25" s="1" t="s">
        <v>29</v>
      </c>
      <c r="W25" s="1" t="s">
        <v>29</v>
      </c>
      <c r="X25" t="s">
        <v>210</v>
      </c>
      <c r="Y25">
        <v>94953</v>
      </c>
      <c r="Z25">
        <v>87185</v>
      </c>
      <c r="AA25">
        <v>85970</v>
      </c>
      <c r="AB25">
        <v>55444</v>
      </c>
      <c r="AC25">
        <v>641</v>
      </c>
      <c r="AD25">
        <v>615</v>
      </c>
      <c r="AE25">
        <v>564</v>
      </c>
      <c r="AF25">
        <v>557</v>
      </c>
      <c r="AG25">
        <v>549</v>
      </c>
      <c r="AH25">
        <v>152</v>
      </c>
      <c r="AI25">
        <v>334</v>
      </c>
      <c r="AJ25">
        <v>64</v>
      </c>
      <c r="AK25">
        <v>12</v>
      </c>
      <c r="AL25">
        <v>26662</v>
      </c>
      <c r="AM25">
        <v>6097</v>
      </c>
      <c r="AN25">
        <v>19150</v>
      </c>
      <c r="AO25">
        <v>1374</v>
      </c>
      <c r="AP25">
        <v>2846</v>
      </c>
      <c r="AQ25">
        <v>2831</v>
      </c>
      <c r="AR25">
        <v>9192</v>
      </c>
      <c r="AS25">
        <v>4548</v>
      </c>
      <c r="AT25">
        <v>4358</v>
      </c>
      <c r="AU25">
        <v>2090</v>
      </c>
      <c r="AV25">
        <v>269</v>
      </c>
      <c r="AW25">
        <v>1412</v>
      </c>
      <c r="AX25">
        <v>172</v>
      </c>
      <c r="AY25">
        <v>1162</v>
      </c>
      <c r="AZ25">
        <v>6759</v>
      </c>
      <c r="BA25">
        <v>72</v>
      </c>
      <c r="BB25">
        <v>26319</v>
      </c>
      <c r="BC25">
        <v>24480</v>
      </c>
      <c r="BD25">
        <v>319</v>
      </c>
      <c r="BE25">
        <v>271</v>
      </c>
      <c r="BF25">
        <v>22811</v>
      </c>
      <c r="BG25">
        <v>18172</v>
      </c>
      <c r="BH25">
        <v>338</v>
      </c>
      <c r="BI25">
        <v>8746</v>
      </c>
      <c r="BJ25">
        <v>4190</v>
      </c>
      <c r="BK25">
        <v>3967</v>
      </c>
      <c r="BL25">
        <v>7403</v>
      </c>
      <c r="BM25">
        <v>7256</v>
      </c>
      <c r="BN25">
        <v>4061</v>
      </c>
      <c r="BO25">
        <v>2269</v>
      </c>
      <c r="BP25">
        <v>3721</v>
      </c>
      <c r="BQ25">
        <v>2150</v>
      </c>
      <c r="BR25">
        <v>963</v>
      </c>
      <c r="BS25">
        <v>766</v>
      </c>
      <c r="BT25">
        <v>226</v>
      </c>
      <c r="BU25">
        <v>519</v>
      </c>
      <c r="BV25">
        <v>2396</v>
      </c>
      <c r="BW25">
        <v>1824</v>
      </c>
      <c r="BX25">
        <v>15</v>
      </c>
    </row>
    <row r="26" spans="1:76">
      <c r="A26" s="1">
        <v>1162</v>
      </c>
      <c r="B26" s="3" t="s">
        <v>91</v>
      </c>
      <c r="C26" s="1" t="s">
        <v>25</v>
      </c>
      <c r="D26" s="1" t="s">
        <v>24</v>
      </c>
      <c r="E26" s="1" t="s">
        <v>24</v>
      </c>
      <c r="F26" s="1" t="s">
        <v>24</v>
      </c>
      <c r="G26" s="1" t="s">
        <v>32</v>
      </c>
      <c r="H26" s="1">
        <v>53</v>
      </c>
      <c r="I26" s="1" t="s">
        <v>27</v>
      </c>
      <c r="J26" s="1" t="s">
        <v>28</v>
      </c>
      <c r="K26" s="1">
        <v>30.1</v>
      </c>
      <c r="L26" s="1" t="s">
        <v>29</v>
      </c>
      <c r="M26" s="1"/>
      <c r="N26" s="1" t="s">
        <v>29</v>
      </c>
      <c r="O26" s="1" t="s">
        <v>29</v>
      </c>
      <c r="P26" s="1"/>
      <c r="Q26" s="1" t="s">
        <v>34</v>
      </c>
      <c r="R26" s="1" t="s">
        <v>29</v>
      </c>
      <c r="S26" s="1" t="s">
        <v>34</v>
      </c>
      <c r="T26" s="1" t="s">
        <v>29</v>
      </c>
      <c r="U26" s="1" t="s">
        <v>29</v>
      </c>
      <c r="V26" s="1" t="s">
        <v>29</v>
      </c>
      <c r="W26" s="1" t="s">
        <v>29</v>
      </c>
      <c r="X26" t="s">
        <v>215</v>
      </c>
      <c r="Y26">
        <v>135286</v>
      </c>
      <c r="Z26">
        <v>129503</v>
      </c>
      <c r="AA26">
        <v>117499</v>
      </c>
      <c r="AB26">
        <v>71413</v>
      </c>
      <c r="AC26">
        <v>640</v>
      </c>
      <c r="AD26">
        <v>632</v>
      </c>
      <c r="AE26">
        <v>601</v>
      </c>
      <c r="AF26">
        <v>600</v>
      </c>
      <c r="AG26">
        <v>599</v>
      </c>
      <c r="AH26">
        <v>260</v>
      </c>
      <c r="AI26">
        <v>255</v>
      </c>
      <c r="AJ26">
        <v>5</v>
      </c>
      <c r="AK26">
        <v>2</v>
      </c>
      <c r="AL26">
        <v>42949</v>
      </c>
      <c r="AM26">
        <v>5080</v>
      </c>
      <c r="AN26">
        <v>36468</v>
      </c>
      <c r="AO26">
        <v>982</v>
      </c>
      <c r="AP26">
        <v>871</v>
      </c>
      <c r="AQ26">
        <v>2221</v>
      </c>
      <c r="AR26">
        <v>16155</v>
      </c>
      <c r="AS26">
        <v>6379</v>
      </c>
      <c r="AT26">
        <v>6188</v>
      </c>
      <c r="AU26">
        <v>6344</v>
      </c>
      <c r="AV26">
        <v>829</v>
      </c>
      <c r="AW26">
        <v>4552</v>
      </c>
      <c r="AX26">
        <v>20</v>
      </c>
      <c r="AY26">
        <v>4315</v>
      </c>
      <c r="AZ26">
        <v>11021</v>
      </c>
      <c r="BA26">
        <v>148</v>
      </c>
      <c r="BB26">
        <v>26899</v>
      </c>
      <c r="BC26">
        <v>24696</v>
      </c>
      <c r="BD26">
        <v>424</v>
      </c>
      <c r="BE26">
        <v>141</v>
      </c>
      <c r="BF26">
        <v>22934</v>
      </c>
      <c r="BG26">
        <v>11778</v>
      </c>
      <c r="BH26">
        <v>115</v>
      </c>
      <c r="BI26">
        <v>5611</v>
      </c>
      <c r="BJ26">
        <v>1616</v>
      </c>
      <c r="BK26">
        <v>3757</v>
      </c>
      <c r="BL26">
        <v>5308</v>
      </c>
      <c r="BM26">
        <v>5280</v>
      </c>
      <c r="BN26">
        <v>1356</v>
      </c>
      <c r="BO26">
        <v>692</v>
      </c>
      <c r="BP26">
        <v>9307</v>
      </c>
      <c r="BQ26">
        <v>3025</v>
      </c>
      <c r="BR26">
        <v>406</v>
      </c>
      <c r="BS26">
        <v>2138</v>
      </c>
      <c r="BT26">
        <v>799</v>
      </c>
      <c r="BU26">
        <v>1300</v>
      </c>
      <c r="BV26">
        <v>6817</v>
      </c>
      <c r="BW26">
        <v>5862</v>
      </c>
      <c r="BX26">
        <v>20</v>
      </c>
    </row>
    <row r="27" spans="1:76">
      <c r="A27" s="1">
        <v>1121</v>
      </c>
      <c r="B27" s="3" t="s">
        <v>75</v>
      </c>
      <c r="C27" s="1" t="s">
        <v>25</v>
      </c>
      <c r="D27" s="1" t="s">
        <v>24</v>
      </c>
      <c r="E27" s="1" t="s">
        <v>24</v>
      </c>
      <c r="F27" s="1" t="s">
        <v>24</v>
      </c>
      <c r="G27" s="1" t="s">
        <v>32</v>
      </c>
      <c r="H27" s="1">
        <v>69</v>
      </c>
      <c r="I27" s="1" t="s">
        <v>27</v>
      </c>
      <c r="J27" s="1" t="s">
        <v>76</v>
      </c>
      <c r="K27" s="1">
        <v>22</v>
      </c>
      <c r="L27" s="1" t="s">
        <v>29</v>
      </c>
      <c r="M27" s="1"/>
      <c r="N27" s="1" t="s">
        <v>34</v>
      </c>
      <c r="O27" s="1" t="s">
        <v>29</v>
      </c>
      <c r="P27" s="1"/>
      <c r="Q27" s="1" t="s">
        <v>34</v>
      </c>
      <c r="R27" s="1" t="s">
        <v>29</v>
      </c>
      <c r="S27" s="1" t="s">
        <v>34</v>
      </c>
      <c r="T27" s="1" t="s">
        <v>29</v>
      </c>
      <c r="U27" s="1" t="s">
        <v>29</v>
      </c>
      <c r="V27" s="1" t="s">
        <v>29</v>
      </c>
      <c r="W27" s="1" t="s">
        <v>29</v>
      </c>
      <c r="X27" t="s">
        <v>202</v>
      </c>
      <c r="Y27">
        <v>205943</v>
      </c>
      <c r="Z27">
        <v>200135</v>
      </c>
      <c r="AA27">
        <v>194780</v>
      </c>
      <c r="AB27">
        <v>141444</v>
      </c>
      <c r="AC27">
        <v>200</v>
      </c>
      <c r="AD27">
        <v>200</v>
      </c>
      <c r="AE27">
        <v>182</v>
      </c>
      <c r="AF27">
        <v>181</v>
      </c>
      <c r="AG27">
        <v>179</v>
      </c>
      <c r="AH27">
        <v>74</v>
      </c>
      <c r="AI27">
        <v>68</v>
      </c>
      <c r="AJ27">
        <v>0</v>
      </c>
      <c r="AK27">
        <v>6</v>
      </c>
      <c r="AL27">
        <v>73229</v>
      </c>
      <c r="AM27">
        <v>14299</v>
      </c>
      <c r="AN27">
        <v>57956</v>
      </c>
      <c r="AO27">
        <v>2701</v>
      </c>
      <c r="AP27">
        <v>1530</v>
      </c>
      <c r="AQ27">
        <v>5493</v>
      </c>
      <c r="AR27">
        <v>27346</v>
      </c>
      <c r="AS27">
        <v>8684</v>
      </c>
      <c r="AT27">
        <v>8235</v>
      </c>
      <c r="AU27">
        <v>5591</v>
      </c>
      <c r="AV27">
        <v>631</v>
      </c>
      <c r="AW27">
        <v>4571</v>
      </c>
      <c r="AX27">
        <v>1610</v>
      </c>
      <c r="AY27">
        <v>2299</v>
      </c>
      <c r="AZ27">
        <v>22117</v>
      </c>
      <c r="BA27">
        <v>169</v>
      </c>
      <c r="BB27">
        <v>66838</v>
      </c>
      <c r="BC27">
        <v>63745</v>
      </c>
      <c r="BD27">
        <v>75</v>
      </c>
      <c r="BE27">
        <v>135</v>
      </c>
      <c r="BF27">
        <v>63066</v>
      </c>
      <c r="BG27">
        <v>29342</v>
      </c>
      <c r="BH27">
        <v>372</v>
      </c>
      <c r="BI27">
        <v>10885</v>
      </c>
      <c r="BJ27">
        <v>2168</v>
      </c>
      <c r="BK27">
        <v>8169</v>
      </c>
      <c r="BL27">
        <v>15483</v>
      </c>
      <c r="BM27">
        <v>14999</v>
      </c>
      <c r="BN27">
        <v>5073</v>
      </c>
      <c r="BO27">
        <v>703</v>
      </c>
      <c r="BP27">
        <v>30667</v>
      </c>
      <c r="BQ27">
        <v>6092</v>
      </c>
      <c r="BR27">
        <v>646</v>
      </c>
      <c r="BS27">
        <v>1683</v>
      </c>
      <c r="BT27">
        <v>1236</v>
      </c>
      <c r="BU27">
        <v>402</v>
      </c>
      <c r="BV27">
        <v>27892</v>
      </c>
      <c r="BW27">
        <v>15173</v>
      </c>
      <c r="BX27">
        <v>32</v>
      </c>
    </row>
    <row r="28" spans="1:76">
      <c r="A28" s="1">
        <v>1026</v>
      </c>
      <c r="B28" s="3" t="s">
        <v>48</v>
      </c>
      <c r="C28" s="1" t="s">
        <v>25</v>
      </c>
      <c r="D28" s="1" t="s">
        <v>24</v>
      </c>
      <c r="E28" s="1" t="s">
        <v>24</v>
      </c>
      <c r="F28" s="1" t="s">
        <v>24</v>
      </c>
      <c r="G28" s="1" t="s">
        <v>26</v>
      </c>
      <c r="H28" s="1">
        <v>58</v>
      </c>
      <c r="I28" s="1" t="s">
        <v>49</v>
      </c>
      <c r="J28" s="1" t="s">
        <v>37</v>
      </c>
      <c r="K28" s="1">
        <v>30.7</v>
      </c>
      <c r="L28" s="1" t="s">
        <v>29</v>
      </c>
      <c r="M28" s="1"/>
      <c r="N28" s="1" t="s">
        <v>29</v>
      </c>
      <c r="O28" s="1" t="s">
        <v>29</v>
      </c>
      <c r="P28" s="1"/>
      <c r="Q28" s="1" t="s">
        <v>34</v>
      </c>
      <c r="R28" s="1" t="s">
        <v>29</v>
      </c>
      <c r="S28" s="1" t="s">
        <v>34</v>
      </c>
      <c r="T28" s="1" t="s">
        <v>29</v>
      </c>
      <c r="U28" s="1" t="s">
        <v>29</v>
      </c>
      <c r="V28" s="1" t="s">
        <v>29</v>
      </c>
      <c r="W28" s="1" t="s">
        <v>29</v>
      </c>
      <c r="X28" t="s">
        <v>179</v>
      </c>
      <c r="Y28">
        <v>259455</v>
      </c>
      <c r="Z28">
        <v>252631</v>
      </c>
      <c r="AA28">
        <v>242041</v>
      </c>
      <c r="AB28">
        <v>173053</v>
      </c>
      <c r="AC28">
        <v>348</v>
      </c>
      <c r="AD28">
        <v>337</v>
      </c>
      <c r="AE28">
        <v>316</v>
      </c>
      <c r="AF28">
        <v>313</v>
      </c>
      <c r="AG28">
        <v>311</v>
      </c>
      <c r="AH28">
        <v>145</v>
      </c>
      <c r="AI28">
        <v>142</v>
      </c>
      <c r="AJ28">
        <v>16</v>
      </c>
      <c r="AK28">
        <v>1</v>
      </c>
      <c r="AL28">
        <v>91092</v>
      </c>
      <c r="AM28">
        <v>35108</v>
      </c>
      <c r="AN28">
        <v>53897</v>
      </c>
      <c r="AO28">
        <v>4116</v>
      </c>
      <c r="AP28">
        <v>2535</v>
      </c>
      <c r="AQ28">
        <v>3082</v>
      </c>
      <c r="AR28">
        <v>18819</v>
      </c>
      <c r="AS28">
        <v>2263</v>
      </c>
      <c r="AT28">
        <v>2165</v>
      </c>
      <c r="AU28">
        <v>14814</v>
      </c>
      <c r="AV28">
        <v>2109</v>
      </c>
      <c r="AW28">
        <v>11865</v>
      </c>
      <c r="AX28">
        <v>800</v>
      </c>
      <c r="AY28">
        <v>10253</v>
      </c>
      <c r="AZ28">
        <v>16059</v>
      </c>
      <c r="BA28">
        <v>180</v>
      </c>
      <c r="BB28">
        <v>80290</v>
      </c>
      <c r="BC28">
        <v>72422</v>
      </c>
      <c r="BD28">
        <v>658</v>
      </c>
      <c r="BE28">
        <v>475</v>
      </c>
      <c r="BF28">
        <v>69674</v>
      </c>
      <c r="BG28">
        <v>47233</v>
      </c>
      <c r="BH28">
        <v>60</v>
      </c>
      <c r="BI28">
        <v>12537</v>
      </c>
      <c r="BJ28">
        <v>1468</v>
      </c>
      <c r="BK28">
        <v>10548</v>
      </c>
      <c r="BL28">
        <v>29598</v>
      </c>
      <c r="BM28">
        <v>29371</v>
      </c>
      <c r="BN28">
        <v>4043</v>
      </c>
      <c r="BO28">
        <v>788</v>
      </c>
      <c r="BP28">
        <v>19847</v>
      </c>
      <c r="BQ28">
        <v>3939</v>
      </c>
      <c r="BR28">
        <v>434</v>
      </c>
      <c r="BS28">
        <v>2247</v>
      </c>
      <c r="BT28">
        <v>1386</v>
      </c>
      <c r="BU28">
        <v>708</v>
      </c>
      <c r="BV28">
        <v>16317</v>
      </c>
      <c r="BW28">
        <v>12098</v>
      </c>
      <c r="BX28">
        <v>257</v>
      </c>
    </row>
    <row r="29" spans="1:76">
      <c r="A29" s="1">
        <v>1337</v>
      </c>
      <c r="B29" s="3" t="s">
        <v>111</v>
      </c>
      <c r="C29" s="1" t="s">
        <v>25</v>
      </c>
      <c r="D29" s="1" t="s">
        <v>24</v>
      </c>
      <c r="E29" s="1" t="s">
        <v>24</v>
      </c>
      <c r="F29" s="1" t="s">
        <v>24</v>
      </c>
      <c r="G29" s="1" t="s">
        <v>26</v>
      </c>
      <c r="H29" s="1">
        <v>34</v>
      </c>
      <c r="I29" s="1" t="s">
        <v>27</v>
      </c>
      <c r="J29" s="1" t="s">
        <v>28</v>
      </c>
      <c r="K29" s="1">
        <v>41.8</v>
      </c>
      <c r="L29" s="1" t="s">
        <v>29</v>
      </c>
      <c r="M29" s="1"/>
      <c r="N29" s="1" t="s">
        <v>34</v>
      </c>
      <c r="O29" s="1" t="s">
        <v>29</v>
      </c>
      <c r="P29" s="1"/>
      <c r="Q29" s="1" t="s">
        <v>34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 s="1" t="s">
        <v>29</v>
      </c>
      <c r="X29" t="s">
        <v>239</v>
      </c>
      <c r="Y29">
        <v>50067</v>
      </c>
      <c r="Z29">
        <v>47421</v>
      </c>
      <c r="AA29">
        <v>43820</v>
      </c>
      <c r="AB29">
        <v>22368</v>
      </c>
      <c r="AC29">
        <v>361</v>
      </c>
      <c r="AD29">
        <v>358</v>
      </c>
      <c r="AE29">
        <v>335</v>
      </c>
      <c r="AF29">
        <v>335</v>
      </c>
      <c r="AG29">
        <v>332</v>
      </c>
      <c r="AH29">
        <v>190</v>
      </c>
      <c r="AI29">
        <v>75</v>
      </c>
      <c r="AJ29">
        <v>0</v>
      </c>
      <c r="AK29">
        <v>2</v>
      </c>
      <c r="AL29">
        <v>11444</v>
      </c>
      <c r="AM29">
        <v>1689</v>
      </c>
      <c r="AN29">
        <v>9435</v>
      </c>
      <c r="AO29">
        <v>314</v>
      </c>
      <c r="AP29">
        <v>58</v>
      </c>
      <c r="AQ29">
        <v>203</v>
      </c>
      <c r="AR29">
        <v>3044</v>
      </c>
      <c r="AS29">
        <v>537</v>
      </c>
      <c r="AT29">
        <v>424</v>
      </c>
      <c r="AU29">
        <v>3699</v>
      </c>
      <c r="AV29">
        <v>365</v>
      </c>
      <c r="AW29">
        <v>2831</v>
      </c>
      <c r="AX29">
        <v>45</v>
      </c>
      <c r="AY29">
        <v>2686</v>
      </c>
      <c r="AZ29">
        <v>1665</v>
      </c>
      <c r="BA29">
        <v>54</v>
      </c>
      <c r="BB29">
        <v>10116</v>
      </c>
      <c r="BC29">
        <v>9168</v>
      </c>
      <c r="BD29">
        <v>86</v>
      </c>
      <c r="BE29">
        <v>28</v>
      </c>
      <c r="BF29">
        <v>8623</v>
      </c>
      <c r="BG29">
        <v>4259</v>
      </c>
      <c r="BH29">
        <v>11</v>
      </c>
      <c r="BI29">
        <v>1376</v>
      </c>
      <c r="BJ29">
        <v>475</v>
      </c>
      <c r="BK29">
        <v>770</v>
      </c>
      <c r="BL29">
        <v>2608</v>
      </c>
      <c r="BM29">
        <v>2580</v>
      </c>
      <c r="BN29">
        <v>261</v>
      </c>
      <c r="BO29">
        <v>107</v>
      </c>
      <c r="BP29">
        <v>3537</v>
      </c>
      <c r="BQ29">
        <v>1024</v>
      </c>
      <c r="BR29">
        <v>148</v>
      </c>
      <c r="BS29">
        <v>1250</v>
      </c>
      <c r="BT29">
        <v>215</v>
      </c>
      <c r="BU29">
        <v>947</v>
      </c>
      <c r="BV29">
        <v>2143</v>
      </c>
      <c r="BW29">
        <v>1339</v>
      </c>
      <c r="BX29">
        <v>2</v>
      </c>
    </row>
    <row r="30" spans="1:76">
      <c r="A30" s="1">
        <v>1010</v>
      </c>
      <c r="B30" s="3" t="s">
        <v>35</v>
      </c>
      <c r="C30" s="1" t="s">
        <v>25</v>
      </c>
      <c r="D30" s="1" t="s">
        <v>24</v>
      </c>
      <c r="E30" s="1" t="s">
        <v>24</v>
      </c>
      <c r="F30" s="1" t="s">
        <v>24</v>
      </c>
      <c r="G30" s="1" t="s">
        <v>26</v>
      </c>
      <c r="H30" s="1">
        <v>70</v>
      </c>
      <c r="I30" s="1" t="s">
        <v>27</v>
      </c>
      <c r="J30" s="1" t="s">
        <v>28</v>
      </c>
      <c r="K30" s="1">
        <v>21.6</v>
      </c>
      <c r="L30" s="1" t="s">
        <v>29</v>
      </c>
      <c r="M30" s="1"/>
      <c r="N30" s="1" t="s">
        <v>34</v>
      </c>
      <c r="O30" s="1" t="s">
        <v>29</v>
      </c>
      <c r="P30" s="1"/>
      <c r="Q30" s="1" t="s">
        <v>34</v>
      </c>
      <c r="R30" s="1" t="s">
        <v>29</v>
      </c>
      <c r="S30" s="1" t="s">
        <v>34</v>
      </c>
      <c r="T30" s="1" t="s">
        <v>29</v>
      </c>
      <c r="U30" s="1" t="s">
        <v>29</v>
      </c>
      <c r="V30" s="1" t="s">
        <v>29</v>
      </c>
      <c r="W30" s="1" t="s">
        <v>29</v>
      </c>
      <c r="X30" t="s">
        <v>169</v>
      </c>
      <c r="Y30">
        <v>284997</v>
      </c>
      <c r="Z30">
        <v>278506</v>
      </c>
      <c r="AA30">
        <v>276399</v>
      </c>
      <c r="AB30">
        <v>216305</v>
      </c>
      <c r="AC30">
        <v>548</v>
      </c>
      <c r="AD30">
        <v>536</v>
      </c>
      <c r="AE30">
        <v>501</v>
      </c>
      <c r="AF30">
        <v>496</v>
      </c>
      <c r="AG30">
        <v>491</v>
      </c>
      <c r="AH30">
        <v>114</v>
      </c>
      <c r="AI30">
        <v>272</v>
      </c>
      <c r="AJ30">
        <v>3</v>
      </c>
      <c r="AK30">
        <v>0</v>
      </c>
      <c r="AL30">
        <v>124747</v>
      </c>
      <c r="AM30">
        <v>20381</v>
      </c>
      <c r="AN30">
        <v>102697</v>
      </c>
      <c r="AO30">
        <v>3254</v>
      </c>
      <c r="AP30">
        <v>8529</v>
      </c>
      <c r="AQ30">
        <v>16692</v>
      </c>
      <c r="AR30">
        <v>57126</v>
      </c>
      <c r="AS30">
        <v>23217</v>
      </c>
      <c r="AT30">
        <v>23059</v>
      </c>
      <c r="AU30">
        <v>10814</v>
      </c>
      <c r="AV30">
        <v>1135</v>
      </c>
      <c r="AW30">
        <v>8786</v>
      </c>
      <c r="AX30">
        <v>3198</v>
      </c>
      <c r="AY30">
        <v>4026</v>
      </c>
      <c r="AZ30">
        <v>28333</v>
      </c>
      <c r="BA30">
        <v>165</v>
      </c>
      <c r="BB30">
        <v>88203</v>
      </c>
      <c r="BC30">
        <v>84921</v>
      </c>
      <c r="BD30">
        <v>1050</v>
      </c>
      <c r="BE30">
        <v>568</v>
      </c>
      <c r="BF30">
        <v>79921</v>
      </c>
      <c r="BG30">
        <v>35897</v>
      </c>
      <c r="BH30">
        <v>330</v>
      </c>
      <c r="BI30">
        <v>18789</v>
      </c>
      <c r="BJ30">
        <v>6577</v>
      </c>
      <c r="BK30">
        <v>10997</v>
      </c>
      <c r="BL30">
        <v>15251</v>
      </c>
      <c r="BM30">
        <v>14633</v>
      </c>
      <c r="BN30">
        <v>5380</v>
      </c>
      <c r="BO30">
        <v>1510</v>
      </c>
      <c r="BP30">
        <v>40007</v>
      </c>
      <c r="BQ30">
        <v>7521</v>
      </c>
      <c r="BR30">
        <v>1434</v>
      </c>
      <c r="BS30">
        <v>7200</v>
      </c>
      <c r="BT30">
        <v>1680</v>
      </c>
      <c r="BU30">
        <v>5258</v>
      </c>
      <c r="BV30">
        <v>31488</v>
      </c>
      <c r="BW30">
        <v>14743</v>
      </c>
      <c r="BX30">
        <v>49</v>
      </c>
    </row>
    <row r="31" spans="1:76">
      <c r="A31" s="1">
        <v>1245</v>
      </c>
      <c r="B31" s="3" t="s">
        <v>105</v>
      </c>
      <c r="C31" s="1" t="s">
        <v>25</v>
      </c>
      <c r="D31" s="1" t="s">
        <v>24</v>
      </c>
      <c r="E31" s="1" t="s">
        <v>24</v>
      </c>
      <c r="F31" s="1" t="s">
        <v>24</v>
      </c>
      <c r="G31" s="1" t="s">
        <v>26</v>
      </c>
      <c r="H31" s="1">
        <v>47</v>
      </c>
      <c r="I31" s="1" t="s">
        <v>27</v>
      </c>
      <c r="J31" s="1" t="s">
        <v>28</v>
      </c>
      <c r="K31" s="1">
        <v>32.799999999999997</v>
      </c>
      <c r="L31" s="1" t="s">
        <v>29</v>
      </c>
      <c r="M31" s="1"/>
      <c r="N31" s="1" t="s">
        <v>29</v>
      </c>
      <c r="O31" s="1" t="s">
        <v>29</v>
      </c>
      <c r="P31" s="1"/>
      <c r="Q31" s="1" t="s">
        <v>34</v>
      </c>
      <c r="R31" s="1" t="s">
        <v>29</v>
      </c>
      <c r="S31" s="1" t="s">
        <v>34</v>
      </c>
      <c r="T31" s="1" t="s">
        <v>29</v>
      </c>
      <c r="U31" s="1" t="s">
        <v>29</v>
      </c>
      <c r="V31" s="1" t="s">
        <v>29</v>
      </c>
      <c r="W31" s="1" t="s">
        <v>29</v>
      </c>
      <c r="X31" t="s">
        <v>232</v>
      </c>
      <c r="Y31">
        <v>41053</v>
      </c>
      <c r="Z31">
        <v>38077</v>
      </c>
      <c r="AA31">
        <v>36555</v>
      </c>
      <c r="AB31">
        <v>27594</v>
      </c>
      <c r="AC31">
        <v>67</v>
      </c>
      <c r="AD31">
        <v>65</v>
      </c>
      <c r="AE31">
        <v>58</v>
      </c>
      <c r="AF31">
        <v>57</v>
      </c>
      <c r="AG31">
        <v>56</v>
      </c>
      <c r="AH31">
        <v>14</v>
      </c>
      <c r="AI31">
        <v>36</v>
      </c>
      <c r="AJ31">
        <v>0</v>
      </c>
      <c r="AK31">
        <v>0</v>
      </c>
      <c r="AL31">
        <v>14794</v>
      </c>
      <c r="AM31">
        <v>3140</v>
      </c>
      <c r="AN31">
        <v>11321</v>
      </c>
      <c r="AO31">
        <v>315</v>
      </c>
      <c r="AP31">
        <v>55</v>
      </c>
      <c r="AQ31">
        <v>474</v>
      </c>
      <c r="AR31">
        <v>6847</v>
      </c>
      <c r="AS31">
        <v>1390</v>
      </c>
      <c r="AT31">
        <v>1356</v>
      </c>
      <c r="AU31">
        <v>1393</v>
      </c>
      <c r="AV31">
        <v>161</v>
      </c>
      <c r="AW31">
        <v>1141</v>
      </c>
      <c r="AX31">
        <v>199</v>
      </c>
      <c r="AY31">
        <v>886</v>
      </c>
      <c r="AZ31">
        <v>2198</v>
      </c>
      <c r="BA31">
        <v>99</v>
      </c>
      <c r="BB31">
        <v>12479</v>
      </c>
      <c r="BC31">
        <v>11532</v>
      </c>
      <c r="BD31">
        <v>62</v>
      </c>
      <c r="BE31">
        <v>15</v>
      </c>
      <c r="BF31">
        <v>11230</v>
      </c>
      <c r="BG31">
        <v>8824</v>
      </c>
      <c r="BH31">
        <v>18</v>
      </c>
      <c r="BI31">
        <v>4814</v>
      </c>
      <c r="BJ31">
        <v>2045</v>
      </c>
      <c r="BK31">
        <v>2356</v>
      </c>
      <c r="BL31">
        <v>3463</v>
      </c>
      <c r="BM31">
        <v>3405</v>
      </c>
      <c r="BN31">
        <v>411</v>
      </c>
      <c r="BO31">
        <v>187</v>
      </c>
      <c r="BP31">
        <v>2059</v>
      </c>
      <c r="BQ31">
        <v>298</v>
      </c>
      <c r="BR31">
        <v>91</v>
      </c>
      <c r="BS31">
        <v>932</v>
      </c>
      <c r="BT31">
        <v>206</v>
      </c>
      <c r="BU31">
        <v>676</v>
      </c>
      <c r="BV31">
        <v>1034</v>
      </c>
      <c r="BW31">
        <v>662</v>
      </c>
      <c r="BX31">
        <v>7</v>
      </c>
    </row>
    <row r="32" spans="1:76">
      <c r="A32" s="1">
        <v>1181</v>
      </c>
      <c r="B32" s="3" t="s">
        <v>98</v>
      </c>
      <c r="C32" s="1" t="s">
        <v>24</v>
      </c>
      <c r="D32" s="1" t="s">
        <v>24</v>
      </c>
      <c r="E32" s="1" t="s">
        <v>24</v>
      </c>
      <c r="F32" s="1" t="s">
        <v>25</v>
      </c>
      <c r="G32" s="1" t="s">
        <v>32</v>
      </c>
      <c r="H32" s="1">
        <v>72</v>
      </c>
      <c r="I32" s="1" t="s">
        <v>27</v>
      </c>
      <c r="J32" s="1" t="s">
        <v>28</v>
      </c>
      <c r="K32" s="1">
        <v>26.3</v>
      </c>
      <c r="L32" s="1" t="s">
        <v>29</v>
      </c>
      <c r="M32" s="1"/>
      <c r="N32" s="1" t="s">
        <v>29</v>
      </c>
      <c r="O32" s="1" t="s">
        <v>29</v>
      </c>
      <c r="P32" s="1"/>
      <c r="Q32" s="1" t="s">
        <v>34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1" t="s">
        <v>29</v>
      </c>
      <c r="X32" t="s">
        <v>223</v>
      </c>
      <c r="Y32">
        <v>103950</v>
      </c>
      <c r="Z32">
        <v>100965</v>
      </c>
      <c r="AA32">
        <v>93340</v>
      </c>
      <c r="AB32">
        <v>40289</v>
      </c>
      <c r="AC32">
        <v>16</v>
      </c>
      <c r="AD32">
        <v>15</v>
      </c>
      <c r="AE32">
        <v>15</v>
      </c>
      <c r="AF32">
        <v>13</v>
      </c>
      <c r="AG32">
        <v>13</v>
      </c>
      <c r="AH32">
        <v>8</v>
      </c>
      <c r="AI32">
        <v>3</v>
      </c>
      <c r="AJ32">
        <v>0</v>
      </c>
      <c r="AK32">
        <v>0</v>
      </c>
      <c r="AL32">
        <v>23423</v>
      </c>
      <c r="AM32">
        <v>1579</v>
      </c>
      <c r="AN32">
        <v>21529</v>
      </c>
      <c r="AO32">
        <v>295</v>
      </c>
      <c r="AP32">
        <v>274</v>
      </c>
      <c r="AQ32">
        <v>6737</v>
      </c>
      <c r="AR32">
        <v>1640</v>
      </c>
      <c r="AS32">
        <v>613</v>
      </c>
      <c r="AT32">
        <v>579</v>
      </c>
      <c r="AU32">
        <v>4511</v>
      </c>
      <c r="AV32">
        <v>65</v>
      </c>
      <c r="AW32">
        <v>4031</v>
      </c>
      <c r="AX32">
        <v>1679</v>
      </c>
      <c r="AY32">
        <v>592</v>
      </c>
      <c r="AZ32">
        <v>10063</v>
      </c>
      <c r="BA32">
        <v>32</v>
      </c>
      <c r="BB32">
        <v>16268</v>
      </c>
      <c r="BC32">
        <v>9103</v>
      </c>
      <c r="BD32">
        <v>4</v>
      </c>
      <c r="BE32">
        <v>11</v>
      </c>
      <c r="BF32">
        <v>9059</v>
      </c>
      <c r="BG32">
        <v>5271</v>
      </c>
      <c r="BH32">
        <v>6</v>
      </c>
      <c r="BI32">
        <v>1563</v>
      </c>
      <c r="BJ32">
        <v>240</v>
      </c>
      <c r="BK32">
        <v>1229</v>
      </c>
      <c r="BL32">
        <v>3292</v>
      </c>
      <c r="BM32">
        <v>3279</v>
      </c>
      <c r="BN32">
        <v>61</v>
      </c>
      <c r="BO32">
        <v>5</v>
      </c>
      <c r="BP32">
        <v>2779</v>
      </c>
      <c r="BQ32">
        <v>63</v>
      </c>
      <c r="BR32">
        <v>2</v>
      </c>
      <c r="BS32">
        <v>505</v>
      </c>
      <c r="BT32">
        <v>291</v>
      </c>
      <c r="BU32">
        <v>169</v>
      </c>
      <c r="BV32">
        <v>2077</v>
      </c>
      <c r="BW32">
        <v>1993</v>
      </c>
      <c r="BX32">
        <v>9</v>
      </c>
    </row>
    <row r="33" spans="1:76">
      <c r="A33" s="1">
        <v>1172</v>
      </c>
      <c r="B33" s="3" t="s">
        <v>96</v>
      </c>
      <c r="C33" s="1" t="s">
        <v>24</v>
      </c>
      <c r="D33" s="1" t="s">
        <v>25</v>
      </c>
      <c r="E33" s="1" t="s">
        <v>24</v>
      </c>
      <c r="F33" s="1" t="s">
        <v>24</v>
      </c>
      <c r="G33" s="1" t="s">
        <v>32</v>
      </c>
      <c r="H33" s="1">
        <v>75</v>
      </c>
      <c r="I33" s="1" t="s">
        <v>27</v>
      </c>
      <c r="J33" s="1" t="s">
        <v>28</v>
      </c>
      <c r="K33" s="1">
        <v>20.2</v>
      </c>
      <c r="L33" s="1" t="s">
        <v>29</v>
      </c>
      <c r="M33" s="1"/>
      <c r="N33" s="1" t="s">
        <v>29</v>
      </c>
      <c r="O33" s="1" t="s">
        <v>29</v>
      </c>
      <c r="P33" s="1"/>
      <c r="Q33" s="1" t="s">
        <v>34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1" t="s">
        <v>29</v>
      </c>
      <c r="X33" t="s">
        <v>221</v>
      </c>
      <c r="Y33">
        <v>166329</v>
      </c>
      <c r="Z33">
        <v>161188</v>
      </c>
      <c r="AA33">
        <v>150664</v>
      </c>
      <c r="AB33">
        <v>61303</v>
      </c>
      <c r="AC33">
        <v>29</v>
      </c>
      <c r="AD33">
        <v>28</v>
      </c>
      <c r="AE33">
        <v>26</v>
      </c>
      <c r="AF33">
        <v>24</v>
      </c>
      <c r="AG33">
        <v>24</v>
      </c>
      <c r="AH33">
        <v>8</v>
      </c>
      <c r="AI33">
        <v>13</v>
      </c>
      <c r="AJ33">
        <v>0</v>
      </c>
      <c r="AK33">
        <v>0</v>
      </c>
      <c r="AL33">
        <v>29370</v>
      </c>
      <c r="AM33">
        <v>4066</v>
      </c>
      <c r="AN33">
        <v>24675</v>
      </c>
      <c r="AO33">
        <v>1320</v>
      </c>
      <c r="AP33">
        <v>1519</v>
      </c>
      <c r="AQ33">
        <v>2573</v>
      </c>
      <c r="AR33">
        <v>12678</v>
      </c>
      <c r="AS33">
        <v>8608</v>
      </c>
      <c r="AT33">
        <v>8014</v>
      </c>
      <c r="AU33">
        <v>1402</v>
      </c>
      <c r="AV33">
        <v>204</v>
      </c>
      <c r="AW33">
        <v>1031</v>
      </c>
      <c r="AX33">
        <v>28</v>
      </c>
      <c r="AY33">
        <v>957</v>
      </c>
      <c r="AZ33">
        <v>9328</v>
      </c>
      <c r="BA33">
        <v>79</v>
      </c>
      <c r="BB33">
        <v>31580</v>
      </c>
      <c r="BC33">
        <v>29260</v>
      </c>
      <c r="BD33">
        <v>479</v>
      </c>
      <c r="BE33">
        <v>322</v>
      </c>
      <c r="BF33">
        <v>26675</v>
      </c>
      <c r="BG33">
        <v>11069</v>
      </c>
      <c r="BH33">
        <v>78</v>
      </c>
      <c r="BI33">
        <v>5582</v>
      </c>
      <c r="BJ33">
        <v>423</v>
      </c>
      <c r="BK33">
        <v>4908</v>
      </c>
      <c r="BL33">
        <v>4501</v>
      </c>
      <c r="BM33">
        <v>4463</v>
      </c>
      <c r="BN33">
        <v>1306</v>
      </c>
      <c r="BO33">
        <v>643</v>
      </c>
      <c r="BP33">
        <v>13901</v>
      </c>
      <c r="BQ33">
        <v>4019</v>
      </c>
      <c r="BR33">
        <v>715</v>
      </c>
      <c r="BS33">
        <v>2180</v>
      </c>
      <c r="BT33">
        <v>1686</v>
      </c>
      <c r="BU33">
        <v>368</v>
      </c>
      <c r="BV33">
        <v>11102</v>
      </c>
      <c r="BW33">
        <v>9531</v>
      </c>
      <c r="BX33">
        <v>28</v>
      </c>
    </row>
    <row r="34" spans="1:76">
      <c r="A34" s="1">
        <v>1186</v>
      </c>
      <c r="B34" s="3" t="s">
        <v>99</v>
      </c>
      <c r="C34" s="1" t="s">
        <v>24</v>
      </c>
      <c r="D34" s="1" t="s">
        <v>25</v>
      </c>
      <c r="E34" s="1" t="s">
        <v>24</v>
      </c>
      <c r="F34" s="1" t="s">
        <v>24</v>
      </c>
      <c r="G34" s="1" t="s">
        <v>32</v>
      </c>
      <c r="H34" s="1">
        <v>42</v>
      </c>
      <c r="I34" s="1" t="s">
        <v>27</v>
      </c>
      <c r="J34" s="1" t="s">
        <v>76</v>
      </c>
      <c r="K34" s="1">
        <v>22.3</v>
      </c>
      <c r="L34" s="1" t="s">
        <v>29</v>
      </c>
      <c r="M34" s="1"/>
      <c r="N34" s="1" t="s">
        <v>29</v>
      </c>
      <c r="O34" s="1" t="s">
        <v>29</v>
      </c>
      <c r="P34" s="1"/>
      <c r="Q34" s="1" t="s">
        <v>34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t="s">
        <v>224</v>
      </c>
      <c r="Y34">
        <v>130376</v>
      </c>
      <c r="Z34">
        <v>126147</v>
      </c>
      <c r="AA34">
        <v>120112</v>
      </c>
      <c r="AB34">
        <v>94813</v>
      </c>
      <c r="AC34">
        <v>12</v>
      </c>
      <c r="AD34">
        <v>12</v>
      </c>
      <c r="AE34">
        <v>10</v>
      </c>
      <c r="AF34">
        <v>10</v>
      </c>
      <c r="AG34">
        <v>10</v>
      </c>
      <c r="AH34">
        <v>5</v>
      </c>
      <c r="AI34">
        <v>3</v>
      </c>
      <c r="AJ34">
        <v>0</v>
      </c>
      <c r="AK34">
        <v>0</v>
      </c>
      <c r="AL34">
        <v>23970</v>
      </c>
      <c r="AM34">
        <v>4860</v>
      </c>
      <c r="AN34">
        <v>18848</v>
      </c>
      <c r="AO34">
        <v>2080</v>
      </c>
      <c r="AP34">
        <v>1118</v>
      </c>
      <c r="AQ34">
        <v>1173</v>
      </c>
      <c r="AR34">
        <v>2367</v>
      </c>
      <c r="AS34">
        <v>602</v>
      </c>
      <c r="AT34">
        <v>552</v>
      </c>
      <c r="AU34">
        <v>1300</v>
      </c>
      <c r="AV34">
        <v>199</v>
      </c>
      <c r="AW34">
        <v>977</v>
      </c>
      <c r="AX34">
        <v>45</v>
      </c>
      <c r="AY34">
        <v>788</v>
      </c>
      <c r="AZ34">
        <v>14358</v>
      </c>
      <c r="BA34">
        <v>340</v>
      </c>
      <c r="BB34">
        <v>69848</v>
      </c>
      <c r="BC34">
        <v>61512</v>
      </c>
      <c r="BD34">
        <v>510</v>
      </c>
      <c r="BE34">
        <v>577</v>
      </c>
      <c r="BF34">
        <v>59314</v>
      </c>
      <c r="BG34">
        <v>34428</v>
      </c>
      <c r="BH34">
        <v>160</v>
      </c>
      <c r="BI34">
        <v>16384</v>
      </c>
      <c r="BJ34">
        <v>11059</v>
      </c>
      <c r="BK34">
        <v>4048</v>
      </c>
      <c r="BL34">
        <v>14413</v>
      </c>
      <c r="BM34">
        <v>12623</v>
      </c>
      <c r="BN34">
        <v>1530</v>
      </c>
      <c r="BO34">
        <v>381</v>
      </c>
      <c r="BP34">
        <v>22096</v>
      </c>
      <c r="BQ34">
        <v>1237</v>
      </c>
      <c r="BR34">
        <v>227</v>
      </c>
      <c r="BS34">
        <v>8455</v>
      </c>
      <c r="BT34">
        <v>520</v>
      </c>
      <c r="BU34">
        <v>7606</v>
      </c>
      <c r="BV34">
        <v>12629</v>
      </c>
      <c r="BW34">
        <v>7694</v>
      </c>
      <c r="BX34">
        <v>208</v>
      </c>
    </row>
    <row r="35" spans="1:76">
      <c r="A35" s="1">
        <v>1103</v>
      </c>
      <c r="B35" s="3" t="s">
        <v>72</v>
      </c>
      <c r="C35" s="1" t="s">
        <v>25</v>
      </c>
      <c r="D35" s="1" t="s">
        <v>25</v>
      </c>
      <c r="E35" s="1" t="s">
        <v>24</v>
      </c>
      <c r="F35" s="1" t="s">
        <v>24</v>
      </c>
      <c r="G35" s="1" t="s">
        <v>32</v>
      </c>
      <c r="H35" s="1">
        <v>67</v>
      </c>
      <c r="I35" s="1" t="s">
        <v>27</v>
      </c>
      <c r="J35" s="1" t="s">
        <v>28</v>
      </c>
      <c r="K35" s="1">
        <v>24.7</v>
      </c>
      <c r="L35" s="1" t="s">
        <v>29</v>
      </c>
      <c r="M35" s="1"/>
      <c r="N35" s="1" t="s">
        <v>34</v>
      </c>
      <c r="O35" s="1" t="s">
        <v>29</v>
      </c>
      <c r="P35" s="1"/>
      <c r="Q35" s="1" t="s">
        <v>34</v>
      </c>
      <c r="R35" s="1" t="s">
        <v>29</v>
      </c>
      <c r="S35" s="1" t="s">
        <v>34</v>
      </c>
      <c r="T35" s="1" t="s">
        <v>29</v>
      </c>
      <c r="U35" s="1" t="s">
        <v>29</v>
      </c>
      <c r="V35" s="1" t="s">
        <v>29</v>
      </c>
      <c r="W35" s="1" t="s">
        <v>29</v>
      </c>
      <c r="X35" t="s">
        <v>199</v>
      </c>
      <c r="Y35">
        <v>247391</v>
      </c>
      <c r="Z35">
        <v>242168</v>
      </c>
      <c r="AA35">
        <v>230207</v>
      </c>
      <c r="AB35">
        <v>70991</v>
      </c>
      <c r="AC35">
        <v>676</v>
      </c>
      <c r="AD35">
        <v>667</v>
      </c>
      <c r="AE35">
        <v>646</v>
      </c>
      <c r="AF35">
        <v>641</v>
      </c>
      <c r="AG35">
        <v>640</v>
      </c>
      <c r="AH35">
        <v>333</v>
      </c>
      <c r="AI35">
        <v>54</v>
      </c>
      <c r="AJ35">
        <v>1</v>
      </c>
      <c r="AK35">
        <v>0</v>
      </c>
      <c r="AL35">
        <v>48230</v>
      </c>
      <c r="AM35">
        <v>10275</v>
      </c>
      <c r="AN35">
        <v>36279</v>
      </c>
      <c r="AO35">
        <v>483</v>
      </c>
      <c r="AP35">
        <v>982</v>
      </c>
      <c r="AQ35">
        <v>5163</v>
      </c>
      <c r="AR35">
        <v>18338</v>
      </c>
      <c r="AS35">
        <v>7129</v>
      </c>
      <c r="AT35">
        <v>6591</v>
      </c>
      <c r="AU35">
        <v>6108</v>
      </c>
      <c r="AV35">
        <v>1259</v>
      </c>
      <c r="AW35">
        <v>3676</v>
      </c>
      <c r="AX35">
        <v>246</v>
      </c>
      <c r="AY35">
        <v>3013</v>
      </c>
      <c r="AZ35">
        <v>9052</v>
      </c>
      <c r="BA35">
        <v>67</v>
      </c>
      <c r="BB35">
        <v>21111</v>
      </c>
      <c r="BC35">
        <v>18991</v>
      </c>
      <c r="BD35">
        <v>106</v>
      </c>
      <c r="BE35">
        <v>341</v>
      </c>
      <c r="BF35">
        <v>18080</v>
      </c>
      <c r="BG35">
        <v>8542</v>
      </c>
      <c r="BH35">
        <v>57</v>
      </c>
      <c r="BI35">
        <v>2952</v>
      </c>
      <c r="BJ35">
        <v>1678</v>
      </c>
      <c r="BK35">
        <v>1019</v>
      </c>
      <c r="BL35">
        <v>4583</v>
      </c>
      <c r="BM35">
        <v>4241</v>
      </c>
      <c r="BN35">
        <v>1066</v>
      </c>
      <c r="BO35">
        <v>114</v>
      </c>
      <c r="BP35">
        <v>9039</v>
      </c>
      <c r="BQ35">
        <v>3324</v>
      </c>
      <c r="BR35">
        <v>166</v>
      </c>
      <c r="BS35">
        <v>406</v>
      </c>
      <c r="BT35">
        <v>172</v>
      </c>
      <c r="BU35">
        <v>196</v>
      </c>
      <c r="BV35">
        <v>8250</v>
      </c>
      <c r="BW35">
        <v>5610</v>
      </c>
      <c r="BX35">
        <v>55</v>
      </c>
    </row>
    <row r="36" spans="1:76">
      <c r="A36" s="1">
        <v>1039</v>
      </c>
      <c r="B36" s="3" t="s">
        <v>53</v>
      </c>
      <c r="C36" s="1" t="s">
        <v>24</v>
      </c>
      <c r="D36" s="1" t="s">
        <v>25</v>
      </c>
      <c r="E36" s="1" t="s">
        <v>24</v>
      </c>
      <c r="F36" s="1" t="s">
        <v>24</v>
      </c>
      <c r="G36" s="1" t="s">
        <v>26</v>
      </c>
      <c r="H36" s="1">
        <v>56</v>
      </c>
      <c r="I36" s="1" t="s">
        <v>27</v>
      </c>
      <c r="J36" s="1" t="s">
        <v>28</v>
      </c>
      <c r="K36" s="1">
        <v>41.6</v>
      </c>
      <c r="L36" s="1" t="s">
        <v>29</v>
      </c>
      <c r="M36" s="1"/>
      <c r="N36" s="1" t="s">
        <v>34</v>
      </c>
      <c r="O36" s="1" t="s">
        <v>29</v>
      </c>
      <c r="P36" s="1"/>
      <c r="Q36" s="1" t="s">
        <v>34</v>
      </c>
      <c r="R36" s="1" t="s">
        <v>29</v>
      </c>
      <c r="S36" s="1" t="s">
        <v>34</v>
      </c>
      <c r="T36" s="1" t="s">
        <v>29</v>
      </c>
      <c r="U36" s="1" t="s">
        <v>34</v>
      </c>
      <c r="V36" s="1" t="s">
        <v>29</v>
      </c>
      <c r="W36" s="1" t="s">
        <v>29</v>
      </c>
      <c r="X36" t="s">
        <v>182</v>
      </c>
      <c r="Y36">
        <v>135493</v>
      </c>
      <c r="Z36">
        <v>133046</v>
      </c>
      <c r="AA36">
        <v>127178</v>
      </c>
      <c r="AB36">
        <v>72801</v>
      </c>
      <c r="AC36">
        <v>614</v>
      </c>
      <c r="AD36">
        <v>608</v>
      </c>
      <c r="AE36">
        <v>549</v>
      </c>
      <c r="AF36">
        <v>548</v>
      </c>
      <c r="AG36">
        <v>548</v>
      </c>
      <c r="AH36">
        <v>141</v>
      </c>
      <c r="AI36">
        <v>335</v>
      </c>
      <c r="AJ36">
        <v>7</v>
      </c>
      <c r="AK36">
        <v>22</v>
      </c>
      <c r="AL36">
        <v>29246</v>
      </c>
      <c r="AM36">
        <v>11935</v>
      </c>
      <c r="AN36">
        <v>16230</v>
      </c>
      <c r="AO36">
        <v>1327</v>
      </c>
      <c r="AP36">
        <v>249</v>
      </c>
      <c r="AQ36">
        <v>650</v>
      </c>
      <c r="AR36">
        <v>4820</v>
      </c>
      <c r="AS36">
        <v>683</v>
      </c>
      <c r="AT36">
        <v>641</v>
      </c>
      <c r="AU36">
        <v>5380</v>
      </c>
      <c r="AV36">
        <v>710</v>
      </c>
      <c r="AW36">
        <v>4089</v>
      </c>
      <c r="AX36">
        <v>142</v>
      </c>
      <c r="AY36">
        <v>3736</v>
      </c>
      <c r="AZ36">
        <v>4702</v>
      </c>
      <c r="BA36">
        <v>141</v>
      </c>
      <c r="BB36">
        <v>42314</v>
      </c>
      <c r="BC36">
        <v>40762</v>
      </c>
      <c r="BD36">
        <v>185</v>
      </c>
      <c r="BE36">
        <v>75</v>
      </c>
      <c r="BF36">
        <v>39969</v>
      </c>
      <c r="BG36">
        <v>21686</v>
      </c>
      <c r="BH36">
        <v>60</v>
      </c>
      <c r="BI36">
        <v>11094</v>
      </c>
      <c r="BJ36">
        <v>2039</v>
      </c>
      <c r="BK36">
        <v>8470</v>
      </c>
      <c r="BL36">
        <v>8422</v>
      </c>
      <c r="BM36">
        <v>8345</v>
      </c>
      <c r="BN36">
        <v>3409</v>
      </c>
      <c r="BO36">
        <v>1251</v>
      </c>
      <c r="BP36">
        <v>16986</v>
      </c>
      <c r="BQ36">
        <v>6980</v>
      </c>
      <c r="BR36">
        <v>883</v>
      </c>
      <c r="BS36">
        <v>4502</v>
      </c>
      <c r="BT36">
        <v>2061</v>
      </c>
      <c r="BU36">
        <v>2107</v>
      </c>
      <c r="BV36">
        <v>11421</v>
      </c>
      <c r="BW36">
        <v>9040</v>
      </c>
      <c r="BX36">
        <v>32</v>
      </c>
    </row>
    <row r="37" spans="1:76">
      <c r="A37" s="1">
        <v>1205</v>
      </c>
      <c r="B37" s="3" t="s">
        <v>77</v>
      </c>
      <c r="C37" s="1" t="s">
        <v>25</v>
      </c>
      <c r="D37" s="1" t="s">
        <v>24</v>
      </c>
      <c r="E37" s="1" t="s">
        <v>24</v>
      </c>
      <c r="F37" s="1" t="s">
        <v>24</v>
      </c>
      <c r="G37" s="1" t="s">
        <v>26</v>
      </c>
      <c r="H37" s="1">
        <v>64</v>
      </c>
      <c r="I37" s="1" t="s">
        <v>27</v>
      </c>
      <c r="J37" s="1" t="s">
        <v>28</v>
      </c>
      <c r="K37" s="1">
        <v>37.1</v>
      </c>
      <c r="L37" s="1" t="s">
        <v>29</v>
      </c>
      <c r="M37" s="1"/>
      <c r="N37" s="1" t="s">
        <v>34</v>
      </c>
      <c r="O37" s="1" t="s">
        <v>29</v>
      </c>
      <c r="P37" s="1"/>
      <c r="Q37" s="1" t="s">
        <v>34</v>
      </c>
      <c r="R37" s="1" t="s">
        <v>29</v>
      </c>
      <c r="S37" s="1" t="s">
        <v>34</v>
      </c>
      <c r="T37" s="1" t="s">
        <v>29</v>
      </c>
      <c r="U37" s="1" t="s">
        <v>29</v>
      </c>
      <c r="V37" s="1" t="s">
        <v>29</v>
      </c>
      <c r="W37" s="1" t="s">
        <v>29</v>
      </c>
      <c r="X37" t="s">
        <v>226</v>
      </c>
      <c r="Y37">
        <v>35601</v>
      </c>
      <c r="Z37">
        <v>32502</v>
      </c>
      <c r="AA37">
        <v>31893</v>
      </c>
      <c r="AB37">
        <v>12529</v>
      </c>
      <c r="AC37">
        <v>139</v>
      </c>
      <c r="AD37">
        <v>132</v>
      </c>
      <c r="AE37">
        <v>121</v>
      </c>
      <c r="AF37">
        <v>121</v>
      </c>
      <c r="AG37">
        <v>121</v>
      </c>
      <c r="AH37">
        <v>26</v>
      </c>
      <c r="AI37">
        <v>73</v>
      </c>
      <c r="AJ37">
        <v>2</v>
      </c>
      <c r="AK37">
        <v>0</v>
      </c>
      <c r="AL37">
        <v>3066</v>
      </c>
      <c r="AM37">
        <v>600</v>
      </c>
      <c r="AN37">
        <v>2325</v>
      </c>
      <c r="AO37">
        <v>60</v>
      </c>
      <c r="AP37">
        <v>13</v>
      </c>
      <c r="AQ37">
        <v>225</v>
      </c>
      <c r="AR37">
        <v>692</v>
      </c>
      <c r="AS37">
        <v>66</v>
      </c>
      <c r="AT37">
        <v>26</v>
      </c>
      <c r="AU37">
        <v>491</v>
      </c>
      <c r="AV37">
        <v>133</v>
      </c>
      <c r="AW37">
        <v>314</v>
      </c>
      <c r="AX37">
        <v>7</v>
      </c>
      <c r="AY37">
        <v>301</v>
      </c>
      <c r="AZ37">
        <v>1048</v>
      </c>
      <c r="BA37">
        <v>33</v>
      </c>
      <c r="BB37">
        <v>9216</v>
      </c>
      <c r="BC37">
        <v>8684</v>
      </c>
      <c r="BD37">
        <v>41</v>
      </c>
      <c r="BE37">
        <v>5</v>
      </c>
      <c r="BF37">
        <v>8442</v>
      </c>
      <c r="BG37">
        <v>6202</v>
      </c>
      <c r="BH37">
        <v>45</v>
      </c>
      <c r="BI37">
        <v>3116</v>
      </c>
      <c r="BJ37">
        <v>1051</v>
      </c>
      <c r="BK37">
        <v>1760</v>
      </c>
      <c r="BL37">
        <v>2621</v>
      </c>
      <c r="BM37">
        <v>2583</v>
      </c>
      <c r="BN37">
        <v>413</v>
      </c>
      <c r="BO37">
        <v>225</v>
      </c>
      <c r="BP37">
        <v>1915</v>
      </c>
      <c r="BQ37">
        <v>285</v>
      </c>
      <c r="BR37">
        <v>47</v>
      </c>
      <c r="BS37">
        <v>542</v>
      </c>
      <c r="BT37">
        <v>216</v>
      </c>
      <c r="BU37">
        <v>297</v>
      </c>
      <c r="BV37">
        <v>1252</v>
      </c>
      <c r="BW37">
        <v>1053</v>
      </c>
      <c r="BX37">
        <v>12</v>
      </c>
    </row>
    <row r="38" spans="1:76">
      <c r="A38" s="1">
        <v>1102</v>
      </c>
      <c r="B38" s="3" t="s">
        <v>71</v>
      </c>
      <c r="C38" s="1" t="s">
        <v>24</v>
      </c>
      <c r="D38" s="1" t="s">
        <v>25</v>
      </c>
      <c r="E38" s="1" t="s">
        <v>24</v>
      </c>
      <c r="F38" s="1" t="s">
        <v>24</v>
      </c>
      <c r="G38" s="1" t="s">
        <v>26</v>
      </c>
      <c r="H38" s="1">
        <v>57</v>
      </c>
      <c r="I38" s="1" t="s">
        <v>27</v>
      </c>
      <c r="J38" s="1" t="s">
        <v>28</v>
      </c>
      <c r="K38" s="1">
        <v>34.200000000000003</v>
      </c>
      <c r="L38" s="1" t="s">
        <v>29</v>
      </c>
      <c r="M38" s="1"/>
      <c r="N38" s="1" t="s">
        <v>34</v>
      </c>
      <c r="O38" s="1" t="s">
        <v>29</v>
      </c>
      <c r="P38" s="1"/>
      <c r="Q38" s="1" t="s">
        <v>34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t="s">
        <v>198</v>
      </c>
      <c r="Y38">
        <v>325659</v>
      </c>
      <c r="Z38">
        <v>316769</v>
      </c>
      <c r="AA38">
        <v>305455</v>
      </c>
      <c r="AB38">
        <v>212019</v>
      </c>
      <c r="AC38">
        <v>163</v>
      </c>
      <c r="AD38">
        <v>163</v>
      </c>
      <c r="AE38">
        <v>154</v>
      </c>
      <c r="AF38">
        <v>152</v>
      </c>
      <c r="AG38">
        <v>149</v>
      </c>
      <c r="AH38">
        <v>41</v>
      </c>
      <c r="AI38">
        <v>88</v>
      </c>
      <c r="AJ38">
        <v>1</v>
      </c>
      <c r="AK38">
        <v>1</v>
      </c>
      <c r="AL38">
        <v>89622</v>
      </c>
      <c r="AM38">
        <v>31257</v>
      </c>
      <c r="AN38">
        <v>56926</v>
      </c>
      <c r="AO38">
        <v>3636</v>
      </c>
      <c r="AP38">
        <v>6119</v>
      </c>
      <c r="AQ38">
        <v>8385</v>
      </c>
      <c r="AR38">
        <v>17471</v>
      </c>
      <c r="AS38">
        <v>10857</v>
      </c>
      <c r="AT38">
        <v>7791</v>
      </c>
      <c r="AU38">
        <v>2878</v>
      </c>
      <c r="AV38">
        <v>580</v>
      </c>
      <c r="AW38">
        <v>2024</v>
      </c>
      <c r="AX38">
        <v>209</v>
      </c>
      <c r="AY38">
        <v>1630</v>
      </c>
      <c r="AZ38">
        <v>31800</v>
      </c>
      <c r="BA38">
        <v>944</v>
      </c>
      <c r="BB38">
        <v>120787</v>
      </c>
      <c r="BC38">
        <v>111758</v>
      </c>
      <c r="BD38">
        <v>7923</v>
      </c>
      <c r="BE38">
        <v>660</v>
      </c>
      <c r="BF38">
        <v>90682</v>
      </c>
      <c r="BG38">
        <v>57620</v>
      </c>
      <c r="BH38">
        <v>76</v>
      </c>
      <c r="BI38">
        <v>28775</v>
      </c>
      <c r="BJ38">
        <v>2605</v>
      </c>
      <c r="BK38">
        <v>24696</v>
      </c>
      <c r="BL38">
        <v>24538</v>
      </c>
      <c r="BM38">
        <v>24451</v>
      </c>
      <c r="BN38">
        <v>7295</v>
      </c>
      <c r="BO38">
        <v>4602</v>
      </c>
      <c r="BP38">
        <v>24313</v>
      </c>
      <c r="BQ38">
        <v>4814</v>
      </c>
      <c r="BR38">
        <v>2773</v>
      </c>
      <c r="BS38">
        <v>4029</v>
      </c>
      <c r="BT38">
        <v>2388</v>
      </c>
      <c r="BU38">
        <v>1286</v>
      </c>
      <c r="BV38">
        <v>19131</v>
      </c>
      <c r="BW38">
        <v>15533</v>
      </c>
      <c r="BX38">
        <v>50</v>
      </c>
    </row>
    <row r="39" spans="1:76">
      <c r="A39" s="1">
        <v>1204</v>
      </c>
      <c r="B39" s="3" t="s">
        <v>100</v>
      </c>
      <c r="C39" s="1" t="s">
        <v>24</v>
      </c>
      <c r="D39" s="1" t="s">
        <v>24</v>
      </c>
      <c r="E39" s="1" t="s">
        <v>24</v>
      </c>
      <c r="F39" s="1" t="s">
        <v>24</v>
      </c>
      <c r="G39" s="1" t="s">
        <v>26</v>
      </c>
      <c r="H39" s="1">
        <v>74</v>
      </c>
      <c r="I39" s="1" t="s">
        <v>27</v>
      </c>
      <c r="J39" s="1" t="s">
        <v>84</v>
      </c>
      <c r="K39" s="1">
        <v>21.4</v>
      </c>
      <c r="L39" s="1" t="s">
        <v>29</v>
      </c>
      <c r="M39" s="1"/>
      <c r="N39" s="1" t="s">
        <v>29</v>
      </c>
      <c r="O39" s="1" t="s">
        <v>29</v>
      </c>
      <c r="P39" s="1"/>
      <c r="Q39" s="1" t="s">
        <v>34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1" t="s">
        <v>29</v>
      </c>
      <c r="X39" t="s">
        <v>225</v>
      </c>
      <c r="Y39">
        <v>129019</v>
      </c>
      <c r="Z39">
        <v>125046</v>
      </c>
      <c r="AA39">
        <v>121389</v>
      </c>
      <c r="AB39">
        <v>85644</v>
      </c>
      <c r="AC39">
        <v>95</v>
      </c>
      <c r="AD39">
        <v>94</v>
      </c>
      <c r="AE39">
        <v>89</v>
      </c>
      <c r="AF39">
        <v>89</v>
      </c>
      <c r="AG39">
        <v>89</v>
      </c>
      <c r="AH39">
        <v>14</v>
      </c>
      <c r="AI39">
        <v>68</v>
      </c>
      <c r="AJ39">
        <v>0</v>
      </c>
      <c r="AK39">
        <v>1</v>
      </c>
      <c r="AL39">
        <v>22951</v>
      </c>
      <c r="AM39">
        <v>4476</v>
      </c>
      <c r="AN39">
        <v>18070</v>
      </c>
      <c r="AO39">
        <v>2316</v>
      </c>
      <c r="AP39">
        <v>5017</v>
      </c>
      <c r="AQ39">
        <v>5347</v>
      </c>
      <c r="AR39">
        <v>2259</v>
      </c>
      <c r="AS39">
        <v>1123</v>
      </c>
      <c r="AT39">
        <v>981</v>
      </c>
      <c r="AU39">
        <v>1831</v>
      </c>
      <c r="AV39">
        <v>641</v>
      </c>
      <c r="AW39">
        <v>1034</v>
      </c>
      <c r="AX39">
        <v>499</v>
      </c>
      <c r="AY39">
        <v>410</v>
      </c>
      <c r="AZ39">
        <v>13158</v>
      </c>
      <c r="BA39">
        <v>120</v>
      </c>
      <c r="BB39">
        <v>62018</v>
      </c>
      <c r="BC39">
        <v>58887</v>
      </c>
      <c r="BD39">
        <v>1197</v>
      </c>
      <c r="BE39">
        <v>1129</v>
      </c>
      <c r="BF39">
        <v>52400</v>
      </c>
      <c r="BG39">
        <v>35018</v>
      </c>
      <c r="BH39">
        <v>217</v>
      </c>
      <c r="BI39">
        <v>14679</v>
      </c>
      <c r="BJ39">
        <v>5023</v>
      </c>
      <c r="BK39">
        <v>8154</v>
      </c>
      <c r="BL39">
        <v>18292</v>
      </c>
      <c r="BM39">
        <v>18120</v>
      </c>
      <c r="BN39">
        <v>2379</v>
      </c>
      <c r="BO39">
        <v>1363</v>
      </c>
      <c r="BP39">
        <v>16555</v>
      </c>
      <c r="BQ39">
        <v>2027</v>
      </c>
      <c r="BR39">
        <v>704</v>
      </c>
      <c r="BS39">
        <v>5055</v>
      </c>
      <c r="BT39">
        <v>726</v>
      </c>
      <c r="BU39">
        <v>3941</v>
      </c>
      <c r="BV39">
        <v>10968</v>
      </c>
      <c r="BW39">
        <v>7112</v>
      </c>
      <c r="BX39">
        <v>32</v>
      </c>
    </row>
    <row r="40" spans="1:76">
      <c r="A40" s="1">
        <v>1022</v>
      </c>
      <c r="B40" s="3" t="s">
        <v>46</v>
      </c>
      <c r="C40" s="1" t="s">
        <v>25</v>
      </c>
      <c r="D40" s="1" t="s">
        <v>25</v>
      </c>
      <c r="E40" s="1" t="s">
        <v>24</v>
      </c>
      <c r="F40" s="1" t="s">
        <v>25</v>
      </c>
      <c r="G40" s="1" t="s">
        <v>26</v>
      </c>
      <c r="H40" s="1">
        <v>79</v>
      </c>
      <c r="I40" s="1" t="s">
        <v>27</v>
      </c>
      <c r="J40" s="1" t="s">
        <v>28</v>
      </c>
      <c r="K40" s="1">
        <v>22.1</v>
      </c>
      <c r="L40" s="1" t="s">
        <v>29</v>
      </c>
      <c r="M40" s="1"/>
      <c r="N40" s="1" t="s">
        <v>29</v>
      </c>
      <c r="O40" s="1" t="s">
        <v>29</v>
      </c>
      <c r="P40" s="1"/>
      <c r="Q40" s="1" t="s">
        <v>34</v>
      </c>
      <c r="R40" s="1" t="s">
        <v>29</v>
      </c>
      <c r="S40" s="1" t="s">
        <v>34</v>
      </c>
      <c r="T40" s="1" t="s">
        <v>34</v>
      </c>
      <c r="U40" s="1" t="s">
        <v>29</v>
      </c>
      <c r="V40" s="1" t="s">
        <v>29</v>
      </c>
      <c r="W40" s="1" t="s">
        <v>29</v>
      </c>
      <c r="X40" t="s">
        <v>177</v>
      </c>
      <c r="Y40">
        <v>214901</v>
      </c>
      <c r="Z40">
        <v>208043</v>
      </c>
      <c r="AA40">
        <v>204524</v>
      </c>
      <c r="AB40">
        <v>115766</v>
      </c>
      <c r="AC40">
        <v>1203</v>
      </c>
      <c r="AD40">
        <v>1147</v>
      </c>
      <c r="AE40">
        <v>1114</v>
      </c>
      <c r="AF40">
        <v>1106</v>
      </c>
      <c r="AG40">
        <v>1103</v>
      </c>
      <c r="AH40">
        <v>231</v>
      </c>
      <c r="AI40">
        <v>777</v>
      </c>
      <c r="AJ40">
        <v>25</v>
      </c>
      <c r="AK40">
        <v>12</v>
      </c>
      <c r="AL40">
        <v>69363</v>
      </c>
      <c r="AM40">
        <v>26951</v>
      </c>
      <c r="AN40">
        <v>35074</v>
      </c>
      <c r="AO40">
        <v>2522</v>
      </c>
      <c r="AP40">
        <v>2953</v>
      </c>
      <c r="AQ40">
        <v>3384</v>
      </c>
      <c r="AR40">
        <v>13383</v>
      </c>
      <c r="AS40">
        <v>3161</v>
      </c>
      <c r="AT40">
        <v>2853</v>
      </c>
      <c r="AU40">
        <v>8709</v>
      </c>
      <c r="AV40">
        <v>1677</v>
      </c>
      <c r="AW40">
        <v>5405</v>
      </c>
      <c r="AX40">
        <v>172</v>
      </c>
      <c r="AY40">
        <v>5126</v>
      </c>
      <c r="AZ40">
        <v>10282</v>
      </c>
      <c r="BA40">
        <v>172</v>
      </c>
      <c r="BB40">
        <v>42430</v>
      </c>
      <c r="BC40">
        <v>40972</v>
      </c>
      <c r="BD40">
        <v>162</v>
      </c>
      <c r="BE40">
        <v>339</v>
      </c>
      <c r="BF40">
        <v>39428</v>
      </c>
      <c r="BG40">
        <v>23898</v>
      </c>
      <c r="BH40">
        <v>55</v>
      </c>
      <c r="BI40">
        <v>17942</v>
      </c>
      <c r="BJ40">
        <v>13786</v>
      </c>
      <c r="BK40">
        <v>3233</v>
      </c>
      <c r="BL40">
        <v>4811</v>
      </c>
      <c r="BM40">
        <v>4592</v>
      </c>
      <c r="BN40">
        <v>1748</v>
      </c>
      <c r="BO40">
        <v>404</v>
      </c>
      <c r="BP40">
        <v>13083</v>
      </c>
      <c r="BQ40">
        <v>3842</v>
      </c>
      <c r="BR40">
        <v>335</v>
      </c>
      <c r="BS40">
        <v>1852</v>
      </c>
      <c r="BT40">
        <v>421</v>
      </c>
      <c r="BU40">
        <v>1377</v>
      </c>
      <c r="BV40">
        <v>10786</v>
      </c>
      <c r="BW40">
        <v>6785</v>
      </c>
      <c r="BX40">
        <v>26</v>
      </c>
    </row>
    <row r="41" spans="1:76">
      <c r="A41" s="1">
        <v>1153</v>
      </c>
      <c r="B41" s="3" t="s">
        <v>82</v>
      </c>
      <c r="C41" s="1" t="s">
        <v>24</v>
      </c>
      <c r="D41" s="1" t="s">
        <v>24</v>
      </c>
      <c r="E41" s="1" t="s">
        <v>24</v>
      </c>
      <c r="F41" s="1" t="s">
        <v>24</v>
      </c>
      <c r="G41" s="1" t="s">
        <v>26</v>
      </c>
      <c r="H41" s="1">
        <v>70</v>
      </c>
      <c r="I41" s="1" t="s">
        <v>27</v>
      </c>
      <c r="J41" s="1" t="s">
        <v>28</v>
      </c>
      <c r="K41" s="1">
        <v>30.2</v>
      </c>
      <c r="L41" s="1" t="s">
        <v>29</v>
      </c>
      <c r="M41" s="1"/>
      <c r="N41" s="1" t="s">
        <v>29</v>
      </c>
      <c r="O41" s="1" t="s">
        <v>29</v>
      </c>
      <c r="P41" s="1"/>
      <c r="Q41" s="1" t="s">
        <v>34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t="s">
        <v>207</v>
      </c>
      <c r="Y41">
        <v>319599</v>
      </c>
      <c r="Z41">
        <v>283483</v>
      </c>
      <c r="AA41">
        <v>263446</v>
      </c>
      <c r="AB41">
        <v>169300</v>
      </c>
      <c r="AC41">
        <v>388</v>
      </c>
      <c r="AD41">
        <v>384</v>
      </c>
      <c r="AE41">
        <v>361</v>
      </c>
      <c r="AF41">
        <v>359</v>
      </c>
      <c r="AG41">
        <v>359</v>
      </c>
      <c r="AH41">
        <v>61</v>
      </c>
      <c r="AI41">
        <v>262</v>
      </c>
      <c r="AJ41">
        <v>0</v>
      </c>
      <c r="AK41">
        <v>5</v>
      </c>
      <c r="AL41">
        <v>101651</v>
      </c>
      <c r="AM41">
        <v>11487</v>
      </c>
      <c r="AN41">
        <v>88685</v>
      </c>
      <c r="AO41">
        <v>3190</v>
      </c>
      <c r="AP41">
        <v>2765</v>
      </c>
      <c r="AQ41">
        <v>9840</v>
      </c>
      <c r="AR41">
        <v>50866</v>
      </c>
      <c r="AS41">
        <v>6935</v>
      </c>
      <c r="AT41">
        <v>6671</v>
      </c>
      <c r="AU41">
        <v>10404</v>
      </c>
      <c r="AV41">
        <v>1442</v>
      </c>
      <c r="AW41">
        <v>7556</v>
      </c>
      <c r="AX41">
        <v>2135</v>
      </c>
      <c r="AY41">
        <v>4258</v>
      </c>
      <c r="AZ41">
        <v>22143</v>
      </c>
      <c r="BA41">
        <v>199</v>
      </c>
      <c r="BB41">
        <v>66499</v>
      </c>
      <c r="BC41">
        <v>62739</v>
      </c>
      <c r="BD41">
        <v>470</v>
      </c>
      <c r="BE41">
        <v>78</v>
      </c>
      <c r="BF41">
        <v>60766</v>
      </c>
      <c r="BG41">
        <v>48237</v>
      </c>
      <c r="BH41">
        <v>381</v>
      </c>
      <c r="BI41">
        <v>17704</v>
      </c>
      <c r="BJ41">
        <v>1858</v>
      </c>
      <c r="BK41">
        <v>15239</v>
      </c>
      <c r="BL41">
        <v>25497</v>
      </c>
      <c r="BM41">
        <v>25441</v>
      </c>
      <c r="BN41">
        <v>2829</v>
      </c>
      <c r="BO41">
        <v>896</v>
      </c>
      <c r="BP41">
        <v>11119</v>
      </c>
      <c r="BQ41">
        <v>1544</v>
      </c>
      <c r="BR41">
        <v>210</v>
      </c>
      <c r="BS41">
        <v>2155</v>
      </c>
      <c r="BT41">
        <v>1642</v>
      </c>
      <c r="BU41">
        <v>393</v>
      </c>
      <c r="BV41">
        <v>7779</v>
      </c>
      <c r="BW41">
        <v>6462</v>
      </c>
      <c r="BX41">
        <v>51</v>
      </c>
    </row>
    <row r="42" spans="1:76">
      <c r="A42" s="1">
        <v>1226</v>
      </c>
      <c r="B42" s="3" t="s">
        <v>102</v>
      </c>
      <c r="C42" s="1" t="s">
        <v>25</v>
      </c>
      <c r="D42" s="1" t="s">
        <v>24</v>
      </c>
      <c r="E42" s="1" t="s">
        <v>24</v>
      </c>
      <c r="F42" s="1" t="s">
        <v>24</v>
      </c>
      <c r="G42" s="1" t="s">
        <v>32</v>
      </c>
      <c r="H42" s="1">
        <v>58</v>
      </c>
      <c r="I42" s="1" t="s">
        <v>27</v>
      </c>
      <c r="J42" s="1" t="s">
        <v>84</v>
      </c>
      <c r="K42" s="1">
        <v>24.5</v>
      </c>
      <c r="L42" s="1" t="s">
        <v>29</v>
      </c>
      <c r="M42" s="1"/>
      <c r="N42" s="1" t="s">
        <v>29</v>
      </c>
      <c r="O42" s="1" t="s">
        <v>29</v>
      </c>
      <c r="P42" s="1"/>
      <c r="Q42" s="1" t="s">
        <v>34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W42" s="1" t="s">
        <v>34</v>
      </c>
      <c r="X42" t="s">
        <v>229</v>
      </c>
      <c r="Y42">
        <v>38823</v>
      </c>
      <c r="Z42">
        <v>36155</v>
      </c>
      <c r="AA42">
        <v>35289</v>
      </c>
      <c r="AB42">
        <v>18899</v>
      </c>
      <c r="AC42">
        <v>114</v>
      </c>
      <c r="AD42">
        <v>111</v>
      </c>
      <c r="AE42">
        <v>103</v>
      </c>
      <c r="AF42">
        <v>103</v>
      </c>
      <c r="AG42">
        <v>102</v>
      </c>
      <c r="AH42">
        <v>27</v>
      </c>
      <c r="AI42">
        <v>67</v>
      </c>
      <c r="AJ42">
        <v>1</v>
      </c>
      <c r="AK42">
        <v>2</v>
      </c>
      <c r="AL42">
        <v>5934</v>
      </c>
      <c r="AM42">
        <v>1447</v>
      </c>
      <c r="AN42">
        <v>3828</v>
      </c>
      <c r="AO42">
        <v>1287</v>
      </c>
      <c r="AP42">
        <v>59</v>
      </c>
      <c r="AQ42">
        <v>56</v>
      </c>
      <c r="AR42">
        <v>315</v>
      </c>
      <c r="AS42">
        <v>65</v>
      </c>
      <c r="AT42">
        <v>57</v>
      </c>
      <c r="AU42">
        <v>909</v>
      </c>
      <c r="AV42">
        <v>270</v>
      </c>
      <c r="AW42">
        <v>323</v>
      </c>
      <c r="AX42">
        <v>10</v>
      </c>
      <c r="AY42">
        <v>295</v>
      </c>
      <c r="AZ42">
        <v>2324</v>
      </c>
      <c r="BA42">
        <v>29</v>
      </c>
      <c r="BB42">
        <v>12539</v>
      </c>
      <c r="BC42">
        <v>11702</v>
      </c>
      <c r="BD42">
        <v>71</v>
      </c>
      <c r="BE42">
        <v>32</v>
      </c>
      <c r="BF42">
        <v>11296</v>
      </c>
      <c r="BG42">
        <v>8903</v>
      </c>
      <c r="BH42">
        <v>27</v>
      </c>
      <c r="BI42">
        <v>3823</v>
      </c>
      <c r="BJ42">
        <v>1252</v>
      </c>
      <c r="BK42">
        <v>2170</v>
      </c>
      <c r="BL42">
        <v>3963</v>
      </c>
      <c r="BM42">
        <v>3563</v>
      </c>
      <c r="BN42">
        <v>519</v>
      </c>
      <c r="BO42">
        <v>224</v>
      </c>
      <c r="BP42">
        <v>2022</v>
      </c>
      <c r="BQ42">
        <v>292</v>
      </c>
      <c r="BR42">
        <v>73</v>
      </c>
      <c r="BS42">
        <v>621</v>
      </c>
      <c r="BT42">
        <v>98</v>
      </c>
      <c r="BU42">
        <v>487</v>
      </c>
      <c r="BV42">
        <v>1258</v>
      </c>
      <c r="BW42">
        <v>745</v>
      </c>
      <c r="BX42">
        <v>4</v>
      </c>
    </row>
    <row r="43" spans="1:76">
      <c r="A43" s="1">
        <v>1157</v>
      </c>
      <c r="B43" s="3" t="s">
        <v>86</v>
      </c>
      <c r="C43" s="1" t="s">
        <v>24</v>
      </c>
      <c r="D43" s="1" t="s">
        <v>24</v>
      </c>
      <c r="E43" s="1" t="s">
        <v>24</v>
      </c>
      <c r="F43" s="1" t="s">
        <v>24</v>
      </c>
      <c r="G43" s="1" t="s">
        <v>26</v>
      </c>
      <c r="H43" s="1">
        <v>61</v>
      </c>
      <c r="I43" s="1" t="s">
        <v>27</v>
      </c>
      <c r="J43" s="1" t="s">
        <v>28</v>
      </c>
      <c r="K43" s="1">
        <v>26.5</v>
      </c>
      <c r="L43" s="1" t="s">
        <v>29</v>
      </c>
      <c r="M43" s="1"/>
      <c r="N43" s="1" t="s">
        <v>29</v>
      </c>
      <c r="O43" s="1" t="s">
        <v>29</v>
      </c>
      <c r="P43" s="1"/>
      <c r="Q43" s="1" t="s">
        <v>34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1" t="s">
        <v>29</v>
      </c>
      <c r="X43" t="s">
        <v>211</v>
      </c>
      <c r="Y43">
        <v>137475</v>
      </c>
      <c r="Z43">
        <v>125596</v>
      </c>
      <c r="AA43">
        <v>123468</v>
      </c>
      <c r="AB43">
        <v>89313</v>
      </c>
      <c r="AC43">
        <v>297</v>
      </c>
      <c r="AD43">
        <v>281</v>
      </c>
      <c r="AE43">
        <v>246</v>
      </c>
      <c r="AF43">
        <v>242</v>
      </c>
      <c r="AG43">
        <v>236</v>
      </c>
      <c r="AH43">
        <v>30</v>
      </c>
      <c r="AI43">
        <v>155</v>
      </c>
      <c r="AJ43">
        <v>5</v>
      </c>
      <c r="AK43">
        <v>4</v>
      </c>
      <c r="AL43">
        <v>31267</v>
      </c>
      <c r="AM43">
        <v>6869</v>
      </c>
      <c r="AN43">
        <v>23464</v>
      </c>
      <c r="AO43">
        <v>970</v>
      </c>
      <c r="AP43">
        <v>1505</v>
      </c>
      <c r="AQ43">
        <v>2763</v>
      </c>
      <c r="AR43">
        <v>12545</v>
      </c>
      <c r="AS43">
        <v>4416</v>
      </c>
      <c r="AT43">
        <v>4372</v>
      </c>
      <c r="AU43">
        <v>2588</v>
      </c>
      <c r="AV43">
        <v>321</v>
      </c>
      <c r="AW43">
        <v>1881</v>
      </c>
      <c r="AX43">
        <v>402</v>
      </c>
      <c r="AY43">
        <v>1373</v>
      </c>
      <c r="AZ43">
        <v>6866</v>
      </c>
      <c r="BA43">
        <v>74</v>
      </c>
      <c r="BB43">
        <v>54964</v>
      </c>
      <c r="BC43">
        <v>50396</v>
      </c>
      <c r="BD43">
        <v>700</v>
      </c>
      <c r="BE43">
        <v>391</v>
      </c>
      <c r="BF43">
        <v>47115</v>
      </c>
      <c r="BG43">
        <v>35712</v>
      </c>
      <c r="BH43">
        <v>349</v>
      </c>
      <c r="BI43">
        <v>20614</v>
      </c>
      <c r="BJ43">
        <v>11006</v>
      </c>
      <c r="BK43">
        <v>8241</v>
      </c>
      <c r="BL43">
        <v>11938</v>
      </c>
      <c r="BM43">
        <v>10811</v>
      </c>
      <c r="BN43">
        <v>8018</v>
      </c>
      <c r="BO43">
        <v>4409</v>
      </c>
      <c r="BP43">
        <v>9125</v>
      </c>
      <c r="BQ43">
        <v>3865</v>
      </c>
      <c r="BR43">
        <v>2103</v>
      </c>
      <c r="BS43">
        <v>2077</v>
      </c>
      <c r="BT43">
        <v>592</v>
      </c>
      <c r="BU43">
        <v>1425</v>
      </c>
      <c r="BV43">
        <v>6019</v>
      </c>
      <c r="BW43">
        <v>3844</v>
      </c>
      <c r="BX43">
        <v>66</v>
      </c>
    </row>
    <row r="44" spans="1:76">
      <c r="A44" s="1">
        <v>1013</v>
      </c>
      <c r="B44" s="3" t="s">
        <v>38</v>
      </c>
      <c r="C44" s="1" t="s">
        <v>25</v>
      </c>
      <c r="D44" s="1" t="s">
        <v>24</v>
      </c>
      <c r="E44" s="1" t="s">
        <v>24</v>
      </c>
      <c r="F44" s="1" t="s">
        <v>24</v>
      </c>
      <c r="G44" s="1" t="s">
        <v>32</v>
      </c>
      <c r="H44" s="1">
        <v>65</v>
      </c>
      <c r="I44" s="1" t="s">
        <v>27</v>
      </c>
      <c r="J44" s="1" t="s">
        <v>28</v>
      </c>
      <c r="K44" s="1">
        <v>32.6</v>
      </c>
      <c r="L44" s="1" t="s">
        <v>29</v>
      </c>
      <c r="M44" s="1"/>
      <c r="N44" s="1" t="s">
        <v>29</v>
      </c>
      <c r="O44" s="1" t="s">
        <v>34</v>
      </c>
      <c r="P44" s="1" t="s">
        <v>39</v>
      </c>
      <c r="Q44" s="1" t="s">
        <v>34</v>
      </c>
      <c r="R44" s="1" t="s">
        <v>29</v>
      </c>
      <c r="S44" s="1" t="s">
        <v>34</v>
      </c>
      <c r="T44" s="1" t="s">
        <v>29</v>
      </c>
      <c r="U44" s="1" t="s">
        <v>29</v>
      </c>
      <c r="V44" s="1" t="s">
        <v>29</v>
      </c>
      <c r="W44" s="1" t="s">
        <v>29</v>
      </c>
      <c r="X44" t="s">
        <v>171</v>
      </c>
      <c r="Y44">
        <v>36817</v>
      </c>
      <c r="Z44">
        <v>34554</v>
      </c>
      <c r="AA44">
        <v>33806</v>
      </c>
      <c r="AB44">
        <v>10634</v>
      </c>
      <c r="AC44">
        <v>215</v>
      </c>
      <c r="AD44">
        <v>215</v>
      </c>
      <c r="AE44">
        <v>203</v>
      </c>
      <c r="AF44">
        <v>203</v>
      </c>
      <c r="AG44">
        <v>203</v>
      </c>
      <c r="AH44">
        <v>119</v>
      </c>
      <c r="AI44">
        <v>60</v>
      </c>
      <c r="AJ44">
        <v>8</v>
      </c>
      <c r="AK44">
        <v>4</v>
      </c>
      <c r="AL44">
        <v>5790</v>
      </c>
      <c r="AM44">
        <v>1094</v>
      </c>
      <c r="AN44">
        <v>4532</v>
      </c>
      <c r="AO44">
        <v>435</v>
      </c>
      <c r="AP44">
        <v>813</v>
      </c>
      <c r="AQ44">
        <v>923</v>
      </c>
      <c r="AR44">
        <v>785</v>
      </c>
      <c r="AS44">
        <v>219</v>
      </c>
      <c r="AT44">
        <v>182</v>
      </c>
      <c r="AU44">
        <v>892</v>
      </c>
      <c r="AV44">
        <v>130</v>
      </c>
      <c r="AW44">
        <v>596</v>
      </c>
      <c r="AX44">
        <v>59</v>
      </c>
      <c r="AY44">
        <v>458</v>
      </c>
      <c r="AZ44">
        <v>2512</v>
      </c>
      <c r="BA44">
        <v>10</v>
      </c>
      <c r="BB44">
        <v>4397</v>
      </c>
      <c r="BC44">
        <v>4172</v>
      </c>
      <c r="BD44">
        <v>68</v>
      </c>
      <c r="BE44">
        <v>103</v>
      </c>
      <c r="BF44">
        <v>3741</v>
      </c>
      <c r="BG44">
        <v>2651</v>
      </c>
      <c r="BH44">
        <v>12</v>
      </c>
      <c r="BI44">
        <v>1277</v>
      </c>
      <c r="BJ44">
        <v>241</v>
      </c>
      <c r="BK44">
        <v>956</v>
      </c>
      <c r="BL44">
        <v>1103</v>
      </c>
      <c r="BM44">
        <v>1096</v>
      </c>
      <c r="BN44">
        <v>206</v>
      </c>
      <c r="BO44">
        <v>74</v>
      </c>
      <c r="BP44">
        <v>939</v>
      </c>
      <c r="BQ44">
        <v>227</v>
      </c>
      <c r="BR44">
        <v>66</v>
      </c>
      <c r="BS44">
        <v>190</v>
      </c>
      <c r="BT44">
        <v>75</v>
      </c>
      <c r="BU44">
        <v>105</v>
      </c>
      <c r="BV44">
        <v>693</v>
      </c>
      <c r="BW44">
        <v>438</v>
      </c>
      <c r="BX44">
        <v>3</v>
      </c>
    </row>
    <row r="45" spans="1:76">
      <c r="A45" s="1">
        <v>1168</v>
      </c>
      <c r="B45" s="3" t="s">
        <v>80</v>
      </c>
      <c r="C45" s="1" t="s">
        <v>25</v>
      </c>
      <c r="D45" s="1" t="s">
        <v>24</v>
      </c>
      <c r="E45" s="1" t="s">
        <v>24</v>
      </c>
      <c r="F45" s="1" t="s">
        <v>24</v>
      </c>
      <c r="G45" s="1" t="s">
        <v>32</v>
      </c>
      <c r="H45" s="1">
        <v>76</v>
      </c>
      <c r="I45" s="1" t="s">
        <v>49</v>
      </c>
      <c r="J45" s="1" t="s">
        <v>37</v>
      </c>
      <c r="K45" s="1">
        <v>24.1</v>
      </c>
      <c r="L45" s="1" t="s">
        <v>29</v>
      </c>
      <c r="M45" s="1"/>
      <c r="N45" s="1" t="s">
        <v>34</v>
      </c>
      <c r="O45" s="1" t="s">
        <v>34</v>
      </c>
      <c r="P45" s="1" t="s">
        <v>95</v>
      </c>
      <c r="Q45" s="1" t="s">
        <v>34</v>
      </c>
      <c r="R45" s="1" t="s">
        <v>29</v>
      </c>
      <c r="S45" s="1" t="s">
        <v>34</v>
      </c>
      <c r="T45" s="1" t="s">
        <v>29</v>
      </c>
      <c r="U45" s="1" t="s">
        <v>29</v>
      </c>
      <c r="V45" s="1" t="s">
        <v>29</v>
      </c>
      <c r="W45" s="1" t="s">
        <v>29</v>
      </c>
      <c r="X45" t="s">
        <v>219</v>
      </c>
      <c r="Y45">
        <v>85258</v>
      </c>
      <c r="Z45">
        <v>80830</v>
      </c>
      <c r="AA45">
        <v>71821</v>
      </c>
      <c r="AB45">
        <v>19519</v>
      </c>
      <c r="AC45">
        <v>315</v>
      </c>
      <c r="AD45">
        <v>310</v>
      </c>
      <c r="AE45">
        <v>284</v>
      </c>
      <c r="AF45">
        <v>283</v>
      </c>
      <c r="AG45">
        <v>283</v>
      </c>
      <c r="AH45">
        <v>53</v>
      </c>
      <c r="AI45">
        <v>180</v>
      </c>
      <c r="AJ45">
        <v>1</v>
      </c>
      <c r="AK45">
        <v>4</v>
      </c>
      <c r="AL45">
        <v>12052</v>
      </c>
      <c r="AM45">
        <v>380</v>
      </c>
      <c r="AN45">
        <v>11234</v>
      </c>
      <c r="AO45">
        <v>307</v>
      </c>
      <c r="AP45">
        <v>521</v>
      </c>
      <c r="AQ45">
        <v>901</v>
      </c>
      <c r="AR45">
        <v>3398</v>
      </c>
      <c r="AS45">
        <v>1551</v>
      </c>
      <c r="AT45">
        <v>1454</v>
      </c>
      <c r="AU45">
        <v>2445</v>
      </c>
      <c r="AV45">
        <v>210</v>
      </c>
      <c r="AW45">
        <v>1446</v>
      </c>
      <c r="AX45">
        <v>65</v>
      </c>
      <c r="AY45">
        <v>1208</v>
      </c>
      <c r="AZ45">
        <v>4080</v>
      </c>
      <c r="BA45">
        <v>52</v>
      </c>
      <c r="BB45">
        <v>6580</v>
      </c>
      <c r="BC45">
        <v>5899</v>
      </c>
      <c r="BD45">
        <v>51</v>
      </c>
      <c r="BE45">
        <v>95</v>
      </c>
      <c r="BF45">
        <v>5583</v>
      </c>
      <c r="BG45">
        <v>1250</v>
      </c>
      <c r="BH45">
        <v>24</v>
      </c>
      <c r="BI45">
        <v>355</v>
      </c>
      <c r="BJ45">
        <v>8</v>
      </c>
      <c r="BK45">
        <v>340</v>
      </c>
      <c r="BL45">
        <v>800</v>
      </c>
      <c r="BM45">
        <v>800</v>
      </c>
      <c r="BN45">
        <v>263</v>
      </c>
      <c r="BO45">
        <v>32</v>
      </c>
      <c r="BP45">
        <v>3914</v>
      </c>
      <c r="BQ45">
        <v>1101</v>
      </c>
      <c r="BR45">
        <v>60</v>
      </c>
      <c r="BS45">
        <v>239</v>
      </c>
      <c r="BT45">
        <v>222</v>
      </c>
      <c r="BU45">
        <v>13</v>
      </c>
      <c r="BV45">
        <v>3578</v>
      </c>
      <c r="BW45">
        <v>3336</v>
      </c>
      <c r="BX45">
        <v>34</v>
      </c>
    </row>
    <row r="46" spans="1:76">
      <c r="A46" s="1">
        <v>1145</v>
      </c>
      <c r="B46" s="3" t="s">
        <v>77</v>
      </c>
      <c r="C46" s="1" t="s">
        <v>25</v>
      </c>
      <c r="D46" s="1" t="s">
        <v>25</v>
      </c>
      <c r="E46" s="1" t="s">
        <v>24</v>
      </c>
      <c r="F46" s="1" t="s">
        <v>24</v>
      </c>
      <c r="G46" s="1" t="s">
        <v>32</v>
      </c>
      <c r="H46" s="1">
        <v>73</v>
      </c>
      <c r="I46" s="1" t="s">
        <v>27</v>
      </c>
      <c r="J46" s="1" t="s">
        <v>28</v>
      </c>
      <c r="K46" s="1">
        <v>31.3</v>
      </c>
      <c r="L46" s="1" t="s">
        <v>29</v>
      </c>
      <c r="M46" s="1"/>
      <c r="N46" s="1" t="s">
        <v>29</v>
      </c>
      <c r="O46" s="1" t="s">
        <v>34</v>
      </c>
      <c r="P46" s="1" t="s">
        <v>78</v>
      </c>
      <c r="Q46" s="1" t="s">
        <v>34</v>
      </c>
      <c r="R46" s="1" t="s">
        <v>29</v>
      </c>
      <c r="S46" s="1" t="s">
        <v>34</v>
      </c>
      <c r="T46" s="1" t="s">
        <v>29</v>
      </c>
      <c r="U46" s="1" t="s">
        <v>29</v>
      </c>
      <c r="V46" s="1" t="s">
        <v>29</v>
      </c>
      <c r="W46" s="1" t="s">
        <v>29</v>
      </c>
      <c r="X46" t="s">
        <v>203</v>
      </c>
      <c r="Y46">
        <v>90582</v>
      </c>
      <c r="Z46">
        <v>82483</v>
      </c>
      <c r="AA46">
        <v>79796</v>
      </c>
      <c r="AB46">
        <v>41808</v>
      </c>
      <c r="AC46">
        <v>360</v>
      </c>
      <c r="AD46">
        <v>356</v>
      </c>
      <c r="AE46">
        <v>327</v>
      </c>
      <c r="AF46">
        <v>325</v>
      </c>
      <c r="AG46">
        <v>324</v>
      </c>
      <c r="AH46">
        <v>105</v>
      </c>
      <c r="AI46">
        <v>168</v>
      </c>
      <c r="AJ46">
        <v>7</v>
      </c>
      <c r="AK46">
        <v>5</v>
      </c>
      <c r="AL46">
        <v>21382</v>
      </c>
      <c r="AM46">
        <v>655</v>
      </c>
      <c r="AN46">
        <v>20282</v>
      </c>
      <c r="AO46">
        <v>1243</v>
      </c>
      <c r="AP46">
        <v>1850</v>
      </c>
      <c r="AQ46">
        <v>2233</v>
      </c>
      <c r="AR46">
        <v>8801</v>
      </c>
      <c r="AS46">
        <v>2020</v>
      </c>
      <c r="AT46">
        <v>1965</v>
      </c>
      <c r="AU46">
        <v>3350</v>
      </c>
      <c r="AV46">
        <v>368</v>
      </c>
      <c r="AW46">
        <v>2141</v>
      </c>
      <c r="AX46">
        <v>184</v>
      </c>
      <c r="AY46">
        <v>1796</v>
      </c>
      <c r="AZ46">
        <v>6732</v>
      </c>
      <c r="BA46">
        <v>25</v>
      </c>
      <c r="BB46">
        <v>19550</v>
      </c>
      <c r="BC46">
        <v>18764</v>
      </c>
      <c r="BD46">
        <v>2169</v>
      </c>
      <c r="BE46">
        <v>1103</v>
      </c>
      <c r="BF46">
        <v>13674</v>
      </c>
      <c r="BG46">
        <v>7822</v>
      </c>
      <c r="BH46">
        <v>40</v>
      </c>
      <c r="BI46">
        <v>1092</v>
      </c>
      <c r="BJ46">
        <v>282</v>
      </c>
      <c r="BK46">
        <v>732</v>
      </c>
      <c r="BL46">
        <v>6469</v>
      </c>
      <c r="BM46">
        <v>6263</v>
      </c>
      <c r="BN46">
        <v>1062</v>
      </c>
      <c r="BO46">
        <v>89</v>
      </c>
      <c r="BP46">
        <v>4874</v>
      </c>
      <c r="BQ46">
        <v>926</v>
      </c>
      <c r="BR46">
        <v>59</v>
      </c>
      <c r="BS46">
        <v>190</v>
      </c>
      <c r="BT46">
        <v>112</v>
      </c>
      <c r="BU46">
        <v>68</v>
      </c>
      <c r="BV46">
        <v>4603</v>
      </c>
      <c r="BW46">
        <v>3288</v>
      </c>
      <c r="BX46">
        <v>35</v>
      </c>
    </row>
    <row r="47" spans="1:76">
      <c r="A47" s="1">
        <v>1014</v>
      </c>
      <c r="B47" s="3" t="s">
        <v>40</v>
      </c>
      <c r="C47" s="1" t="s">
        <v>25</v>
      </c>
      <c r="D47" s="1" t="s">
        <v>24</v>
      </c>
      <c r="E47" s="1" t="s">
        <v>24</v>
      </c>
      <c r="F47" s="1" t="s">
        <v>24</v>
      </c>
      <c r="G47" s="1" t="s">
        <v>32</v>
      </c>
      <c r="H47" s="1">
        <v>75</v>
      </c>
      <c r="I47" s="1" t="s">
        <v>27</v>
      </c>
      <c r="J47" s="1" t="s">
        <v>28</v>
      </c>
      <c r="K47" s="1">
        <v>22.3</v>
      </c>
      <c r="L47" s="1" t="s">
        <v>34</v>
      </c>
      <c r="M47" s="1" t="s">
        <v>29</v>
      </c>
      <c r="N47" s="1" t="s">
        <v>29</v>
      </c>
      <c r="O47" s="1" t="s">
        <v>29</v>
      </c>
      <c r="P47" s="1"/>
      <c r="Q47" s="1" t="s">
        <v>29</v>
      </c>
      <c r="R47" s="1" t="s">
        <v>29</v>
      </c>
      <c r="S47" s="1" t="s">
        <v>34</v>
      </c>
      <c r="T47" s="1" t="s">
        <v>29</v>
      </c>
      <c r="U47" s="1" t="s">
        <v>34</v>
      </c>
      <c r="V47" s="1" t="s">
        <v>29</v>
      </c>
      <c r="W47" s="1" t="s">
        <v>29</v>
      </c>
      <c r="X47" t="s">
        <v>172</v>
      </c>
      <c r="Y47">
        <v>112228</v>
      </c>
      <c r="Z47">
        <v>110574</v>
      </c>
      <c r="AA47">
        <v>108857</v>
      </c>
      <c r="AB47">
        <v>49789</v>
      </c>
      <c r="AC47">
        <v>975</v>
      </c>
      <c r="AD47">
        <v>936</v>
      </c>
      <c r="AE47">
        <v>914</v>
      </c>
      <c r="AF47">
        <v>908</v>
      </c>
      <c r="AG47">
        <v>907</v>
      </c>
      <c r="AH47">
        <v>749</v>
      </c>
      <c r="AI47">
        <v>26</v>
      </c>
      <c r="AJ47">
        <v>0</v>
      </c>
      <c r="AK47">
        <v>0</v>
      </c>
      <c r="AL47">
        <v>20845</v>
      </c>
      <c r="AM47">
        <v>3782</v>
      </c>
      <c r="AN47">
        <v>16514</v>
      </c>
      <c r="AO47">
        <v>2447</v>
      </c>
      <c r="AP47">
        <v>1124</v>
      </c>
      <c r="AQ47">
        <v>1219</v>
      </c>
      <c r="AR47">
        <v>6527</v>
      </c>
      <c r="AS47">
        <v>4609</v>
      </c>
      <c r="AT47">
        <v>4424</v>
      </c>
      <c r="AU47">
        <v>2183</v>
      </c>
      <c r="AV47">
        <v>369</v>
      </c>
      <c r="AW47">
        <v>955</v>
      </c>
      <c r="AX47">
        <v>167</v>
      </c>
      <c r="AY47">
        <v>646</v>
      </c>
      <c r="AZ47">
        <v>6180</v>
      </c>
      <c r="BA47">
        <v>94</v>
      </c>
      <c r="BB47">
        <v>27126</v>
      </c>
      <c r="BC47">
        <v>25648</v>
      </c>
      <c r="BD47">
        <v>195</v>
      </c>
      <c r="BE47">
        <v>1019</v>
      </c>
      <c r="BF47">
        <v>23619</v>
      </c>
      <c r="BG47">
        <v>17982</v>
      </c>
      <c r="BH47">
        <v>56</v>
      </c>
      <c r="BI47">
        <v>13351</v>
      </c>
      <c r="BJ47">
        <v>6052</v>
      </c>
      <c r="BK47">
        <v>5873</v>
      </c>
      <c r="BL47">
        <v>3827</v>
      </c>
      <c r="BM47">
        <v>3768</v>
      </c>
      <c r="BN47">
        <v>1661</v>
      </c>
      <c r="BO47">
        <v>438</v>
      </c>
      <c r="BP47">
        <v>5083</v>
      </c>
      <c r="BQ47">
        <v>1141</v>
      </c>
      <c r="BR47">
        <v>231</v>
      </c>
      <c r="BS47">
        <v>409</v>
      </c>
      <c r="BT47">
        <v>127</v>
      </c>
      <c r="BU47">
        <v>257</v>
      </c>
      <c r="BV47">
        <v>4579</v>
      </c>
      <c r="BW47">
        <v>3318</v>
      </c>
      <c r="BX47">
        <v>7</v>
      </c>
    </row>
    <row r="48" spans="1:76">
      <c r="A48" s="1">
        <v>1008</v>
      </c>
      <c r="B48" s="3" t="s">
        <v>33</v>
      </c>
      <c r="C48" s="1" t="s">
        <v>24</v>
      </c>
      <c r="D48" s="1" t="s">
        <v>25</v>
      </c>
      <c r="E48" s="1" t="s">
        <v>24</v>
      </c>
      <c r="F48" s="1" t="s">
        <v>24</v>
      </c>
      <c r="G48" s="1" t="s">
        <v>32</v>
      </c>
      <c r="H48" s="1">
        <v>71</v>
      </c>
      <c r="I48" s="1" t="s">
        <v>27</v>
      </c>
      <c r="J48" s="1" t="s">
        <v>28</v>
      </c>
      <c r="K48" s="1">
        <v>19.3</v>
      </c>
      <c r="L48" s="1" t="s">
        <v>34</v>
      </c>
      <c r="M48" s="1" t="s">
        <v>29</v>
      </c>
      <c r="N48" s="1" t="s">
        <v>29</v>
      </c>
      <c r="O48" s="1" t="s">
        <v>29</v>
      </c>
      <c r="P48" s="1"/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  <c r="X48" t="s">
        <v>168</v>
      </c>
      <c r="Y48">
        <v>47011</v>
      </c>
      <c r="Z48">
        <v>45318</v>
      </c>
      <c r="AA48">
        <v>44254</v>
      </c>
      <c r="AB48">
        <v>27384</v>
      </c>
      <c r="AC48">
        <v>190</v>
      </c>
      <c r="AD48">
        <v>182</v>
      </c>
      <c r="AE48">
        <v>169</v>
      </c>
      <c r="AF48">
        <v>165</v>
      </c>
      <c r="AG48">
        <v>163</v>
      </c>
      <c r="AH48">
        <v>44</v>
      </c>
      <c r="AI48">
        <v>104</v>
      </c>
      <c r="AJ48">
        <v>0</v>
      </c>
      <c r="AK48">
        <v>0</v>
      </c>
      <c r="AL48">
        <v>13407</v>
      </c>
      <c r="AM48">
        <v>3105</v>
      </c>
      <c r="AN48">
        <v>9778</v>
      </c>
      <c r="AO48">
        <v>647</v>
      </c>
      <c r="AP48">
        <v>266</v>
      </c>
      <c r="AQ48">
        <v>438</v>
      </c>
      <c r="AR48">
        <v>4268</v>
      </c>
      <c r="AS48">
        <v>564</v>
      </c>
      <c r="AT48">
        <v>516</v>
      </c>
      <c r="AU48">
        <v>2355</v>
      </c>
      <c r="AV48">
        <v>374</v>
      </c>
      <c r="AW48">
        <v>1642</v>
      </c>
      <c r="AX48">
        <v>13</v>
      </c>
      <c r="AY48">
        <v>1617</v>
      </c>
      <c r="AZ48">
        <v>2487</v>
      </c>
      <c r="BA48">
        <v>61</v>
      </c>
      <c r="BB48">
        <v>13320</v>
      </c>
      <c r="BC48">
        <v>12779</v>
      </c>
      <c r="BD48">
        <v>221</v>
      </c>
      <c r="BE48">
        <v>168</v>
      </c>
      <c r="BF48">
        <v>11903</v>
      </c>
      <c r="BG48">
        <v>9575</v>
      </c>
      <c r="BH48">
        <v>12</v>
      </c>
      <c r="BI48">
        <v>7111</v>
      </c>
      <c r="BJ48">
        <v>2140</v>
      </c>
      <c r="BK48">
        <v>4244</v>
      </c>
      <c r="BL48">
        <v>1849</v>
      </c>
      <c r="BM48">
        <v>1802</v>
      </c>
      <c r="BN48">
        <v>826</v>
      </c>
      <c r="BO48">
        <v>357</v>
      </c>
      <c r="BP48">
        <v>2032</v>
      </c>
      <c r="BQ48">
        <v>325</v>
      </c>
      <c r="BR48">
        <v>91</v>
      </c>
      <c r="BS48">
        <v>1281</v>
      </c>
      <c r="BT48">
        <v>85</v>
      </c>
      <c r="BU48">
        <v>1159</v>
      </c>
      <c r="BV48">
        <v>679</v>
      </c>
      <c r="BW48">
        <v>496</v>
      </c>
      <c r="BX48">
        <v>3</v>
      </c>
    </row>
    <row r="49" spans="1:76">
      <c r="A49" s="1">
        <v>1164</v>
      </c>
      <c r="B49" s="3" t="s">
        <v>92</v>
      </c>
      <c r="C49" s="1" t="s">
        <v>24</v>
      </c>
      <c r="D49" s="1" t="s">
        <v>25</v>
      </c>
      <c r="E49" s="1" t="s">
        <v>24</v>
      </c>
      <c r="F49" s="1" t="s">
        <v>24</v>
      </c>
      <c r="G49" s="1" t="s">
        <v>26</v>
      </c>
      <c r="H49" s="1">
        <v>65</v>
      </c>
      <c r="I49" s="1" t="s">
        <v>27</v>
      </c>
      <c r="J49" s="1" t="s">
        <v>28</v>
      </c>
      <c r="K49" s="1">
        <v>29.3</v>
      </c>
      <c r="L49" s="1" t="s">
        <v>34</v>
      </c>
      <c r="M49" s="1" t="s">
        <v>29</v>
      </c>
      <c r="N49" s="1" t="s">
        <v>29</v>
      </c>
      <c r="O49" s="1" t="s">
        <v>29</v>
      </c>
      <c r="P49" s="1"/>
      <c r="Q49" s="1" t="s">
        <v>29</v>
      </c>
      <c r="R49" s="1" t="s">
        <v>29</v>
      </c>
      <c r="S49" s="1" t="s">
        <v>34</v>
      </c>
      <c r="T49" s="1" t="s">
        <v>29</v>
      </c>
      <c r="U49" s="1" t="s">
        <v>29</v>
      </c>
      <c r="V49" s="1" t="s">
        <v>29</v>
      </c>
      <c r="W49" s="1" t="s">
        <v>29</v>
      </c>
      <c r="X49" t="s">
        <v>216</v>
      </c>
      <c r="Y49">
        <v>62413</v>
      </c>
      <c r="Z49">
        <v>59157</v>
      </c>
      <c r="AA49">
        <v>55171</v>
      </c>
      <c r="AB49">
        <v>21132</v>
      </c>
      <c r="AC49">
        <v>165</v>
      </c>
      <c r="AD49">
        <v>162</v>
      </c>
      <c r="AE49">
        <v>149</v>
      </c>
      <c r="AF49">
        <v>149</v>
      </c>
      <c r="AG49">
        <v>149</v>
      </c>
      <c r="AH49">
        <v>52</v>
      </c>
      <c r="AI49">
        <v>84</v>
      </c>
      <c r="AJ49">
        <v>1</v>
      </c>
      <c r="AK49">
        <v>0</v>
      </c>
      <c r="AL49">
        <v>8185</v>
      </c>
      <c r="AM49">
        <v>1962</v>
      </c>
      <c r="AN49">
        <v>6031</v>
      </c>
      <c r="AO49">
        <v>339</v>
      </c>
      <c r="AP49">
        <v>614</v>
      </c>
      <c r="AQ49">
        <v>816</v>
      </c>
      <c r="AR49">
        <v>1652</v>
      </c>
      <c r="AS49">
        <v>942</v>
      </c>
      <c r="AT49">
        <v>880</v>
      </c>
      <c r="AU49">
        <v>1111</v>
      </c>
      <c r="AV49">
        <v>49</v>
      </c>
      <c r="AW49">
        <v>759</v>
      </c>
      <c r="AX49">
        <v>15</v>
      </c>
      <c r="AY49">
        <v>705</v>
      </c>
      <c r="AZ49">
        <v>2674</v>
      </c>
      <c r="BA49">
        <v>14</v>
      </c>
      <c r="BB49">
        <v>12549</v>
      </c>
      <c r="BC49">
        <v>11822</v>
      </c>
      <c r="BD49">
        <v>152</v>
      </c>
      <c r="BE49">
        <v>58</v>
      </c>
      <c r="BF49">
        <v>11145</v>
      </c>
      <c r="BG49">
        <v>6993</v>
      </c>
      <c r="BH49">
        <v>94</v>
      </c>
      <c r="BI49">
        <v>5031</v>
      </c>
      <c r="BJ49">
        <v>1372</v>
      </c>
      <c r="BK49">
        <v>3146</v>
      </c>
      <c r="BL49">
        <v>1598</v>
      </c>
      <c r="BM49">
        <v>1572</v>
      </c>
      <c r="BN49">
        <v>560</v>
      </c>
      <c r="BO49">
        <v>297</v>
      </c>
      <c r="BP49">
        <v>3815</v>
      </c>
      <c r="BQ49">
        <v>657</v>
      </c>
      <c r="BR49">
        <v>94</v>
      </c>
      <c r="BS49">
        <v>934</v>
      </c>
      <c r="BT49">
        <v>302</v>
      </c>
      <c r="BU49">
        <v>568</v>
      </c>
      <c r="BV49">
        <v>2737</v>
      </c>
      <c r="BW49">
        <v>2549</v>
      </c>
      <c r="BX49">
        <v>4</v>
      </c>
    </row>
    <row r="50" spans="1:76">
      <c r="A50" s="1">
        <v>1166</v>
      </c>
      <c r="B50" s="3" t="s">
        <v>94</v>
      </c>
      <c r="C50" s="1" t="s">
        <v>24</v>
      </c>
      <c r="D50" s="1" t="s">
        <v>25</v>
      </c>
      <c r="E50" s="1" t="s">
        <v>24</v>
      </c>
      <c r="F50" s="1" t="s">
        <v>24</v>
      </c>
      <c r="G50" s="1" t="s">
        <v>26</v>
      </c>
      <c r="H50" s="1">
        <v>66</v>
      </c>
      <c r="I50" s="1" t="s">
        <v>27</v>
      </c>
      <c r="J50" s="1" t="s">
        <v>28</v>
      </c>
      <c r="K50" s="1">
        <v>31.1</v>
      </c>
      <c r="L50" s="1" t="s">
        <v>34</v>
      </c>
      <c r="M50" s="1" t="s">
        <v>29</v>
      </c>
      <c r="N50" s="1" t="s">
        <v>29</v>
      </c>
      <c r="O50" s="1" t="s">
        <v>29</v>
      </c>
      <c r="P50" s="1"/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1" t="s">
        <v>34</v>
      </c>
      <c r="W50" s="1" t="s">
        <v>29</v>
      </c>
      <c r="X50" t="s">
        <v>218</v>
      </c>
      <c r="Y50">
        <v>86919</v>
      </c>
      <c r="Z50">
        <v>81185</v>
      </c>
      <c r="AA50">
        <v>78665</v>
      </c>
      <c r="AB50">
        <v>49508</v>
      </c>
      <c r="AC50">
        <v>92</v>
      </c>
      <c r="AD50">
        <v>90</v>
      </c>
      <c r="AE50">
        <v>86</v>
      </c>
      <c r="AF50">
        <v>84</v>
      </c>
      <c r="AG50">
        <v>84</v>
      </c>
      <c r="AH50">
        <v>17</v>
      </c>
      <c r="AI50">
        <v>58</v>
      </c>
      <c r="AJ50">
        <v>1</v>
      </c>
      <c r="AK50">
        <v>1</v>
      </c>
      <c r="AL50">
        <v>24820</v>
      </c>
      <c r="AM50">
        <v>3921</v>
      </c>
      <c r="AN50">
        <v>20293</v>
      </c>
      <c r="AO50">
        <v>717</v>
      </c>
      <c r="AP50">
        <v>1560</v>
      </c>
      <c r="AQ50">
        <v>2990</v>
      </c>
      <c r="AR50">
        <v>8315</v>
      </c>
      <c r="AS50">
        <v>1019</v>
      </c>
      <c r="AT50">
        <v>1007</v>
      </c>
      <c r="AU50">
        <v>3475</v>
      </c>
      <c r="AV50">
        <v>534</v>
      </c>
      <c r="AW50">
        <v>2727</v>
      </c>
      <c r="AX50">
        <v>357</v>
      </c>
      <c r="AY50">
        <v>2123</v>
      </c>
      <c r="AZ50">
        <v>7120</v>
      </c>
      <c r="BA50">
        <v>31</v>
      </c>
      <c r="BB50">
        <v>24379</v>
      </c>
      <c r="BC50">
        <v>21837</v>
      </c>
      <c r="BD50">
        <v>93</v>
      </c>
      <c r="BE50">
        <v>251</v>
      </c>
      <c r="BF50">
        <v>20954</v>
      </c>
      <c r="BG50">
        <v>11790</v>
      </c>
      <c r="BH50">
        <v>55</v>
      </c>
      <c r="BI50">
        <v>6357</v>
      </c>
      <c r="BJ50">
        <v>1930</v>
      </c>
      <c r="BK50">
        <v>3879</v>
      </c>
      <c r="BL50">
        <v>4362</v>
      </c>
      <c r="BM50">
        <v>4285</v>
      </c>
      <c r="BN50">
        <v>637</v>
      </c>
      <c r="BO50">
        <v>191</v>
      </c>
      <c r="BP50">
        <v>7680</v>
      </c>
      <c r="BQ50">
        <v>432</v>
      </c>
      <c r="BR50">
        <v>103</v>
      </c>
      <c r="BS50">
        <v>2100</v>
      </c>
      <c r="BT50">
        <v>475</v>
      </c>
      <c r="BU50">
        <v>1487</v>
      </c>
      <c r="BV50">
        <v>5215</v>
      </c>
      <c r="BW50">
        <v>2100</v>
      </c>
      <c r="BX50">
        <v>283</v>
      </c>
    </row>
    <row r="51" spans="1:76">
      <c r="A51" s="1">
        <v>1315</v>
      </c>
      <c r="B51" s="3" t="s">
        <v>109</v>
      </c>
      <c r="C51" s="1" t="s">
        <v>24</v>
      </c>
      <c r="D51" s="1" t="s">
        <v>25</v>
      </c>
      <c r="E51" s="1" t="s">
        <v>24</v>
      </c>
      <c r="F51" s="1" t="s">
        <v>24</v>
      </c>
      <c r="G51" s="1" t="s">
        <v>32</v>
      </c>
      <c r="H51" s="1">
        <v>46</v>
      </c>
      <c r="I51" s="1" t="s">
        <v>27</v>
      </c>
      <c r="J51" s="1" t="s">
        <v>28</v>
      </c>
      <c r="K51" s="1">
        <v>25.8</v>
      </c>
      <c r="L51" s="1" t="s">
        <v>34</v>
      </c>
      <c r="M51" s="1" t="s">
        <v>34</v>
      </c>
      <c r="N51" s="1" t="s">
        <v>29</v>
      </c>
      <c r="O51" s="1" t="s">
        <v>29</v>
      </c>
      <c r="P51" s="1"/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1" t="s">
        <v>29</v>
      </c>
      <c r="W51" s="1" t="s">
        <v>29</v>
      </c>
      <c r="X51" t="s">
        <v>237</v>
      </c>
      <c r="Y51">
        <v>150567</v>
      </c>
      <c r="Z51">
        <v>146792</v>
      </c>
      <c r="AA51">
        <v>145799</v>
      </c>
      <c r="AB51">
        <v>118434</v>
      </c>
      <c r="AC51">
        <v>126</v>
      </c>
      <c r="AD51">
        <v>125</v>
      </c>
      <c r="AE51">
        <v>118</v>
      </c>
      <c r="AF51">
        <v>118</v>
      </c>
      <c r="AG51">
        <v>118</v>
      </c>
      <c r="AH51">
        <v>54</v>
      </c>
      <c r="AI51">
        <v>41</v>
      </c>
      <c r="AJ51">
        <v>0</v>
      </c>
      <c r="AK51">
        <v>1</v>
      </c>
      <c r="AL51">
        <v>52054</v>
      </c>
      <c r="AM51">
        <v>5658</v>
      </c>
      <c r="AN51">
        <v>45748</v>
      </c>
      <c r="AO51">
        <v>1080</v>
      </c>
      <c r="AP51">
        <v>524</v>
      </c>
      <c r="AQ51">
        <v>1934</v>
      </c>
      <c r="AR51">
        <v>25288</v>
      </c>
      <c r="AS51">
        <v>4227</v>
      </c>
      <c r="AT51">
        <v>4009</v>
      </c>
      <c r="AU51">
        <v>4037</v>
      </c>
      <c r="AV51">
        <v>501</v>
      </c>
      <c r="AW51">
        <v>3222</v>
      </c>
      <c r="AX51">
        <v>146</v>
      </c>
      <c r="AY51">
        <v>2937</v>
      </c>
      <c r="AZ51">
        <v>14644</v>
      </c>
      <c r="BA51">
        <v>276</v>
      </c>
      <c r="BB51">
        <v>65345</v>
      </c>
      <c r="BC51">
        <v>61533</v>
      </c>
      <c r="BD51">
        <v>242</v>
      </c>
      <c r="BE51">
        <v>188</v>
      </c>
      <c r="BF51">
        <v>59978</v>
      </c>
      <c r="BG51">
        <v>41237</v>
      </c>
      <c r="BH51">
        <v>200</v>
      </c>
      <c r="BI51">
        <v>25588</v>
      </c>
      <c r="BJ51">
        <v>12332</v>
      </c>
      <c r="BK51">
        <v>10652</v>
      </c>
      <c r="BL51">
        <v>11507</v>
      </c>
      <c r="BM51">
        <v>10882</v>
      </c>
      <c r="BN51">
        <v>1854</v>
      </c>
      <c r="BO51">
        <v>993</v>
      </c>
      <c r="BP51">
        <v>15265</v>
      </c>
      <c r="BQ51">
        <v>1251</v>
      </c>
      <c r="BR51">
        <v>415</v>
      </c>
      <c r="BS51">
        <v>7703</v>
      </c>
      <c r="BT51">
        <v>603</v>
      </c>
      <c r="BU51">
        <v>6685</v>
      </c>
      <c r="BV51">
        <v>6738</v>
      </c>
      <c r="BW51">
        <v>3598</v>
      </c>
      <c r="BX51">
        <v>10</v>
      </c>
    </row>
    <row r="52" spans="1:76">
      <c r="A52" s="1">
        <v>1306</v>
      </c>
      <c r="B52" s="3" t="s">
        <v>107</v>
      </c>
      <c r="C52" s="1" t="s">
        <v>24</v>
      </c>
      <c r="D52" s="1" t="s">
        <v>24</v>
      </c>
      <c r="E52" s="1" t="s">
        <v>24</v>
      </c>
      <c r="F52" s="1" t="s">
        <v>24</v>
      </c>
      <c r="G52" s="1" t="s">
        <v>26</v>
      </c>
      <c r="H52" s="1">
        <v>49</v>
      </c>
      <c r="I52" s="1" t="s">
        <v>27</v>
      </c>
      <c r="J52" s="1" t="s">
        <v>28</v>
      </c>
      <c r="K52" s="1">
        <v>37.700000000000003</v>
      </c>
      <c r="L52" s="1" t="s">
        <v>34</v>
      </c>
      <c r="M52" s="1" t="s">
        <v>34</v>
      </c>
      <c r="N52" s="1" t="s">
        <v>29</v>
      </c>
      <c r="O52" s="1" t="s">
        <v>29</v>
      </c>
      <c r="P52" s="1"/>
      <c r="Q52" s="1" t="s">
        <v>29</v>
      </c>
      <c r="R52" s="1" t="s">
        <v>29</v>
      </c>
      <c r="S52" s="1" t="s">
        <v>34</v>
      </c>
      <c r="T52" s="1" t="s">
        <v>34</v>
      </c>
      <c r="U52" s="1" t="s">
        <v>29</v>
      </c>
      <c r="V52" s="1" t="s">
        <v>29</v>
      </c>
      <c r="W52" s="1" t="s">
        <v>29</v>
      </c>
      <c r="X52" t="s">
        <v>235</v>
      </c>
      <c r="Y52">
        <v>531658</v>
      </c>
      <c r="Z52">
        <v>526326</v>
      </c>
      <c r="AA52">
        <v>525070</v>
      </c>
      <c r="AB52">
        <v>487834</v>
      </c>
      <c r="AC52">
        <v>139</v>
      </c>
      <c r="AD52">
        <v>133</v>
      </c>
      <c r="AE52">
        <v>126</v>
      </c>
      <c r="AF52">
        <v>125</v>
      </c>
      <c r="AG52">
        <v>125</v>
      </c>
      <c r="AH52">
        <v>78</v>
      </c>
      <c r="AI52">
        <v>24</v>
      </c>
      <c r="AJ52">
        <v>0</v>
      </c>
      <c r="AK52">
        <v>2</v>
      </c>
      <c r="AL52">
        <v>171694</v>
      </c>
      <c r="AM52">
        <v>112989</v>
      </c>
      <c r="AN52">
        <v>55629</v>
      </c>
      <c r="AO52">
        <v>1089</v>
      </c>
      <c r="AP52">
        <v>611</v>
      </c>
      <c r="AQ52">
        <v>4434</v>
      </c>
      <c r="AR52">
        <v>9296</v>
      </c>
      <c r="AS52">
        <v>5618</v>
      </c>
      <c r="AT52">
        <v>324</v>
      </c>
      <c r="AU52">
        <v>5802</v>
      </c>
      <c r="AV52">
        <v>481</v>
      </c>
      <c r="AW52">
        <v>4927</v>
      </c>
      <c r="AX52">
        <v>1379</v>
      </c>
      <c r="AY52">
        <v>3115</v>
      </c>
      <c r="AZ52">
        <v>36700</v>
      </c>
      <c r="BA52">
        <v>5315</v>
      </c>
      <c r="BB52">
        <v>302687</v>
      </c>
      <c r="BC52">
        <v>242169</v>
      </c>
      <c r="BD52">
        <v>1037</v>
      </c>
      <c r="BE52">
        <v>2106</v>
      </c>
      <c r="BF52">
        <v>234465</v>
      </c>
      <c r="BG52">
        <v>128474</v>
      </c>
      <c r="BH52">
        <v>335</v>
      </c>
      <c r="BI52">
        <v>20581</v>
      </c>
      <c r="BJ52">
        <v>5278</v>
      </c>
      <c r="BK52">
        <v>14071</v>
      </c>
      <c r="BL52">
        <v>97729</v>
      </c>
      <c r="BM52">
        <v>93950</v>
      </c>
      <c r="BN52">
        <v>2667</v>
      </c>
      <c r="BO52">
        <v>728</v>
      </c>
      <c r="BP52">
        <v>90620</v>
      </c>
      <c r="BQ52">
        <v>4253</v>
      </c>
      <c r="BR52">
        <v>892</v>
      </c>
      <c r="BS52">
        <v>13048</v>
      </c>
      <c r="BT52">
        <v>4792</v>
      </c>
      <c r="BU52">
        <v>7619</v>
      </c>
      <c r="BV52">
        <v>71923</v>
      </c>
      <c r="BW52">
        <v>46760</v>
      </c>
      <c r="BX52">
        <v>89</v>
      </c>
    </row>
    <row r="53" spans="1:76">
      <c r="A53" s="1">
        <v>1061</v>
      </c>
      <c r="B53" s="3" t="s">
        <v>61</v>
      </c>
      <c r="C53" s="1" t="s">
        <v>24</v>
      </c>
      <c r="D53" s="1" t="s">
        <v>24</v>
      </c>
      <c r="E53" s="1" t="s">
        <v>24</v>
      </c>
      <c r="F53" s="1" t="s">
        <v>24</v>
      </c>
      <c r="G53" s="1" t="s">
        <v>26</v>
      </c>
      <c r="H53" s="1">
        <v>49</v>
      </c>
      <c r="I53" s="1" t="s">
        <v>27</v>
      </c>
      <c r="J53" s="1" t="s">
        <v>28</v>
      </c>
      <c r="K53" s="1">
        <v>27.8</v>
      </c>
      <c r="L53" s="1" t="s">
        <v>34</v>
      </c>
      <c r="M53" s="1" t="s">
        <v>29</v>
      </c>
      <c r="N53" s="1" t="s">
        <v>29</v>
      </c>
      <c r="O53" s="1" t="s">
        <v>29</v>
      </c>
      <c r="P53" s="1"/>
      <c r="Q53" s="1" t="s">
        <v>29</v>
      </c>
      <c r="R53" s="1" t="s">
        <v>29</v>
      </c>
      <c r="S53" s="1" t="s">
        <v>34</v>
      </c>
      <c r="T53" s="1" t="s">
        <v>29</v>
      </c>
      <c r="U53" s="1" t="s">
        <v>29</v>
      </c>
      <c r="V53" s="1" t="s">
        <v>34</v>
      </c>
      <c r="W53" s="1" t="s">
        <v>29</v>
      </c>
      <c r="X53" t="s">
        <v>189</v>
      </c>
      <c r="Y53">
        <v>162753</v>
      </c>
      <c r="Z53">
        <v>158102</v>
      </c>
      <c r="AA53">
        <v>148260</v>
      </c>
      <c r="AB53">
        <v>115634</v>
      </c>
      <c r="AC53">
        <v>19</v>
      </c>
      <c r="AD53">
        <v>14</v>
      </c>
      <c r="AE53">
        <v>8</v>
      </c>
      <c r="AF53">
        <v>8</v>
      </c>
      <c r="AG53">
        <v>8</v>
      </c>
      <c r="AH53">
        <v>1</v>
      </c>
      <c r="AI53">
        <v>4</v>
      </c>
      <c r="AJ53">
        <v>0</v>
      </c>
      <c r="AK53">
        <v>0</v>
      </c>
      <c r="AL53">
        <v>52874</v>
      </c>
      <c r="AM53">
        <v>8851</v>
      </c>
      <c r="AN53">
        <v>42896</v>
      </c>
      <c r="AO53">
        <v>2120</v>
      </c>
      <c r="AP53">
        <v>1631</v>
      </c>
      <c r="AQ53">
        <v>5222</v>
      </c>
      <c r="AR53">
        <v>21757</v>
      </c>
      <c r="AS53">
        <v>6837</v>
      </c>
      <c r="AT53">
        <v>6580</v>
      </c>
      <c r="AU53">
        <v>3329</v>
      </c>
      <c r="AV53">
        <v>565</v>
      </c>
      <c r="AW53">
        <v>2479</v>
      </c>
      <c r="AX53">
        <v>1039</v>
      </c>
      <c r="AY53">
        <v>1200</v>
      </c>
      <c r="AZ53">
        <v>15814</v>
      </c>
      <c r="BA53">
        <v>55</v>
      </c>
      <c r="BB53">
        <v>62263</v>
      </c>
      <c r="BC53">
        <v>58436</v>
      </c>
      <c r="BD53">
        <v>350</v>
      </c>
      <c r="BE53">
        <v>113</v>
      </c>
      <c r="BF53">
        <v>56784</v>
      </c>
      <c r="BG53">
        <v>41893</v>
      </c>
      <c r="BH53">
        <v>152</v>
      </c>
      <c r="BI53">
        <v>26441</v>
      </c>
      <c r="BJ53">
        <v>4699</v>
      </c>
      <c r="BK53">
        <v>19581</v>
      </c>
      <c r="BL53">
        <v>12611</v>
      </c>
      <c r="BM53">
        <v>12515</v>
      </c>
      <c r="BN53">
        <v>4606</v>
      </c>
      <c r="BO53">
        <v>2410</v>
      </c>
      <c r="BP53">
        <v>12805</v>
      </c>
      <c r="BQ53">
        <v>1873</v>
      </c>
      <c r="BR53">
        <v>641</v>
      </c>
      <c r="BS53">
        <v>4880</v>
      </c>
      <c r="BT53">
        <v>1645</v>
      </c>
      <c r="BU53">
        <v>2662</v>
      </c>
      <c r="BV53">
        <v>7300</v>
      </c>
      <c r="BW53">
        <v>5368</v>
      </c>
      <c r="BX53">
        <v>230</v>
      </c>
    </row>
    <row r="54" spans="1:76">
      <c r="A54" s="1">
        <v>1015</v>
      </c>
      <c r="B54" s="3" t="s">
        <v>41</v>
      </c>
      <c r="C54" s="1" t="s">
        <v>24</v>
      </c>
      <c r="D54" s="1" t="s">
        <v>25</v>
      </c>
      <c r="E54" s="1" t="s">
        <v>24</v>
      </c>
      <c r="F54" s="1" t="s">
        <v>24</v>
      </c>
      <c r="G54" s="1" t="s">
        <v>26</v>
      </c>
      <c r="H54" s="1">
        <v>34</v>
      </c>
      <c r="I54" s="1" t="s">
        <v>27</v>
      </c>
      <c r="J54" s="1" t="s">
        <v>28</v>
      </c>
      <c r="K54" s="1">
        <v>41.9</v>
      </c>
      <c r="L54" s="1" t="s">
        <v>34</v>
      </c>
      <c r="M54" s="1" t="s">
        <v>29</v>
      </c>
      <c r="N54" s="1" t="s">
        <v>29</v>
      </c>
      <c r="O54" s="1" t="s">
        <v>29</v>
      </c>
      <c r="P54" s="1"/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  <c r="V54" s="1" t="s">
        <v>29</v>
      </c>
      <c r="W54" s="1" t="s">
        <v>34</v>
      </c>
      <c r="X54" t="s">
        <v>173</v>
      </c>
      <c r="Y54">
        <v>34385</v>
      </c>
      <c r="Z54">
        <v>33666</v>
      </c>
      <c r="AA54">
        <v>33296</v>
      </c>
      <c r="AB54">
        <v>27707</v>
      </c>
      <c r="AC54">
        <v>21</v>
      </c>
      <c r="AD54">
        <v>21</v>
      </c>
      <c r="AE54">
        <v>18</v>
      </c>
      <c r="AF54">
        <v>18</v>
      </c>
      <c r="AG54">
        <v>17</v>
      </c>
      <c r="AH54">
        <v>7</v>
      </c>
      <c r="AI54">
        <v>9</v>
      </c>
      <c r="AJ54">
        <v>0</v>
      </c>
      <c r="AK54">
        <v>0</v>
      </c>
      <c r="AL54">
        <v>9378</v>
      </c>
      <c r="AM54">
        <v>650</v>
      </c>
      <c r="AN54">
        <v>8646</v>
      </c>
      <c r="AO54">
        <v>486</v>
      </c>
      <c r="AP54">
        <v>957</v>
      </c>
      <c r="AQ54">
        <v>1716</v>
      </c>
      <c r="AR54">
        <v>4430</v>
      </c>
      <c r="AS54">
        <v>2388</v>
      </c>
      <c r="AT54">
        <v>2368</v>
      </c>
      <c r="AU54">
        <v>585</v>
      </c>
      <c r="AV54">
        <v>193</v>
      </c>
      <c r="AW54">
        <v>357</v>
      </c>
      <c r="AX54">
        <v>160</v>
      </c>
      <c r="AY54">
        <v>166</v>
      </c>
      <c r="AZ54">
        <v>3158</v>
      </c>
      <c r="BA54">
        <v>14</v>
      </c>
      <c r="BB54">
        <v>18081</v>
      </c>
      <c r="BC54">
        <v>17641</v>
      </c>
      <c r="BD54">
        <v>104</v>
      </c>
      <c r="BE54">
        <v>15</v>
      </c>
      <c r="BF54">
        <v>17232</v>
      </c>
      <c r="BG54">
        <v>12711</v>
      </c>
      <c r="BH54">
        <v>47</v>
      </c>
      <c r="BI54">
        <v>8536</v>
      </c>
      <c r="BJ54">
        <v>4280</v>
      </c>
      <c r="BK54">
        <v>3552</v>
      </c>
      <c r="BL54">
        <v>3064</v>
      </c>
      <c r="BM54">
        <v>2988</v>
      </c>
      <c r="BN54">
        <v>669</v>
      </c>
      <c r="BO54">
        <v>502</v>
      </c>
      <c r="BP54">
        <v>4126</v>
      </c>
      <c r="BQ54">
        <v>165</v>
      </c>
      <c r="BR54">
        <v>136</v>
      </c>
      <c r="BS54">
        <v>3792</v>
      </c>
      <c r="BT54">
        <v>67</v>
      </c>
      <c r="BU54">
        <v>3653</v>
      </c>
      <c r="BV54">
        <v>200</v>
      </c>
      <c r="BW54">
        <v>146</v>
      </c>
      <c r="BX54">
        <v>2</v>
      </c>
    </row>
    <row r="55" spans="1:76">
      <c r="A55" s="1">
        <v>1150</v>
      </c>
      <c r="B55" s="3" t="s">
        <v>81</v>
      </c>
      <c r="C55" s="1" t="s">
        <v>24</v>
      </c>
      <c r="D55" s="1" t="s">
        <v>24</v>
      </c>
      <c r="E55" s="1" t="s">
        <v>24</v>
      </c>
      <c r="F55" s="1" t="s">
        <v>24</v>
      </c>
      <c r="G55" s="1" t="s">
        <v>32</v>
      </c>
      <c r="H55" s="1">
        <v>42</v>
      </c>
      <c r="I55" s="1" t="s">
        <v>27</v>
      </c>
      <c r="J55" s="1" t="s">
        <v>28</v>
      </c>
      <c r="K55" s="1">
        <v>24.5</v>
      </c>
      <c r="L55" s="1" t="s">
        <v>34</v>
      </c>
      <c r="M55" s="1" t="s">
        <v>29</v>
      </c>
      <c r="N55" s="1" t="s">
        <v>29</v>
      </c>
      <c r="O55" s="1" t="s">
        <v>29</v>
      </c>
      <c r="P55" s="1"/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29</v>
      </c>
      <c r="W55" s="1" t="s">
        <v>29</v>
      </c>
      <c r="X55" t="s">
        <v>206</v>
      </c>
      <c r="Y55">
        <v>130632</v>
      </c>
      <c r="Z55">
        <v>125538</v>
      </c>
      <c r="AA55">
        <v>119786</v>
      </c>
      <c r="AB55">
        <v>67058</v>
      </c>
      <c r="AC55">
        <v>444</v>
      </c>
      <c r="AD55">
        <v>436</v>
      </c>
      <c r="AE55">
        <v>400</v>
      </c>
      <c r="AF55">
        <v>400</v>
      </c>
      <c r="AG55">
        <v>397</v>
      </c>
      <c r="AH55">
        <v>117</v>
      </c>
      <c r="AI55">
        <v>235</v>
      </c>
      <c r="AJ55">
        <v>2</v>
      </c>
      <c r="AK55">
        <v>1</v>
      </c>
      <c r="AL55">
        <v>27755</v>
      </c>
      <c r="AM55">
        <v>5300</v>
      </c>
      <c r="AN55">
        <v>21427</v>
      </c>
      <c r="AO55">
        <v>903</v>
      </c>
      <c r="AP55">
        <v>359</v>
      </c>
      <c r="AQ55">
        <v>1536</v>
      </c>
      <c r="AR55">
        <v>8195</v>
      </c>
      <c r="AS55">
        <v>2074</v>
      </c>
      <c r="AT55">
        <v>1931</v>
      </c>
      <c r="AU55">
        <v>5302</v>
      </c>
      <c r="AV55">
        <v>1282</v>
      </c>
      <c r="AW55">
        <v>3578</v>
      </c>
      <c r="AX55">
        <v>250</v>
      </c>
      <c r="AY55">
        <v>3218</v>
      </c>
      <c r="AZ55">
        <v>5927</v>
      </c>
      <c r="BA55">
        <v>131</v>
      </c>
      <c r="BB55">
        <v>38262</v>
      </c>
      <c r="BC55">
        <v>34611</v>
      </c>
      <c r="BD55">
        <v>180</v>
      </c>
      <c r="BE55">
        <v>201</v>
      </c>
      <c r="BF55">
        <v>33556</v>
      </c>
      <c r="BG55">
        <v>14283</v>
      </c>
      <c r="BH55">
        <v>29</v>
      </c>
      <c r="BI55">
        <v>7126</v>
      </c>
      <c r="BJ55">
        <v>1839</v>
      </c>
      <c r="BK55">
        <v>4598</v>
      </c>
      <c r="BL55">
        <v>6251</v>
      </c>
      <c r="BM55">
        <v>6194</v>
      </c>
      <c r="BN55">
        <v>1508</v>
      </c>
      <c r="BO55">
        <v>332</v>
      </c>
      <c r="BP55">
        <v>17581</v>
      </c>
      <c r="BQ55">
        <v>5750</v>
      </c>
      <c r="BR55">
        <v>620</v>
      </c>
      <c r="BS55">
        <v>3818</v>
      </c>
      <c r="BT55">
        <v>1237</v>
      </c>
      <c r="BU55">
        <v>2244</v>
      </c>
      <c r="BV55">
        <v>13307</v>
      </c>
      <c r="BW55">
        <v>11097</v>
      </c>
      <c r="BX55">
        <v>74</v>
      </c>
    </row>
    <row r="56" spans="1:76">
      <c r="A56" s="1">
        <v>1178</v>
      </c>
      <c r="B56" s="3" t="s">
        <v>97</v>
      </c>
      <c r="C56" s="1" t="s">
        <v>24</v>
      </c>
      <c r="D56" s="1" t="s">
        <v>24</v>
      </c>
      <c r="E56" s="1" t="s">
        <v>24</v>
      </c>
      <c r="F56" s="1" t="s">
        <v>24</v>
      </c>
      <c r="G56" s="1" t="s">
        <v>32</v>
      </c>
      <c r="H56" s="1">
        <v>61</v>
      </c>
      <c r="I56" s="1" t="s">
        <v>27</v>
      </c>
      <c r="J56" s="1" t="s">
        <v>28</v>
      </c>
      <c r="K56" s="1">
        <v>31</v>
      </c>
      <c r="L56" s="1" t="s">
        <v>34</v>
      </c>
      <c r="M56" s="1" t="s">
        <v>29</v>
      </c>
      <c r="N56" s="1" t="s">
        <v>29</v>
      </c>
      <c r="O56" s="1" t="s">
        <v>29</v>
      </c>
      <c r="P56" s="1"/>
      <c r="Q56" s="1" t="s">
        <v>34</v>
      </c>
      <c r="R56" s="1" t="s">
        <v>29</v>
      </c>
      <c r="S56" s="1" t="s">
        <v>34</v>
      </c>
      <c r="T56" s="1" t="s">
        <v>29</v>
      </c>
      <c r="U56" s="1" t="s">
        <v>29</v>
      </c>
      <c r="V56" s="1" t="s">
        <v>29</v>
      </c>
      <c r="W56" s="1" t="s">
        <v>29</v>
      </c>
      <c r="X56" t="s">
        <v>222</v>
      </c>
      <c r="Y56">
        <v>89352</v>
      </c>
      <c r="Z56">
        <v>81651</v>
      </c>
      <c r="AA56">
        <v>80568</v>
      </c>
      <c r="AB56">
        <v>40335</v>
      </c>
      <c r="AC56">
        <v>930</v>
      </c>
      <c r="AD56">
        <v>863</v>
      </c>
      <c r="AE56">
        <v>819</v>
      </c>
      <c r="AF56">
        <v>814</v>
      </c>
      <c r="AG56">
        <v>790</v>
      </c>
      <c r="AH56">
        <v>200</v>
      </c>
      <c r="AI56">
        <v>413</v>
      </c>
      <c r="AJ56">
        <v>14</v>
      </c>
      <c r="AK56">
        <v>12</v>
      </c>
      <c r="AL56">
        <v>15803</v>
      </c>
      <c r="AM56">
        <v>2012</v>
      </c>
      <c r="AN56">
        <v>12928</v>
      </c>
      <c r="AO56">
        <v>769</v>
      </c>
      <c r="AP56">
        <v>1030</v>
      </c>
      <c r="AQ56">
        <v>1560</v>
      </c>
      <c r="AR56">
        <v>3481</v>
      </c>
      <c r="AS56">
        <v>584</v>
      </c>
      <c r="AT56">
        <v>562</v>
      </c>
      <c r="AU56">
        <v>4304</v>
      </c>
      <c r="AV56">
        <v>850</v>
      </c>
      <c r="AW56">
        <v>2970</v>
      </c>
      <c r="AX56">
        <v>394</v>
      </c>
      <c r="AY56">
        <v>2363</v>
      </c>
      <c r="AZ56">
        <v>4196</v>
      </c>
      <c r="BA56">
        <v>71</v>
      </c>
      <c r="BB56">
        <v>20951</v>
      </c>
      <c r="BC56">
        <v>18832</v>
      </c>
      <c r="BD56">
        <v>356</v>
      </c>
      <c r="BE56">
        <v>609</v>
      </c>
      <c r="BF56">
        <v>16515</v>
      </c>
      <c r="BG56">
        <v>8015</v>
      </c>
      <c r="BH56">
        <v>99</v>
      </c>
      <c r="BI56">
        <v>3782</v>
      </c>
      <c r="BJ56">
        <v>1934</v>
      </c>
      <c r="BK56">
        <v>1628</v>
      </c>
      <c r="BL56">
        <v>3432</v>
      </c>
      <c r="BM56">
        <v>3057</v>
      </c>
      <c r="BN56">
        <v>2207</v>
      </c>
      <c r="BO56">
        <v>1637</v>
      </c>
      <c r="BP56">
        <v>7909</v>
      </c>
      <c r="BQ56">
        <v>2726</v>
      </c>
      <c r="BR56">
        <v>2073</v>
      </c>
      <c r="BS56">
        <v>688</v>
      </c>
      <c r="BT56">
        <v>211</v>
      </c>
      <c r="BU56">
        <v>447</v>
      </c>
      <c r="BV56">
        <v>6305</v>
      </c>
      <c r="BW56">
        <v>2068</v>
      </c>
      <c r="BX56">
        <v>25</v>
      </c>
    </row>
    <row r="57" spans="1:76">
      <c r="A57" s="1">
        <v>1073</v>
      </c>
      <c r="B57" s="3" t="s">
        <v>64</v>
      </c>
      <c r="C57" s="1" t="s">
        <v>24</v>
      </c>
      <c r="D57" s="1" t="s">
        <v>24</v>
      </c>
      <c r="E57" s="1" t="s">
        <v>24</v>
      </c>
      <c r="F57" s="1" t="s">
        <v>24</v>
      </c>
      <c r="G57" s="1" t="s">
        <v>26</v>
      </c>
      <c r="H57" s="1">
        <v>78</v>
      </c>
      <c r="I57" s="1" t="s">
        <v>27</v>
      </c>
      <c r="J57" s="1" t="s">
        <v>28</v>
      </c>
      <c r="K57" s="1">
        <v>33.700000000000003</v>
      </c>
      <c r="L57" s="1" t="s">
        <v>34</v>
      </c>
      <c r="M57" s="1" t="s">
        <v>29</v>
      </c>
      <c r="N57" s="1" t="s">
        <v>29</v>
      </c>
      <c r="O57" s="1" t="s">
        <v>29</v>
      </c>
      <c r="P57" s="1"/>
      <c r="Q57" s="1" t="s">
        <v>34</v>
      </c>
      <c r="R57" s="1" t="s">
        <v>29</v>
      </c>
      <c r="S57" s="1" t="s">
        <v>29</v>
      </c>
      <c r="T57" s="1" t="s">
        <v>29</v>
      </c>
      <c r="U57" s="1" t="s">
        <v>34</v>
      </c>
      <c r="V57" s="1" t="s">
        <v>29</v>
      </c>
      <c r="W57" s="1" t="s">
        <v>29</v>
      </c>
      <c r="X57" t="s">
        <v>192</v>
      </c>
      <c r="Y57">
        <v>52549</v>
      </c>
      <c r="Z57">
        <v>50413</v>
      </c>
      <c r="AA57">
        <v>48624</v>
      </c>
      <c r="AB57">
        <v>28018</v>
      </c>
      <c r="AC57">
        <v>145</v>
      </c>
      <c r="AD57">
        <v>143</v>
      </c>
      <c r="AE57">
        <v>140</v>
      </c>
      <c r="AF57">
        <v>140</v>
      </c>
      <c r="AG57">
        <v>140</v>
      </c>
      <c r="AH57">
        <v>47</v>
      </c>
      <c r="AI57">
        <v>74</v>
      </c>
      <c r="AJ57">
        <v>6</v>
      </c>
      <c r="AK57">
        <v>2</v>
      </c>
      <c r="AL57">
        <v>17963</v>
      </c>
      <c r="AM57">
        <v>3239</v>
      </c>
      <c r="AN57">
        <v>14171</v>
      </c>
      <c r="AO57">
        <v>447</v>
      </c>
      <c r="AP57">
        <v>784</v>
      </c>
      <c r="AQ57">
        <v>2288</v>
      </c>
      <c r="AR57">
        <v>3058</v>
      </c>
      <c r="AS57">
        <v>587</v>
      </c>
      <c r="AT57">
        <v>552</v>
      </c>
      <c r="AU57">
        <v>925</v>
      </c>
      <c r="AV57">
        <v>102</v>
      </c>
      <c r="AW57">
        <v>745</v>
      </c>
      <c r="AX57">
        <v>178</v>
      </c>
      <c r="AY57">
        <v>499</v>
      </c>
      <c r="AZ57">
        <v>9782</v>
      </c>
      <c r="BA57">
        <v>25</v>
      </c>
      <c r="BB57">
        <v>9638</v>
      </c>
      <c r="BC57">
        <v>9360</v>
      </c>
      <c r="BD57">
        <v>74</v>
      </c>
      <c r="BE57">
        <v>41</v>
      </c>
      <c r="BF57">
        <v>8801</v>
      </c>
      <c r="BG57">
        <v>4881</v>
      </c>
      <c r="BH57">
        <v>54</v>
      </c>
      <c r="BI57">
        <v>3368</v>
      </c>
      <c r="BJ57">
        <v>509</v>
      </c>
      <c r="BK57">
        <v>2626</v>
      </c>
      <c r="BL57">
        <v>1164</v>
      </c>
      <c r="BM57">
        <v>1155</v>
      </c>
      <c r="BN57">
        <v>492</v>
      </c>
      <c r="BO57">
        <v>181</v>
      </c>
      <c r="BP57">
        <v>3349</v>
      </c>
      <c r="BQ57">
        <v>438</v>
      </c>
      <c r="BR57">
        <v>50</v>
      </c>
      <c r="BS57">
        <v>1048</v>
      </c>
      <c r="BT57">
        <v>657</v>
      </c>
      <c r="BU57">
        <v>309</v>
      </c>
      <c r="BV57">
        <v>2031</v>
      </c>
      <c r="BW57">
        <v>1366</v>
      </c>
      <c r="BX57">
        <v>11</v>
      </c>
    </row>
    <row r="58" spans="1:76">
      <c r="A58" s="1">
        <v>1149</v>
      </c>
      <c r="B58" s="3" t="s">
        <v>80</v>
      </c>
      <c r="C58" s="1" t="s">
        <v>25</v>
      </c>
      <c r="D58" s="1" t="s">
        <v>24</v>
      </c>
      <c r="E58" s="1" t="s">
        <v>24</v>
      </c>
      <c r="F58" s="1" t="s">
        <v>24</v>
      </c>
      <c r="G58" s="1" t="s">
        <v>32</v>
      </c>
      <c r="H58" s="1">
        <v>70</v>
      </c>
      <c r="I58" s="1" t="s">
        <v>27</v>
      </c>
      <c r="J58" s="1" t="s">
        <v>28</v>
      </c>
      <c r="K58" s="1">
        <v>35.200000000000003</v>
      </c>
      <c r="L58" s="1" t="s">
        <v>34</v>
      </c>
      <c r="M58" s="1" t="s">
        <v>29</v>
      </c>
      <c r="N58" s="1" t="s">
        <v>29</v>
      </c>
      <c r="O58" s="1" t="s">
        <v>29</v>
      </c>
      <c r="P58" s="1"/>
      <c r="Q58" s="1" t="s">
        <v>34</v>
      </c>
      <c r="R58" s="1" t="s">
        <v>29</v>
      </c>
      <c r="S58" s="1" t="s">
        <v>34</v>
      </c>
      <c r="T58" s="1" t="s">
        <v>29</v>
      </c>
      <c r="U58" s="1" t="s">
        <v>29</v>
      </c>
      <c r="V58" s="1" t="s">
        <v>34</v>
      </c>
      <c r="W58" s="1" t="s">
        <v>29</v>
      </c>
      <c r="X58" t="s">
        <v>205</v>
      </c>
      <c r="Y58">
        <v>26524</v>
      </c>
      <c r="Z58">
        <v>24333</v>
      </c>
      <c r="AA58">
        <v>22879</v>
      </c>
      <c r="AB58">
        <v>15586</v>
      </c>
      <c r="AC58">
        <v>55</v>
      </c>
      <c r="AD58">
        <v>55</v>
      </c>
      <c r="AE58">
        <v>55</v>
      </c>
      <c r="AF58">
        <v>55</v>
      </c>
      <c r="AG58">
        <v>55</v>
      </c>
      <c r="AH58">
        <v>30</v>
      </c>
      <c r="AI58">
        <v>22</v>
      </c>
      <c r="AJ58">
        <v>0</v>
      </c>
      <c r="AK58">
        <v>0</v>
      </c>
      <c r="AL58">
        <v>7863</v>
      </c>
      <c r="AM58">
        <v>1231</v>
      </c>
      <c r="AN58">
        <v>6394</v>
      </c>
      <c r="AO58">
        <v>531</v>
      </c>
      <c r="AP58">
        <v>432</v>
      </c>
      <c r="AQ58">
        <v>725</v>
      </c>
      <c r="AR58">
        <v>2361</v>
      </c>
      <c r="AS58">
        <v>281</v>
      </c>
      <c r="AT58">
        <v>264</v>
      </c>
      <c r="AU58">
        <v>554</v>
      </c>
      <c r="AV58">
        <v>69</v>
      </c>
      <c r="AW58">
        <v>412</v>
      </c>
      <c r="AX58">
        <v>81</v>
      </c>
      <c r="AY58">
        <v>287</v>
      </c>
      <c r="AZ58">
        <v>3249</v>
      </c>
      <c r="BA58">
        <v>3</v>
      </c>
      <c r="BB58">
        <v>7567</v>
      </c>
      <c r="BC58">
        <v>6038</v>
      </c>
      <c r="BD58">
        <v>168</v>
      </c>
      <c r="BE58">
        <v>114</v>
      </c>
      <c r="BF58">
        <v>5395</v>
      </c>
      <c r="BG58">
        <v>3229</v>
      </c>
      <c r="BH58">
        <v>44</v>
      </c>
      <c r="BI58">
        <v>1796</v>
      </c>
      <c r="BJ58">
        <v>649</v>
      </c>
      <c r="BK58">
        <v>999</v>
      </c>
      <c r="BL58">
        <v>1253</v>
      </c>
      <c r="BM58">
        <v>1228</v>
      </c>
      <c r="BN58">
        <v>427</v>
      </c>
      <c r="BO58">
        <v>125</v>
      </c>
      <c r="BP58">
        <v>1459</v>
      </c>
      <c r="BQ58">
        <v>301</v>
      </c>
      <c r="BR58">
        <v>19</v>
      </c>
      <c r="BS58">
        <v>101</v>
      </c>
      <c r="BT58">
        <v>61</v>
      </c>
      <c r="BU58">
        <v>33</v>
      </c>
      <c r="BV58">
        <v>1321</v>
      </c>
      <c r="BW58">
        <v>906</v>
      </c>
      <c r="BX58">
        <v>55</v>
      </c>
    </row>
    <row r="59" spans="1:76">
      <c r="A59" s="1">
        <v>1258</v>
      </c>
      <c r="B59" s="3" t="s">
        <v>80</v>
      </c>
      <c r="C59" s="1" t="s">
        <v>25</v>
      </c>
      <c r="D59" s="1" t="s">
        <v>24</v>
      </c>
      <c r="E59" s="1" t="s">
        <v>24</v>
      </c>
      <c r="F59" s="1" t="s">
        <v>24</v>
      </c>
      <c r="G59" s="1" t="s">
        <v>26</v>
      </c>
      <c r="H59" s="1">
        <v>76</v>
      </c>
      <c r="I59" s="1" t="s">
        <v>27</v>
      </c>
      <c r="J59" s="1" t="s">
        <v>28</v>
      </c>
      <c r="K59" s="1">
        <v>37.799999999999997</v>
      </c>
      <c r="L59" s="1" t="s">
        <v>34</v>
      </c>
      <c r="M59" s="1" t="s">
        <v>29</v>
      </c>
      <c r="N59" s="1" t="s">
        <v>34</v>
      </c>
      <c r="O59" s="1" t="s">
        <v>29</v>
      </c>
      <c r="P59" s="1"/>
      <c r="Q59" s="1" t="s">
        <v>34</v>
      </c>
      <c r="R59" s="1" t="s">
        <v>34</v>
      </c>
      <c r="S59" s="1" t="s">
        <v>34</v>
      </c>
      <c r="T59" s="1" t="s">
        <v>29</v>
      </c>
      <c r="U59" s="1" t="s">
        <v>29</v>
      </c>
      <c r="V59" s="1" t="s">
        <v>29</v>
      </c>
      <c r="W59" s="1" t="s">
        <v>29</v>
      </c>
      <c r="X59" t="s">
        <v>233</v>
      </c>
      <c r="Y59">
        <v>284351</v>
      </c>
      <c r="Z59">
        <v>257365</v>
      </c>
      <c r="AA59">
        <v>244867</v>
      </c>
      <c r="AB59">
        <v>125873</v>
      </c>
      <c r="AC59">
        <v>654</v>
      </c>
      <c r="AD59">
        <v>651</v>
      </c>
      <c r="AE59">
        <v>612</v>
      </c>
      <c r="AF59">
        <v>608</v>
      </c>
      <c r="AG59">
        <v>607</v>
      </c>
      <c r="AH59">
        <v>107</v>
      </c>
      <c r="AI59">
        <v>377</v>
      </c>
      <c r="AJ59">
        <v>9</v>
      </c>
      <c r="AK59">
        <v>22</v>
      </c>
      <c r="AL59">
        <v>80189</v>
      </c>
      <c r="AM59">
        <v>22269</v>
      </c>
      <c r="AN59">
        <v>55458</v>
      </c>
      <c r="AO59">
        <v>2003</v>
      </c>
      <c r="AP59">
        <v>5426</v>
      </c>
      <c r="AQ59">
        <v>6784</v>
      </c>
      <c r="AR59">
        <v>23128</v>
      </c>
      <c r="AS59">
        <v>8107</v>
      </c>
      <c r="AT59">
        <v>8010</v>
      </c>
      <c r="AU59">
        <v>8088</v>
      </c>
      <c r="AV59">
        <v>884</v>
      </c>
      <c r="AW59">
        <v>6142</v>
      </c>
      <c r="AX59">
        <v>712</v>
      </c>
      <c r="AY59">
        <v>5160</v>
      </c>
      <c r="AZ59">
        <v>20229</v>
      </c>
      <c r="BA59">
        <v>136</v>
      </c>
      <c r="BB59">
        <v>43882</v>
      </c>
      <c r="BC59">
        <v>41370</v>
      </c>
      <c r="BD59">
        <v>228</v>
      </c>
      <c r="BE59">
        <v>154</v>
      </c>
      <c r="BF59">
        <v>40179</v>
      </c>
      <c r="BG59">
        <v>29171</v>
      </c>
      <c r="BH59">
        <v>127</v>
      </c>
      <c r="BI59">
        <v>7243</v>
      </c>
      <c r="BJ59">
        <v>1948</v>
      </c>
      <c r="BK59">
        <v>4680</v>
      </c>
      <c r="BL59">
        <v>19336</v>
      </c>
      <c r="BM59">
        <v>19055</v>
      </c>
      <c r="BN59">
        <v>2222</v>
      </c>
      <c r="BO59">
        <v>377</v>
      </c>
      <c r="BP59">
        <v>9452</v>
      </c>
      <c r="BQ59">
        <v>1833</v>
      </c>
      <c r="BR59">
        <v>77</v>
      </c>
      <c r="BS59">
        <v>1173</v>
      </c>
      <c r="BT59">
        <v>329</v>
      </c>
      <c r="BU59">
        <v>776</v>
      </c>
      <c r="BV59">
        <v>7848</v>
      </c>
      <c r="BW59">
        <v>6177</v>
      </c>
      <c r="BX59">
        <v>16</v>
      </c>
    </row>
    <row r="60" spans="1:76">
      <c r="A60" s="1">
        <v>1023</v>
      </c>
      <c r="B60" s="3" t="s">
        <v>47</v>
      </c>
      <c r="C60" s="1" t="s">
        <v>25</v>
      </c>
      <c r="D60" s="1" t="s">
        <v>24</v>
      </c>
      <c r="E60" s="1" t="s">
        <v>24</v>
      </c>
      <c r="F60" s="1" t="s">
        <v>24</v>
      </c>
      <c r="G60" s="1" t="s">
        <v>32</v>
      </c>
      <c r="H60" s="1">
        <v>47</v>
      </c>
      <c r="I60" s="1" t="s">
        <v>27</v>
      </c>
      <c r="J60" s="1" t="s">
        <v>28</v>
      </c>
      <c r="K60" s="1">
        <v>27</v>
      </c>
      <c r="L60" s="1" t="s">
        <v>34</v>
      </c>
      <c r="M60" s="1" t="s">
        <v>29</v>
      </c>
      <c r="N60" s="1" t="s">
        <v>29</v>
      </c>
      <c r="O60" s="1" t="s">
        <v>29</v>
      </c>
      <c r="P60" s="1"/>
      <c r="Q60" s="1" t="s">
        <v>34</v>
      </c>
      <c r="R60" s="1" t="s">
        <v>29</v>
      </c>
      <c r="S60" s="1" t="s">
        <v>34</v>
      </c>
      <c r="T60" s="1" t="s">
        <v>34</v>
      </c>
      <c r="U60" s="1" t="s">
        <v>29</v>
      </c>
      <c r="V60" s="1" t="s">
        <v>29</v>
      </c>
      <c r="W60" s="1" t="s">
        <v>29</v>
      </c>
      <c r="X60" t="s">
        <v>178</v>
      </c>
      <c r="Y60">
        <v>28053</v>
      </c>
      <c r="Z60">
        <v>26751</v>
      </c>
      <c r="AA60">
        <v>26457</v>
      </c>
      <c r="AB60">
        <v>19753</v>
      </c>
      <c r="AC60">
        <v>110</v>
      </c>
      <c r="AD60">
        <v>109</v>
      </c>
      <c r="AE60">
        <v>102</v>
      </c>
      <c r="AF60">
        <v>102</v>
      </c>
      <c r="AG60">
        <v>100</v>
      </c>
      <c r="AH60">
        <v>13</v>
      </c>
      <c r="AI60">
        <v>72</v>
      </c>
      <c r="AJ60">
        <v>0</v>
      </c>
      <c r="AK60">
        <v>3</v>
      </c>
      <c r="AL60">
        <v>5381</v>
      </c>
      <c r="AM60">
        <v>2032</v>
      </c>
      <c r="AN60">
        <v>2813</v>
      </c>
      <c r="AO60">
        <v>177</v>
      </c>
      <c r="AP60">
        <v>127</v>
      </c>
      <c r="AQ60">
        <v>251</v>
      </c>
      <c r="AR60">
        <v>1466</v>
      </c>
      <c r="AS60">
        <v>634</v>
      </c>
      <c r="AT60">
        <v>581</v>
      </c>
      <c r="AU60">
        <v>219</v>
      </c>
      <c r="AV60">
        <v>30</v>
      </c>
      <c r="AW60">
        <v>147</v>
      </c>
      <c r="AX60">
        <v>40</v>
      </c>
      <c r="AY60">
        <v>92</v>
      </c>
      <c r="AZ60">
        <v>950</v>
      </c>
      <c r="BA60">
        <v>16</v>
      </c>
      <c r="BB60">
        <v>14066</v>
      </c>
      <c r="BC60">
        <v>13023</v>
      </c>
      <c r="BD60">
        <v>169</v>
      </c>
      <c r="BE60">
        <v>36</v>
      </c>
      <c r="BF60">
        <v>12502</v>
      </c>
      <c r="BG60">
        <v>9631</v>
      </c>
      <c r="BH60">
        <v>34</v>
      </c>
      <c r="BI60">
        <v>6550</v>
      </c>
      <c r="BJ60">
        <v>1496</v>
      </c>
      <c r="BK60">
        <v>4677</v>
      </c>
      <c r="BL60">
        <v>2236</v>
      </c>
      <c r="BM60">
        <v>2205</v>
      </c>
      <c r="BN60">
        <v>1214</v>
      </c>
      <c r="BO60">
        <v>880</v>
      </c>
      <c r="BP60">
        <v>2419</v>
      </c>
      <c r="BQ60">
        <v>587</v>
      </c>
      <c r="BR60">
        <v>255</v>
      </c>
      <c r="BS60">
        <v>847</v>
      </c>
      <c r="BT60">
        <v>471</v>
      </c>
      <c r="BU60">
        <v>342</v>
      </c>
      <c r="BV60">
        <v>1371</v>
      </c>
      <c r="BW60">
        <v>1113</v>
      </c>
      <c r="BX60">
        <v>44</v>
      </c>
    </row>
    <row r="61" spans="1:76">
      <c r="A61" s="1">
        <v>1050</v>
      </c>
      <c r="B61" s="3" t="s">
        <v>59</v>
      </c>
      <c r="C61" s="1" t="s">
        <v>25</v>
      </c>
      <c r="D61" s="1" t="s">
        <v>24</v>
      </c>
      <c r="E61" s="1" t="s">
        <v>24</v>
      </c>
      <c r="F61" s="1" t="s">
        <v>24</v>
      </c>
      <c r="G61" s="1" t="s">
        <v>32</v>
      </c>
      <c r="H61" s="1">
        <v>70</v>
      </c>
      <c r="I61" s="1" t="s">
        <v>27</v>
      </c>
      <c r="J61" s="1" t="s">
        <v>28</v>
      </c>
      <c r="K61" s="1">
        <v>34.6</v>
      </c>
      <c r="L61" s="1" t="s">
        <v>34</v>
      </c>
      <c r="M61" s="1" t="s">
        <v>29</v>
      </c>
      <c r="N61" s="1" t="s">
        <v>34</v>
      </c>
      <c r="O61" s="1" t="s">
        <v>29</v>
      </c>
      <c r="P61" s="1"/>
      <c r="Q61" s="1" t="s">
        <v>34</v>
      </c>
      <c r="R61" s="1" t="s">
        <v>29</v>
      </c>
      <c r="S61" s="1" t="s">
        <v>34</v>
      </c>
      <c r="T61" s="1" t="s">
        <v>29</v>
      </c>
      <c r="U61" s="1" t="s">
        <v>29</v>
      </c>
      <c r="V61" s="1" t="s">
        <v>29</v>
      </c>
      <c r="W61" s="1" t="s">
        <v>29</v>
      </c>
      <c r="X61" t="s">
        <v>187</v>
      </c>
      <c r="Y61">
        <v>237179</v>
      </c>
      <c r="Z61">
        <v>231914</v>
      </c>
      <c r="AA61">
        <v>230665</v>
      </c>
      <c r="AB61">
        <v>209161</v>
      </c>
      <c r="AC61">
        <v>3077</v>
      </c>
      <c r="AD61">
        <v>3064</v>
      </c>
      <c r="AE61">
        <v>2986</v>
      </c>
      <c r="AF61">
        <v>2983</v>
      </c>
      <c r="AG61">
        <v>2980</v>
      </c>
      <c r="AH61">
        <v>2256</v>
      </c>
      <c r="AI61">
        <v>362</v>
      </c>
      <c r="AJ61">
        <v>7</v>
      </c>
      <c r="AK61">
        <v>9</v>
      </c>
      <c r="AL61">
        <v>127011</v>
      </c>
      <c r="AM61">
        <v>18926</v>
      </c>
      <c r="AN61">
        <v>105764</v>
      </c>
      <c r="AO61">
        <v>2370</v>
      </c>
      <c r="AP61">
        <v>13138</v>
      </c>
      <c r="AQ61">
        <v>32213</v>
      </c>
      <c r="AR61">
        <v>36972</v>
      </c>
      <c r="AS61">
        <v>13681</v>
      </c>
      <c r="AT61">
        <v>13401</v>
      </c>
      <c r="AU61">
        <v>10738</v>
      </c>
      <c r="AV61">
        <v>1116</v>
      </c>
      <c r="AW61">
        <v>5687</v>
      </c>
      <c r="AX61">
        <v>739</v>
      </c>
      <c r="AY61">
        <v>4547</v>
      </c>
      <c r="AZ61">
        <v>51864</v>
      </c>
      <c r="BA61">
        <v>237</v>
      </c>
      <c r="BB61">
        <v>77456</v>
      </c>
      <c r="BC61">
        <v>75151</v>
      </c>
      <c r="BD61">
        <v>1121</v>
      </c>
      <c r="BE61">
        <v>307</v>
      </c>
      <c r="BF61">
        <v>69637</v>
      </c>
      <c r="BG61">
        <v>50709</v>
      </c>
      <c r="BH61">
        <v>521</v>
      </c>
      <c r="BI61">
        <v>36379</v>
      </c>
      <c r="BJ61">
        <v>8695</v>
      </c>
      <c r="BK61">
        <v>25200</v>
      </c>
      <c r="BL61">
        <v>9572</v>
      </c>
      <c r="BM61">
        <v>9516</v>
      </c>
      <c r="BN61">
        <v>2422</v>
      </c>
      <c r="BO61">
        <v>763</v>
      </c>
      <c r="BP61">
        <v>15914</v>
      </c>
      <c r="BQ61">
        <v>4566</v>
      </c>
      <c r="BR61">
        <v>334</v>
      </c>
      <c r="BS61">
        <v>5439</v>
      </c>
      <c r="BT61">
        <v>1891</v>
      </c>
      <c r="BU61">
        <v>3289</v>
      </c>
      <c r="BV61">
        <v>9250</v>
      </c>
      <c r="BW61">
        <v>7752</v>
      </c>
      <c r="BX61">
        <v>15</v>
      </c>
    </row>
    <row r="62" spans="1:76">
      <c r="A62" s="1">
        <v>1016</v>
      </c>
      <c r="B62" s="3" t="s">
        <v>42</v>
      </c>
      <c r="C62" s="1" t="s">
        <v>25</v>
      </c>
      <c r="D62" s="1" t="s">
        <v>24</v>
      </c>
      <c r="E62" s="1" t="s">
        <v>24</v>
      </c>
      <c r="F62" s="1" t="s">
        <v>25</v>
      </c>
      <c r="G62" s="1" t="s">
        <v>32</v>
      </c>
      <c r="H62" s="1">
        <v>78</v>
      </c>
      <c r="I62" s="1" t="s">
        <v>27</v>
      </c>
      <c r="J62" s="1" t="s">
        <v>28</v>
      </c>
      <c r="K62" s="1">
        <v>24.6</v>
      </c>
      <c r="L62" s="1" t="s">
        <v>34</v>
      </c>
      <c r="M62" s="1" t="s">
        <v>29</v>
      </c>
      <c r="N62" s="1" t="s">
        <v>29</v>
      </c>
      <c r="O62" s="1" t="s">
        <v>29</v>
      </c>
      <c r="P62" s="1"/>
      <c r="Q62" s="1" t="s">
        <v>34</v>
      </c>
      <c r="R62" s="1" t="s">
        <v>34</v>
      </c>
      <c r="S62" s="1" t="s">
        <v>34</v>
      </c>
      <c r="T62" s="1" t="s">
        <v>29</v>
      </c>
      <c r="U62" s="1" t="s">
        <v>29</v>
      </c>
      <c r="V62" s="1" t="s">
        <v>29</v>
      </c>
      <c r="W62" s="1" t="s">
        <v>29</v>
      </c>
      <c r="X62" t="s">
        <v>174</v>
      </c>
      <c r="Y62">
        <v>68990</v>
      </c>
      <c r="Z62">
        <v>66382</v>
      </c>
      <c r="AA62">
        <v>62287</v>
      </c>
      <c r="AB62">
        <v>24096</v>
      </c>
      <c r="AC62">
        <v>2069</v>
      </c>
      <c r="AD62">
        <v>2063</v>
      </c>
      <c r="AE62">
        <v>2052</v>
      </c>
      <c r="AF62">
        <v>2051</v>
      </c>
      <c r="AG62">
        <v>2051</v>
      </c>
      <c r="AH62">
        <v>1541</v>
      </c>
      <c r="AI62">
        <v>330</v>
      </c>
      <c r="AJ62">
        <v>0</v>
      </c>
      <c r="AK62">
        <v>3</v>
      </c>
      <c r="AL62">
        <v>9198</v>
      </c>
      <c r="AM62">
        <v>1354</v>
      </c>
      <c r="AN62">
        <v>7746</v>
      </c>
      <c r="AO62">
        <v>485</v>
      </c>
      <c r="AP62">
        <v>230</v>
      </c>
      <c r="AQ62">
        <v>662</v>
      </c>
      <c r="AR62">
        <v>2203</v>
      </c>
      <c r="AS62">
        <v>566</v>
      </c>
      <c r="AT62">
        <v>491</v>
      </c>
      <c r="AU62">
        <v>1667</v>
      </c>
      <c r="AV62">
        <v>720</v>
      </c>
      <c r="AW62">
        <v>660</v>
      </c>
      <c r="AX62">
        <v>262</v>
      </c>
      <c r="AY62">
        <v>369</v>
      </c>
      <c r="AZ62">
        <v>3017</v>
      </c>
      <c r="BA62">
        <v>35</v>
      </c>
      <c r="BB62">
        <v>12328</v>
      </c>
      <c r="BC62">
        <v>11598</v>
      </c>
      <c r="BD62">
        <v>134</v>
      </c>
      <c r="BE62">
        <v>524</v>
      </c>
      <c r="BF62">
        <v>10499</v>
      </c>
      <c r="BG62">
        <v>6185</v>
      </c>
      <c r="BH62">
        <v>10</v>
      </c>
      <c r="BI62">
        <v>4949</v>
      </c>
      <c r="BJ62">
        <v>711</v>
      </c>
      <c r="BK62">
        <v>3833</v>
      </c>
      <c r="BL62">
        <v>1000</v>
      </c>
      <c r="BM62">
        <v>984</v>
      </c>
      <c r="BN62">
        <v>741</v>
      </c>
      <c r="BO62">
        <v>395</v>
      </c>
      <c r="BP62">
        <v>3931</v>
      </c>
      <c r="BQ62">
        <v>1005</v>
      </c>
      <c r="BR62">
        <v>184</v>
      </c>
      <c r="BS62">
        <v>594</v>
      </c>
      <c r="BT62">
        <v>386</v>
      </c>
      <c r="BU62">
        <v>164</v>
      </c>
      <c r="BV62">
        <v>3159</v>
      </c>
      <c r="BW62">
        <v>2169</v>
      </c>
      <c r="BX62">
        <v>14</v>
      </c>
    </row>
    <row r="63" spans="1:76">
      <c r="A63" s="1">
        <v>1096</v>
      </c>
      <c r="B63" s="3" t="s">
        <v>68</v>
      </c>
      <c r="C63" s="1" t="s">
        <v>25</v>
      </c>
      <c r="D63" s="1" t="s">
        <v>24</v>
      </c>
      <c r="E63" s="1" t="s">
        <v>24</v>
      </c>
      <c r="F63" s="1" t="s">
        <v>24</v>
      </c>
      <c r="G63" s="1" t="s">
        <v>32</v>
      </c>
      <c r="H63" s="1">
        <v>66</v>
      </c>
      <c r="I63" s="1" t="s">
        <v>27</v>
      </c>
      <c r="J63" s="1" t="s">
        <v>69</v>
      </c>
      <c r="K63" s="1">
        <v>34.1</v>
      </c>
      <c r="L63" s="1" t="s">
        <v>34</v>
      </c>
      <c r="M63" s="1" t="s">
        <v>29</v>
      </c>
      <c r="N63" s="1" t="s">
        <v>29</v>
      </c>
      <c r="O63" s="1" t="s">
        <v>29</v>
      </c>
      <c r="P63" s="1"/>
      <c r="Q63" s="1" t="s">
        <v>34</v>
      </c>
      <c r="R63" s="1" t="s">
        <v>29</v>
      </c>
      <c r="S63" s="1" t="s">
        <v>34</v>
      </c>
      <c r="T63" s="1" t="s">
        <v>29</v>
      </c>
      <c r="U63" s="1" t="s">
        <v>29</v>
      </c>
      <c r="V63" s="1" t="s">
        <v>29</v>
      </c>
      <c r="W63" s="1" t="s">
        <v>29</v>
      </c>
      <c r="X63" t="s">
        <v>196</v>
      </c>
      <c r="Y63">
        <v>140014</v>
      </c>
      <c r="Z63">
        <v>136628</v>
      </c>
      <c r="AA63">
        <v>130636</v>
      </c>
      <c r="AB63">
        <v>82533</v>
      </c>
      <c r="AC63">
        <v>339</v>
      </c>
      <c r="AD63">
        <v>329</v>
      </c>
      <c r="AE63">
        <v>322</v>
      </c>
      <c r="AF63">
        <v>322</v>
      </c>
      <c r="AG63">
        <v>322</v>
      </c>
      <c r="AH63">
        <v>73</v>
      </c>
      <c r="AI63">
        <v>228</v>
      </c>
      <c r="AJ63">
        <v>0</v>
      </c>
      <c r="AK63">
        <v>0</v>
      </c>
      <c r="AL63">
        <v>23516</v>
      </c>
      <c r="AM63">
        <v>6520</v>
      </c>
      <c r="AN63">
        <v>16266</v>
      </c>
      <c r="AO63">
        <v>1973</v>
      </c>
      <c r="AP63">
        <v>863</v>
      </c>
      <c r="AQ63">
        <v>977</v>
      </c>
      <c r="AR63">
        <v>5758</v>
      </c>
      <c r="AS63">
        <v>937</v>
      </c>
      <c r="AT63">
        <v>837</v>
      </c>
      <c r="AU63">
        <v>2712</v>
      </c>
      <c r="AV63">
        <v>509</v>
      </c>
      <c r="AW63">
        <v>1770</v>
      </c>
      <c r="AX63">
        <v>18</v>
      </c>
      <c r="AY63">
        <v>1740</v>
      </c>
      <c r="AZ63">
        <v>6761</v>
      </c>
      <c r="BA63">
        <v>275</v>
      </c>
      <c r="BB63">
        <v>57683</v>
      </c>
      <c r="BC63">
        <v>52269</v>
      </c>
      <c r="BD63">
        <v>130</v>
      </c>
      <c r="BE63">
        <v>1611</v>
      </c>
      <c r="BF63">
        <v>49046</v>
      </c>
      <c r="BG63">
        <v>12970</v>
      </c>
      <c r="BH63">
        <v>13</v>
      </c>
      <c r="BI63">
        <v>3871</v>
      </c>
      <c r="BJ63">
        <v>1049</v>
      </c>
      <c r="BK63">
        <v>2647</v>
      </c>
      <c r="BL63">
        <v>7888</v>
      </c>
      <c r="BM63">
        <v>7795</v>
      </c>
      <c r="BN63">
        <v>883</v>
      </c>
      <c r="BO63">
        <v>137</v>
      </c>
      <c r="BP63">
        <v>34269</v>
      </c>
      <c r="BQ63">
        <v>3056</v>
      </c>
      <c r="BR63">
        <v>385</v>
      </c>
      <c r="BS63">
        <v>3845</v>
      </c>
      <c r="BT63">
        <v>1948</v>
      </c>
      <c r="BU63">
        <v>1646</v>
      </c>
      <c r="BV63">
        <v>29139</v>
      </c>
      <c r="BW63">
        <v>18363</v>
      </c>
      <c r="BX63">
        <v>94</v>
      </c>
    </row>
    <row r="64" spans="1:76">
      <c r="A64" s="1">
        <v>1031</v>
      </c>
      <c r="B64" s="3" t="s">
        <v>50</v>
      </c>
      <c r="C64" s="1" t="s">
        <v>25</v>
      </c>
      <c r="D64" s="1" t="s">
        <v>24</v>
      </c>
      <c r="E64" s="1" t="s">
        <v>24</v>
      </c>
      <c r="F64" s="1" t="s">
        <v>24</v>
      </c>
      <c r="G64" s="1" t="s">
        <v>32</v>
      </c>
      <c r="H64" s="1">
        <v>63</v>
      </c>
      <c r="I64" s="1" t="s">
        <v>27</v>
      </c>
      <c r="J64" s="1" t="s">
        <v>28</v>
      </c>
      <c r="K64" s="1">
        <v>34.1</v>
      </c>
      <c r="L64" s="1" t="s">
        <v>34</v>
      </c>
      <c r="M64" s="1" t="s">
        <v>34</v>
      </c>
      <c r="N64" s="1" t="s">
        <v>34</v>
      </c>
      <c r="O64" s="1" t="s">
        <v>29</v>
      </c>
      <c r="P64" s="1"/>
      <c r="Q64" s="1" t="s">
        <v>34</v>
      </c>
      <c r="R64" s="1" t="s">
        <v>29</v>
      </c>
      <c r="S64" s="1" t="s">
        <v>34</v>
      </c>
      <c r="T64" s="1" t="s">
        <v>29</v>
      </c>
      <c r="U64" s="1" t="s">
        <v>29</v>
      </c>
      <c r="V64" s="1" t="s">
        <v>29</v>
      </c>
      <c r="W64" s="1" t="s">
        <v>29</v>
      </c>
      <c r="X64" t="s">
        <v>180</v>
      </c>
      <c r="Y64">
        <v>74917</v>
      </c>
      <c r="Z64">
        <v>72976</v>
      </c>
      <c r="AA64">
        <v>71165</v>
      </c>
      <c r="AB64">
        <v>40842</v>
      </c>
      <c r="AC64">
        <v>711</v>
      </c>
      <c r="AD64">
        <v>707</v>
      </c>
      <c r="AE64">
        <v>681</v>
      </c>
      <c r="AF64">
        <v>680</v>
      </c>
      <c r="AG64">
        <v>680</v>
      </c>
      <c r="AH64">
        <v>268</v>
      </c>
      <c r="AI64">
        <v>299</v>
      </c>
      <c r="AJ64">
        <v>7</v>
      </c>
      <c r="AK64">
        <v>7</v>
      </c>
      <c r="AL64">
        <v>16327</v>
      </c>
      <c r="AM64">
        <v>4786</v>
      </c>
      <c r="AN64">
        <v>10782</v>
      </c>
      <c r="AO64">
        <v>402</v>
      </c>
      <c r="AP64">
        <v>279</v>
      </c>
      <c r="AQ64">
        <v>723</v>
      </c>
      <c r="AR64">
        <v>3362</v>
      </c>
      <c r="AS64">
        <v>970</v>
      </c>
      <c r="AT64">
        <v>920</v>
      </c>
      <c r="AU64">
        <v>2007</v>
      </c>
      <c r="AV64">
        <v>411</v>
      </c>
      <c r="AW64">
        <v>1361</v>
      </c>
      <c r="AX64">
        <v>42</v>
      </c>
      <c r="AY64">
        <v>1185</v>
      </c>
      <c r="AZ64">
        <v>4631</v>
      </c>
      <c r="BA64">
        <v>32</v>
      </c>
      <c r="BB64">
        <v>23429</v>
      </c>
      <c r="BC64">
        <v>22711</v>
      </c>
      <c r="BD64">
        <v>159</v>
      </c>
      <c r="BE64">
        <v>25</v>
      </c>
      <c r="BF64">
        <v>21878</v>
      </c>
      <c r="BG64">
        <v>11267</v>
      </c>
      <c r="BH64">
        <v>51</v>
      </c>
      <c r="BI64">
        <v>8299</v>
      </c>
      <c r="BJ64">
        <v>1106</v>
      </c>
      <c r="BK64">
        <v>6642</v>
      </c>
      <c r="BL64">
        <v>2226</v>
      </c>
      <c r="BM64">
        <v>2217</v>
      </c>
      <c r="BN64">
        <v>1184</v>
      </c>
      <c r="BO64">
        <v>483</v>
      </c>
      <c r="BP64">
        <v>9826</v>
      </c>
      <c r="BQ64">
        <v>2509</v>
      </c>
      <c r="BR64">
        <v>278</v>
      </c>
      <c r="BS64">
        <v>3117</v>
      </c>
      <c r="BT64">
        <v>1572</v>
      </c>
      <c r="BU64">
        <v>1232</v>
      </c>
      <c r="BV64">
        <v>6037</v>
      </c>
      <c r="BW64">
        <v>5498</v>
      </c>
      <c r="BX64">
        <v>3</v>
      </c>
    </row>
    <row r="65" spans="1:76">
      <c r="A65" s="1">
        <v>1159</v>
      </c>
      <c r="B65" s="3" t="s">
        <v>88</v>
      </c>
      <c r="C65" s="1" t="s">
        <v>25</v>
      </c>
      <c r="D65" s="1" t="s">
        <v>24</v>
      </c>
      <c r="E65" s="1" t="s">
        <v>24</v>
      </c>
      <c r="F65" s="1" t="s">
        <v>24</v>
      </c>
      <c r="G65" s="1" t="s">
        <v>26</v>
      </c>
      <c r="H65" s="1">
        <v>62</v>
      </c>
      <c r="I65" s="1" t="s">
        <v>27</v>
      </c>
      <c r="J65" s="1" t="s">
        <v>28</v>
      </c>
      <c r="K65" s="1">
        <v>26.4</v>
      </c>
      <c r="L65" s="1" t="s">
        <v>34</v>
      </c>
      <c r="M65" s="1" t="s">
        <v>29</v>
      </c>
      <c r="N65" s="1" t="s">
        <v>29</v>
      </c>
      <c r="O65" s="1" t="s">
        <v>29</v>
      </c>
      <c r="P65" s="1"/>
      <c r="Q65" s="1" t="s">
        <v>34</v>
      </c>
      <c r="R65" s="1" t="s">
        <v>29</v>
      </c>
      <c r="S65" s="1" t="s">
        <v>34</v>
      </c>
      <c r="T65" s="1" t="s">
        <v>29</v>
      </c>
      <c r="U65" s="1" t="s">
        <v>29</v>
      </c>
      <c r="V65" s="1" t="s">
        <v>29</v>
      </c>
      <c r="W65" s="1" t="s">
        <v>29</v>
      </c>
      <c r="X65" t="s">
        <v>213</v>
      </c>
      <c r="Y65">
        <v>152950</v>
      </c>
      <c r="Z65">
        <v>139335</v>
      </c>
      <c r="AA65">
        <v>134934</v>
      </c>
      <c r="AB65">
        <v>86737</v>
      </c>
      <c r="AC65">
        <v>781</v>
      </c>
      <c r="AD65">
        <v>765</v>
      </c>
      <c r="AE65">
        <v>725</v>
      </c>
      <c r="AF65">
        <v>717</v>
      </c>
      <c r="AG65">
        <v>714</v>
      </c>
      <c r="AH65">
        <v>115</v>
      </c>
      <c r="AI65">
        <v>490</v>
      </c>
      <c r="AJ65">
        <v>14</v>
      </c>
      <c r="AK65">
        <v>10</v>
      </c>
      <c r="AL65">
        <v>38718</v>
      </c>
      <c r="AM65">
        <v>8069</v>
      </c>
      <c r="AN65">
        <v>29938</v>
      </c>
      <c r="AO65">
        <v>850</v>
      </c>
      <c r="AP65">
        <v>875</v>
      </c>
      <c r="AQ65">
        <v>3349</v>
      </c>
      <c r="AR65">
        <v>13222</v>
      </c>
      <c r="AS65">
        <v>1737</v>
      </c>
      <c r="AT65">
        <v>738</v>
      </c>
      <c r="AU65">
        <v>5667</v>
      </c>
      <c r="AV65">
        <v>932</v>
      </c>
      <c r="AW65">
        <v>3188</v>
      </c>
      <c r="AX65">
        <v>39</v>
      </c>
      <c r="AY65">
        <v>3071</v>
      </c>
      <c r="AZ65">
        <v>9911</v>
      </c>
      <c r="BA65">
        <v>107</v>
      </c>
      <c r="BB65">
        <v>46362</v>
      </c>
      <c r="BC65">
        <v>43958</v>
      </c>
      <c r="BD65">
        <v>244</v>
      </c>
      <c r="BE65">
        <v>814</v>
      </c>
      <c r="BF65">
        <v>41117</v>
      </c>
      <c r="BG65">
        <v>23748</v>
      </c>
      <c r="BH65">
        <v>247</v>
      </c>
      <c r="BI65">
        <v>9778</v>
      </c>
      <c r="BJ65">
        <v>2655</v>
      </c>
      <c r="BK65">
        <v>6816</v>
      </c>
      <c r="BL65">
        <v>10709</v>
      </c>
      <c r="BM65">
        <v>10638</v>
      </c>
      <c r="BN65">
        <v>2148</v>
      </c>
      <c r="BO65">
        <v>305</v>
      </c>
      <c r="BP65">
        <v>13853</v>
      </c>
      <c r="BQ65">
        <v>3698</v>
      </c>
      <c r="BR65">
        <v>162</v>
      </c>
      <c r="BS65">
        <v>1581</v>
      </c>
      <c r="BT65">
        <v>688</v>
      </c>
      <c r="BU65">
        <v>845</v>
      </c>
      <c r="BV65">
        <v>11634</v>
      </c>
      <c r="BW65">
        <v>8984</v>
      </c>
      <c r="BX65">
        <v>59</v>
      </c>
    </row>
    <row r="66" spans="1:76">
      <c r="A66" s="1">
        <v>1300</v>
      </c>
      <c r="B66" s="3" t="s">
        <v>106</v>
      </c>
      <c r="C66" s="1" t="s">
        <v>25</v>
      </c>
      <c r="D66" s="1" t="s">
        <v>24</v>
      </c>
      <c r="E66" s="1" t="s">
        <v>24</v>
      </c>
      <c r="F66" s="1" t="s">
        <v>24</v>
      </c>
      <c r="G66" s="1" t="s">
        <v>26</v>
      </c>
      <c r="H66" s="1">
        <v>46</v>
      </c>
      <c r="I66" s="1" t="s">
        <v>49</v>
      </c>
      <c r="J66" s="1" t="s">
        <v>28</v>
      </c>
      <c r="K66" s="1">
        <v>24.2</v>
      </c>
      <c r="L66" s="1" t="s">
        <v>34</v>
      </c>
      <c r="M66" s="1" t="s">
        <v>34</v>
      </c>
      <c r="N66" s="1" t="s">
        <v>34</v>
      </c>
      <c r="O66" s="1" t="s">
        <v>29</v>
      </c>
      <c r="P66" s="1"/>
      <c r="Q66" s="1" t="s">
        <v>34</v>
      </c>
      <c r="R66" s="1" t="s">
        <v>29</v>
      </c>
      <c r="S66" s="1" t="s">
        <v>34</v>
      </c>
      <c r="T66" s="1" t="s">
        <v>29</v>
      </c>
      <c r="U66" s="1" t="s">
        <v>29</v>
      </c>
      <c r="V66" s="1" t="s">
        <v>29</v>
      </c>
      <c r="W66" s="1" t="s">
        <v>29</v>
      </c>
      <c r="X66" t="s">
        <v>234</v>
      </c>
      <c r="Y66">
        <v>93789</v>
      </c>
      <c r="Z66">
        <v>90800</v>
      </c>
      <c r="AA66">
        <v>89845</v>
      </c>
      <c r="AB66">
        <v>82551</v>
      </c>
      <c r="AC66">
        <v>135</v>
      </c>
      <c r="AD66">
        <v>134</v>
      </c>
      <c r="AE66">
        <v>125</v>
      </c>
      <c r="AF66">
        <v>124</v>
      </c>
      <c r="AG66">
        <v>123</v>
      </c>
      <c r="AH66">
        <v>36</v>
      </c>
      <c r="AI66">
        <v>62</v>
      </c>
      <c r="AJ66">
        <v>0</v>
      </c>
      <c r="AK66">
        <v>4</v>
      </c>
      <c r="AL66">
        <v>48721</v>
      </c>
      <c r="AM66">
        <v>9631</v>
      </c>
      <c r="AN66">
        <v>36839</v>
      </c>
      <c r="AO66">
        <v>602</v>
      </c>
      <c r="AP66">
        <v>328</v>
      </c>
      <c r="AQ66">
        <v>1375</v>
      </c>
      <c r="AR66">
        <v>21825</v>
      </c>
      <c r="AS66">
        <v>6608</v>
      </c>
      <c r="AT66">
        <v>6507</v>
      </c>
      <c r="AU66">
        <v>5880</v>
      </c>
      <c r="AV66">
        <v>908</v>
      </c>
      <c r="AW66">
        <v>1429</v>
      </c>
      <c r="AX66">
        <v>42</v>
      </c>
      <c r="AY66">
        <v>1297</v>
      </c>
      <c r="AZ66">
        <v>6632</v>
      </c>
      <c r="BA66">
        <v>369</v>
      </c>
      <c r="BB66">
        <v>32949</v>
      </c>
      <c r="BC66">
        <v>30552</v>
      </c>
      <c r="BD66">
        <v>265</v>
      </c>
      <c r="BE66">
        <v>43</v>
      </c>
      <c r="BF66">
        <v>29114</v>
      </c>
      <c r="BG66">
        <v>13414</v>
      </c>
      <c r="BH66">
        <v>227</v>
      </c>
      <c r="BI66">
        <v>3595</v>
      </c>
      <c r="BJ66">
        <v>835</v>
      </c>
      <c r="BK66">
        <v>2579</v>
      </c>
      <c r="BL66">
        <v>8681</v>
      </c>
      <c r="BM66">
        <v>8624</v>
      </c>
      <c r="BN66">
        <v>1438</v>
      </c>
      <c r="BO66">
        <v>462</v>
      </c>
      <c r="BP66">
        <v>12834</v>
      </c>
      <c r="BQ66">
        <v>1084</v>
      </c>
      <c r="BR66">
        <v>441</v>
      </c>
      <c r="BS66">
        <v>2030</v>
      </c>
      <c r="BT66">
        <v>1089</v>
      </c>
      <c r="BU66">
        <v>801</v>
      </c>
      <c r="BV66">
        <v>9594</v>
      </c>
      <c r="BW66">
        <v>8427</v>
      </c>
      <c r="BX66">
        <v>58</v>
      </c>
    </row>
    <row r="67" spans="1:76">
      <c r="A67" s="1">
        <v>1118</v>
      </c>
      <c r="B67" s="3" t="s">
        <v>74</v>
      </c>
      <c r="C67" s="1" t="s">
        <v>25</v>
      </c>
      <c r="D67" s="1" t="s">
        <v>24</v>
      </c>
      <c r="E67" s="1" t="s">
        <v>24</v>
      </c>
      <c r="F67" s="1" t="s">
        <v>24</v>
      </c>
      <c r="G67" s="1" t="s">
        <v>32</v>
      </c>
      <c r="H67" s="1">
        <v>41</v>
      </c>
      <c r="I67" s="1" t="s">
        <v>27</v>
      </c>
      <c r="J67" s="1" t="s">
        <v>28</v>
      </c>
      <c r="K67" s="1">
        <v>50.9</v>
      </c>
      <c r="L67" s="1" t="s">
        <v>34</v>
      </c>
      <c r="M67" s="1" t="s">
        <v>29</v>
      </c>
      <c r="N67" s="1" t="s">
        <v>29</v>
      </c>
      <c r="O67" s="1" t="s">
        <v>29</v>
      </c>
      <c r="P67" s="1"/>
      <c r="Q67" s="1" t="s">
        <v>34</v>
      </c>
      <c r="R67" s="1" t="s">
        <v>29</v>
      </c>
      <c r="S67" s="1" t="s">
        <v>34</v>
      </c>
      <c r="T67" s="1" t="s">
        <v>29</v>
      </c>
      <c r="U67" s="1" t="s">
        <v>29</v>
      </c>
      <c r="V67" s="1" t="s">
        <v>29</v>
      </c>
      <c r="W67" s="1" t="s">
        <v>29</v>
      </c>
      <c r="X67" t="s">
        <v>201</v>
      </c>
      <c r="Y67">
        <v>122549</v>
      </c>
      <c r="Z67">
        <v>120601</v>
      </c>
      <c r="AA67">
        <v>112566</v>
      </c>
      <c r="AB67">
        <v>82654</v>
      </c>
      <c r="AC67">
        <v>337</v>
      </c>
      <c r="AD67">
        <v>336</v>
      </c>
      <c r="AE67">
        <v>313</v>
      </c>
      <c r="AF67">
        <v>310</v>
      </c>
      <c r="AG67">
        <v>310</v>
      </c>
      <c r="AH67">
        <v>92</v>
      </c>
      <c r="AI67">
        <v>146</v>
      </c>
      <c r="AJ67">
        <v>4</v>
      </c>
      <c r="AK67">
        <v>1</v>
      </c>
      <c r="AL67">
        <v>24810</v>
      </c>
      <c r="AM67">
        <v>4293</v>
      </c>
      <c r="AN67">
        <v>19820</v>
      </c>
      <c r="AO67">
        <v>700</v>
      </c>
      <c r="AP67">
        <v>529</v>
      </c>
      <c r="AQ67">
        <v>2170</v>
      </c>
      <c r="AR67">
        <v>6115</v>
      </c>
      <c r="AS67">
        <v>1966</v>
      </c>
      <c r="AT67">
        <v>1867</v>
      </c>
      <c r="AU67">
        <v>3728</v>
      </c>
      <c r="AV67">
        <v>572</v>
      </c>
      <c r="AW67">
        <v>2838</v>
      </c>
      <c r="AX67">
        <v>278</v>
      </c>
      <c r="AY67">
        <v>2252</v>
      </c>
      <c r="AZ67">
        <v>8684</v>
      </c>
      <c r="BA67">
        <v>441</v>
      </c>
      <c r="BB67">
        <v>56435</v>
      </c>
      <c r="BC67">
        <v>53241</v>
      </c>
      <c r="BD67">
        <v>104</v>
      </c>
      <c r="BE67">
        <v>56</v>
      </c>
      <c r="BF67">
        <v>52619</v>
      </c>
      <c r="BG67">
        <v>32913</v>
      </c>
      <c r="BH67">
        <v>163</v>
      </c>
      <c r="BI67">
        <v>15351</v>
      </c>
      <c r="BJ67">
        <v>6801</v>
      </c>
      <c r="BK67">
        <v>7526</v>
      </c>
      <c r="BL67">
        <v>14811</v>
      </c>
      <c r="BM67">
        <v>14556</v>
      </c>
      <c r="BN67">
        <v>1260</v>
      </c>
      <c r="BO67">
        <v>391</v>
      </c>
      <c r="BP67">
        <v>15668</v>
      </c>
      <c r="BQ67">
        <v>1850</v>
      </c>
      <c r="BR67">
        <v>254</v>
      </c>
      <c r="BS67">
        <v>8198</v>
      </c>
      <c r="BT67">
        <v>934</v>
      </c>
      <c r="BU67">
        <v>6844</v>
      </c>
      <c r="BV67">
        <v>6524</v>
      </c>
      <c r="BW67">
        <v>5663</v>
      </c>
      <c r="BX67">
        <v>35</v>
      </c>
    </row>
    <row r="68" spans="1:76">
      <c r="A68" s="1">
        <v>1020</v>
      </c>
      <c r="B68" s="3" t="s">
        <v>43</v>
      </c>
      <c r="C68" s="1" t="s">
        <v>24</v>
      </c>
      <c r="D68" s="1" t="s">
        <v>25</v>
      </c>
      <c r="E68" s="1" t="s">
        <v>24</v>
      </c>
      <c r="F68" s="1" t="s">
        <v>24</v>
      </c>
      <c r="G68" s="1" t="s">
        <v>26</v>
      </c>
      <c r="H68" s="1">
        <v>66</v>
      </c>
      <c r="I68" s="1" t="s">
        <v>27</v>
      </c>
      <c r="J68" s="1" t="s">
        <v>28</v>
      </c>
      <c r="K68" s="1">
        <v>24.2</v>
      </c>
      <c r="L68" s="1" t="s">
        <v>34</v>
      </c>
      <c r="M68" s="1" t="s">
        <v>29</v>
      </c>
      <c r="N68" s="1" t="s">
        <v>29</v>
      </c>
      <c r="O68" s="1" t="s">
        <v>29</v>
      </c>
      <c r="P68" s="1"/>
      <c r="Q68" s="1" t="s">
        <v>34</v>
      </c>
      <c r="R68" s="1" t="s">
        <v>29</v>
      </c>
      <c r="S68" s="1" t="s">
        <v>34</v>
      </c>
      <c r="T68" s="1" t="s">
        <v>29</v>
      </c>
      <c r="U68" s="1" t="s">
        <v>29</v>
      </c>
      <c r="V68" s="1" t="s">
        <v>29</v>
      </c>
      <c r="W68" s="1" t="s">
        <v>29</v>
      </c>
      <c r="X68" t="s">
        <v>175</v>
      </c>
      <c r="Y68">
        <v>120938</v>
      </c>
      <c r="Z68">
        <v>118043</v>
      </c>
      <c r="AA68">
        <v>117453</v>
      </c>
      <c r="AB68">
        <v>95879</v>
      </c>
      <c r="AC68">
        <v>1432</v>
      </c>
      <c r="AD68">
        <v>1414</v>
      </c>
      <c r="AE68">
        <v>1371</v>
      </c>
      <c r="AF68">
        <v>1362</v>
      </c>
      <c r="AG68">
        <v>1361</v>
      </c>
      <c r="AH68">
        <v>806</v>
      </c>
      <c r="AI68">
        <v>380</v>
      </c>
      <c r="AJ68">
        <v>26</v>
      </c>
      <c r="AK68">
        <v>6</v>
      </c>
      <c r="AL68">
        <v>40720</v>
      </c>
      <c r="AM68">
        <v>4743</v>
      </c>
      <c r="AN68">
        <v>34778</v>
      </c>
      <c r="AO68">
        <v>1331</v>
      </c>
      <c r="AP68">
        <v>1857</v>
      </c>
      <c r="AQ68">
        <v>4280</v>
      </c>
      <c r="AR68">
        <v>16106</v>
      </c>
      <c r="AS68">
        <v>7580</v>
      </c>
      <c r="AT68">
        <v>7465</v>
      </c>
      <c r="AU68">
        <v>3794</v>
      </c>
      <c r="AV68">
        <v>601</v>
      </c>
      <c r="AW68">
        <v>2570</v>
      </c>
      <c r="AX68">
        <v>476</v>
      </c>
      <c r="AY68">
        <v>1879</v>
      </c>
      <c r="AZ68">
        <v>12354</v>
      </c>
      <c r="BA68">
        <v>58</v>
      </c>
      <c r="BB68">
        <v>52416</v>
      </c>
      <c r="BC68">
        <v>50097</v>
      </c>
      <c r="BD68">
        <v>724</v>
      </c>
      <c r="BE68">
        <v>513</v>
      </c>
      <c r="BF68">
        <v>46234</v>
      </c>
      <c r="BG68">
        <v>25558</v>
      </c>
      <c r="BH68">
        <v>655</v>
      </c>
      <c r="BI68">
        <v>14495</v>
      </c>
      <c r="BJ68">
        <v>3917</v>
      </c>
      <c r="BK68">
        <v>9535</v>
      </c>
      <c r="BL68">
        <v>9685</v>
      </c>
      <c r="BM68">
        <v>9643</v>
      </c>
      <c r="BN68">
        <v>2797</v>
      </c>
      <c r="BO68">
        <v>720</v>
      </c>
      <c r="BP68">
        <v>18289</v>
      </c>
      <c r="BQ68">
        <v>4047</v>
      </c>
      <c r="BR68">
        <v>967</v>
      </c>
      <c r="BS68">
        <v>4293</v>
      </c>
      <c r="BT68">
        <v>1267</v>
      </c>
      <c r="BU68">
        <v>2868</v>
      </c>
      <c r="BV68">
        <v>12911</v>
      </c>
      <c r="BW68">
        <v>8578</v>
      </c>
      <c r="BX68">
        <v>73</v>
      </c>
    </row>
    <row r="69" spans="1:76">
      <c r="A69" s="1">
        <v>1046</v>
      </c>
      <c r="B69" s="3" t="s">
        <v>56</v>
      </c>
      <c r="C69" s="1" t="s">
        <v>25</v>
      </c>
      <c r="D69" s="1" t="s">
        <v>25</v>
      </c>
      <c r="E69" s="1" t="s">
        <v>24</v>
      </c>
      <c r="F69" s="1" t="s">
        <v>24</v>
      </c>
      <c r="G69" s="1" t="s">
        <v>32</v>
      </c>
      <c r="H69" s="1">
        <v>58</v>
      </c>
      <c r="I69" s="1" t="s">
        <v>27</v>
      </c>
      <c r="J69" s="1" t="s">
        <v>28</v>
      </c>
      <c r="K69" s="1">
        <v>32.799999999999997</v>
      </c>
      <c r="L69" s="1" t="s">
        <v>34</v>
      </c>
      <c r="M69" s="1" t="s">
        <v>34</v>
      </c>
      <c r="N69" s="1" t="s">
        <v>34</v>
      </c>
      <c r="O69" s="1" t="s">
        <v>29</v>
      </c>
      <c r="P69" s="1"/>
      <c r="Q69" s="1" t="s">
        <v>34</v>
      </c>
      <c r="R69" s="1" t="s">
        <v>29</v>
      </c>
      <c r="S69" s="1" t="s">
        <v>34</v>
      </c>
      <c r="T69" s="1" t="s">
        <v>29</v>
      </c>
      <c r="U69" s="1" t="s">
        <v>29</v>
      </c>
      <c r="V69" s="1" t="s">
        <v>29</v>
      </c>
      <c r="W69" s="1" t="s">
        <v>29</v>
      </c>
      <c r="X69" t="s">
        <v>184</v>
      </c>
      <c r="Y69">
        <v>56307</v>
      </c>
      <c r="Z69">
        <v>54235</v>
      </c>
      <c r="AA69">
        <v>51105</v>
      </c>
      <c r="AB69">
        <v>22098</v>
      </c>
      <c r="AC69">
        <v>517</v>
      </c>
      <c r="AD69">
        <v>514</v>
      </c>
      <c r="AE69">
        <v>504</v>
      </c>
      <c r="AF69">
        <v>504</v>
      </c>
      <c r="AG69">
        <v>504</v>
      </c>
      <c r="AH69">
        <v>189</v>
      </c>
      <c r="AI69">
        <v>227</v>
      </c>
      <c r="AJ69">
        <v>0</v>
      </c>
      <c r="AK69">
        <v>3</v>
      </c>
      <c r="AL69">
        <v>12597</v>
      </c>
      <c r="AM69">
        <v>2186</v>
      </c>
      <c r="AN69">
        <v>10164</v>
      </c>
      <c r="AO69">
        <v>291</v>
      </c>
      <c r="AP69">
        <v>61</v>
      </c>
      <c r="AQ69">
        <v>282</v>
      </c>
      <c r="AR69">
        <v>3959</v>
      </c>
      <c r="AS69">
        <v>933</v>
      </c>
      <c r="AT69">
        <v>881</v>
      </c>
      <c r="AU69">
        <v>3178</v>
      </c>
      <c r="AV69">
        <v>335</v>
      </c>
      <c r="AW69">
        <v>2062</v>
      </c>
      <c r="AX69">
        <v>35</v>
      </c>
      <c r="AY69">
        <v>1962</v>
      </c>
      <c r="AZ69">
        <v>2148</v>
      </c>
      <c r="BA69">
        <v>14</v>
      </c>
      <c r="BB69">
        <v>8581</v>
      </c>
      <c r="BC69">
        <v>8229</v>
      </c>
      <c r="BD69">
        <v>43</v>
      </c>
      <c r="BE69">
        <v>38</v>
      </c>
      <c r="BF69">
        <v>7908</v>
      </c>
      <c r="BG69">
        <v>2686</v>
      </c>
      <c r="BH69">
        <v>17</v>
      </c>
      <c r="BI69">
        <v>1511</v>
      </c>
      <c r="BJ69">
        <v>151</v>
      </c>
      <c r="BK69">
        <v>1271</v>
      </c>
      <c r="BL69">
        <v>1026</v>
      </c>
      <c r="BM69">
        <v>1019</v>
      </c>
      <c r="BN69">
        <v>314</v>
      </c>
      <c r="BO69">
        <v>115</v>
      </c>
      <c r="BP69">
        <v>4848</v>
      </c>
      <c r="BQ69">
        <v>1584</v>
      </c>
      <c r="BR69">
        <v>153</v>
      </c>
      <c r="BS69">
        <v>1063</v>
      </c>
      <c r="BT69">
        <v>433</v>
      </c>
      <c r="BU69">
        <v>543</v>
      </c>
      <c r="BV69">
        <v>3560</v>
      </c>
      <c r="BW69">
        <v>3103</v>
      </c>
      <c r="BX69">
        <v>9</v>
      </c>
    </row>
    <row r="70" spans="1:76">
      <c r="A70" s="1">
        <v>1059</v>
      </c>
      <c r="B70" s="3" t="s">
        <v>60</v>
      </c>
      <c r="C70" s="1" t="s">
        <v>24</v>
      </c>
      <c r="D70" s="1" t="s">
        <v>25</v>
      </c>
      <c r="E70" s="1" t="s">
        <v>24</v>
      </c>
      <c r="F70" s="1" t="s">
        <v>24</v>
      </c>
      <c r="G70" s="1" t="s">
        <v>26</v>
      </c>
      <c r="H70" s="1">
        <v>60</v>
      </c>
      <c r="I70" s="1" t="s">
        <v>27</v>
      </c>
      <c r="J70" s="1" t="s">
        <v>28</v>
      </c>
      <c r="K70" s="1">
        <v>38.4</v>
      </c>
      <c r="L70" s="1" t="s">
        <v>34</v>
      </c>
      <c r="M70" s="1" t="s">
        <v>29</v>
      </c>
      <c r="N70" s="1" t="s">
        <v>29</v>
      </c>
      <c r="O70" s="1" t="s">
        <v>29</v>
      </c>
      <c r="P70" s="1"/>
      <c r="Q70" s="1" t="s">
        <v>34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29</v>
      </c>
      <c r="W70" s="1" t="s">
        <v>29</v>
      </c>
      <c r="X70" t="s">
        <v>188</v>
      </c>
      <c r="Y70">
        <v>175293</v>
      </c>
      <c r="Z70">
        <v>171404</v>
      </c>
      <c r="AA70">
        <v>153549</v>
      </c>
      <c r="AB70">
        <v>81209</v>
      </c>
      <c r="AC70">
        <v>561</v>
      </c>
      <c r="AD70">
        <v>553</v>
      </c>
      <c r="AE70">
        <v>533</v>
      </c>
      <c r="AF70">
        <v>528</v>
      </c>
      <c r="AG70">
        <v>524</v>
      </c>
      <c r="AH70">
        <v>147</v>
      </c>
      <c r="AI70">
        <v>326</v>
      </c>
      <c r="AJ70">
        <v>11</v>
      </c>
      <c r="AK70">
        <v>5</v>
      </c>
      <c r="AL70">
        <v>40538</v>
      </c>
      <c r="AM70">
        <v>6160</v>
      </c>
      <c r="AN70">
        <v>33620</v>
      </c>
      <c r="AO70">
        <v>385</v>
      </c>
      <c r="AP70">
        <v>194</v>
      </c>
      <c r="AQ70">
        <v>2092</v>
      </c>
      <c r="AR70">
        <v>14943</v>
      </c>
      <c r="AS70">
        <v>2752</v>
      </c>
      <c r="AT70">
        <v>2657</v>
      </c>
      <c r="AU70">
        <v>8456</v>
      </c>
      <c r="AV70">
        <v>1474</v>
      </c>
      <c r="AW70">
        <v>6124</v>
      </c>
      <c r="AX70">
        <v>144</v>
      </c>
      <c r="AY70">
        <v>5295</v>
      </c>
      <c r="AZ70">
        <v>7688</v>
      </c>
      <c r="BA70">
        <v>101</v>
      </c>
      <c r="BB70">
        <v>39051</v>
      </c>
      <c r="BC70">
        <v>36347</v>
      </c>
      <c r="BD70">
        <v>139</v>
      </c>
      <c r="BE70">
        <v>66</v>
      </c>
      <c r="BF70">
        <v>35628</v>
      </c>
      <c r="BG70">
        <v>22138</v>
      </c>
      <c r="BH70">
        <v>58</v>
      </c>
      <c r="BI70">
        <v>9610</v>
      </c>
      <c r="BJ70">
        <v>2984</v>
      </c>
      <c r="BK70">
        <v>5998</v>
      </c>
      <c r="BL70">
        <v>10519</v>
      </c>
      <c r="BM70">
        <v>10321</v>
      </c>
      <c r="BN70">
        <v>2520</v>
      </c>
      <c r="BO70">
        <v>478</v>
      </c>
      <c r="BP70">
        <v>9728</v>
      </c>
      <c r="BQ70">
        <v>2196</v>
      </c>
      <c r="BR70">
        <v>221</v>
      </c>
      <c r="BS70">
        <v>1990</v>
      </c>
      <c r="BT70">
        <v>844</v>
      </c>
      <c r="BU70">
        <v>1027</v>
      </c>
      <c r="BV70">
        <v>7202</v>
      </c>
      <c r="BW70">
        <v>4229</v>
      </c>
      <c r="BX70">
        <v>53</v>
      </c>
    </row>
    <row r="71" spans="1:76">
      <c r="A71" s="1">
        <v>1321</v>
      </c>
      <c r="B71" s="3" t="s">
        <v>110</v>
      </c>
      <c r="C71" s="1" t="s">
        <v>24</v>
      </c>
      <c r="D71" s="1" t="s">
        <v>25</v>
      </c>
      <c r="E71" s="1" t="s">
        <v>24</v>
      </c>
      <c r="F71" s="1" t="s">
        <v>24</v>
      </c>
      <c r="G71" s="1" t="s">
        <v>32</v>
      </c>
      <c r="H71" s="1">
        <v>45</v>
      </c>
      <c r="I71" s="1" t="s">
        <v>27</v>
      </c>
      <c r="J71" s="1" t="s">
        <v>28</v>
      </c>
      <c r="K71" s="1">
        <v>37.5</v>
      </c>
      <c r="L71" s="1" t="s">
        <v>34</v>
      </c>
      <c r="M71" s="1" t="s">
        <v>29</v>
      </c>
      <c r="N71" s="1" t="s">
        <v>29</v>
      </c>
      <c r="O71" s="1" t="s">
        <v>29</v>
      </c>
      <c r="P71" s="1"/>
      <c r="Q71" s="1" t="s">
        <v>34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29</v>
      </c>
      <c r="W71" s="1" t="s">
        <v>29</v>
      </c>
      <c r="X71" t="s">
        <v>238</v>
      </c>
      <c r="Y71">
        <v>202436</v>
      </c>
      <c r="Z71">
        <v>196874</v>
      </c>
      <c r="AA71">
        <v>194481</v>
      </c>
      <c r="AB71">
        <v>175913</v>
      </c>
      <c r="AC71">
        <v>145</v>
      </c>
      <c r="AD71">
        <v>143</v>
      </c>
      <c r="AE71">
        <v>134</v>
      </c>
      <c r="AF71">
        <v>133</v>
      </c>
      <c r="AG71">
        <v>133</v>
      </c>
      <c r="AH71">
        <v>33</v>
      </c>
      <c r="AI71">
        <v>69</v>
      </c>
      <c r="AJ71">
        <v>0</v>
      </c>
      <c r="AK71">
        <v>3</v>
      </c>
      <c r="AL71">
        <v>82442</v>
      </c>
      <c r="AM71">
        <v>17909</v>
      </c>
      <c r="AN71">
        <v>62222</v>
      </c>
      <c r="AO71">
        <v>5796</v>
      </c>
      <c r="AP71">
        <v>1624</v>
      </c>
      <c r="AQ71">
        <v>2526</v>
      </c>
      <c r="AR71">
        <v>27295</v>
      </c>
      <c r="AS71">
        <v>6838</v>
      </c>
      <c r="AT71">
        <v>3</v>
      </c>
      <c r="AU71">
        <v>5248</v>
      </c>
      <c r="AV71">
        <v>945</v>
      </c>
      <c r="AW71">
        <v>4004</v>
      </c>
      <c r="AX71">
        <v>470</v>
      </c>
      <c r="AY71">
        <v>3320</v>
      </c>
      <c r="AZ71">
        <v>27206</v>
      </c>
      <c r="BA71">
        <v>296</v>
      </c>
      <c r="BB71">
        <v>92854</v>
      </c>
      <c r="BC71">
        <v>85912</v>
      </c>
      <c r="BD71">
        <v>493</v>
      </c>
      <c r="BE71">
        <v>208</v>
      </c>
      <c r="BF71">
        <v>83556</v>
      </c>
      <c r="BG71">
        <v>61612</v>
      </c>
      <c r="BH71">
        <v>151</v>
      </c>
      <c r="BI71">
        <v>42521</v>
      </c>
      <c r="BJ71">
        <v>16184</v>
      </c>
      <c r="BK71">
        <v>21923</v>
      </c>
      <c r="BL71">
        <v>14650</v>
      </c>
      <c r="BM71">
        <v>14519</v>
      </c>
      <c r="BN71">
        <v>3570</v>
      </c>
      <c r="BO71">
        <v>1428</v>
      </c>
      <c r="BP71">
        <v>19343</v>
      </c>
      <c r="BQ71">
        <v>1382</v>
      </c>
      <c r="BR71">
        <v>542</v>
      </c>
      <c r="BS71">
        <v>9358</v>
      </c>
      <c r="BT71">
        <v>1720</v>
      </c>
      <c r="BU71">
        <v>6892</v>
      </c>
      <c r="BV71">
        <v>8790</v>
      </c>
      <c r="BW71">
        <v>6449</v>
      </c>
      <c r="BX71">
        <v>101</v>
      </c>
    </row>
    <row r="72" spans="1:76">
      <c r="A72" s="1">
        <v>1207</v>
      </c>
      <c r="B72" s="3" t="s">
        <v>101</v>
      </c>
      <c r="C72" s="1" t="s">
        <v>24</v>
      </c>
      <c r="D72" s="1" t="s">
        <v>25</v>
      </c>
      <c r="E72" s="1" t="s">
        <v>24</v>
      </c>
      <c r="F72" s="1" t="s">
        <v>24</v>
      </c>
      <c r="G72" s="1" t="s">
        <v>26</v>
      </c>
      <c r="H72" s="1">
        <v>69</v>
      </c>
      <c r="I72" s="1" t="s">
        <v>27</v>
      </c>
      <c r="J72" s="1" t="s">
        <v>84</v>
      </c>
      <c r="K72" s="1">
        <v>27</v>
      </c>
      <c r="L72" s="1" t="s">
        <v>34</v>
      </c>
      <c r="M72" s="1" t="s">
        <v>29</v>
      </c>
      <c r="N72" s="1" t="s">
        <v>29</v>
      </c>
      <c r="O72" s="1" t="s">
        <v>29</v>
      </c>
      <c r="P72" s="1"/>
      <c r="Q72" s="1" t="s">
        <v>34</v>
      </c>
      <c r="R72" s="1" t="s">
        <v>29</v>
      </c>
      <c r="S72" s="1" t="s">
        <v>34</v>
      </c>
      <c r="T72" s="1" t="s">
        <v>29</v>
      </c>
      <c r="U72" s="1" t="s">
        <v>29</v>
      </c>
      <c r="V72" s="1" t="s">
        <v>29</v>
      </c>
      <c r="W72" s="1" t="s">
        <v>29</v>
      </c>
      <c r="X72" t="s">
        <v>227</v>
      </c>
      <c r="Y72">
        <v>82779</v>
      </c>
      <c r="Z72">
        <v>76468</v>
      </c>
      <c r="AA72">
        <v>75354</v>
      </c>
      <c r="AB72">
        <v>43236</v>
      </c>
      <c r="AC72">
        <v>549</v>
      </c>
      <c r="AD72">
        <v>499</v>
      </c>
      <c r="AE72">
        <v>439</v>
      </c>
      <c r="AF72">
        <v>437</v>
      </c>
      <c r="AG72">
        <v>417</v>
      </c>
      <c r="AH72">
        <v>101</v>
      </c>
      <c r="AI72">
        <v>220</v>
      </c>
      <c r="AJ72">
        <v>26</v>
      </c>
      <c r="AK72">
        <v>8</v>
      </c>
      <c r="AL72">
        <v>21638</v>
      </c>
      <c r="AM72">
        <v>12539</v>
      </c>
      <c r="AN72">
        <v>8046</v>
      </c>
      <c r="AO72">
        <v>656</v>
      </c>
      <c r="AP72">
        <v>1027</v>
      </c>
      <c r="AQ72">
        <v>1316</v>
      </c>
      <c r="AR72">
        <v>2187</v>
      </c>
      <c r="AS72">
        <v>568</v>
      </c>
      <c r="AT72">
        <v>534</v>
      </c>
      <c r="AU72">
        <v>1305</v>
      </c>
      <c r="AV72">
        <v>309</v>
      </c>
      <c r="AW72">
        <v>763</v>
      </c>
      <c r="AX72">
        <v>101</v>
      </c>
      <c r="AY72">
        <v>558</v>
      </c>
      <c r="AZ72">
        <v>4097</v>
      </c>
      <c r="BA72">
        <v>31</v>
      </c>
      <c r="BB72">
        <v>18168</v>
      </c>
      <c r="BC72">
        <v>14978</v>
      </c>
      <c r="BD72">
        <v>325</v>
      </c>
      <c r="BE72">
        <v>76</v>
      </c>
      <c r="BF72">
        <v>13641</v>
      </c>
      <c r="BG72">
        <v>9594</v>
      </c>
      <c r="BH72">
        <v>376</v>
      </c>
      <c r="BI72">
        <v>5658</v>
      </c>
      <c r="BJ72">
        <v>3292</v>
      </c>
      <c r="BK72">
        <v>2263</v>
      </c>
      <c r="BL72">
        <v>2817</v>
      </c>
      <c r="BM72">
        <v>2708</v>
      </c>
      <c r="BN72">
        <v>3366</v>
      </c>
      <c r="BO72">
        <v>2439</v>
      </c>
      <c r="BP72">
        <v>3048</v>
      </c>
      <c r="BQ72">
        <v>1553</v>
      </c>
      <c r="BR72">
        <v>1097</v>
      </c>
      <c r="BS72">
        <v>1384</v>
      </c>
      <c r="BT72">
        <v>255</v>
      </c>
      <c r="BU72">
        <v>1108</v>
      </c>
      <c r="BV72">
        <v>1310</v>
      </c>
      <c r="BW72">
        <v>1071</v>
      </c>
      <c r="BX72">
        <v>57</v>
      </c>
    </row>
    <row r="73" spans="1:76">
      <c r="A73" s="1">
        <v>1107</v>
      </c>
      <c r="B73" s="3" t="s">
        <v>73</v>
      </c>
      <c r="C73" s="1" t="s">
        <v>25</v>
      </c>
      <c r="D73" s="1" t="s">
        <v>24</v>
      </c>
      <c r="E73" s="1" t="s">
        <v>24</v>
      </c>
      <c r="F73" s="1" t="s">
        <v>24</v>
      </c>
      <c r="G73" s="1" t="s">
        <v>32</v>
      </c>
      <c r="H73" s="1">
        <v>60</v>
      </c>
      <c r="I73" s="1" t="s">
        <v>27</v>
      </c>
      <c r="J73" s="1" t="s">
        <v>28</v>
      </c>
      <c r="K73" s="1">
        <v>30.3</v>
      </c>
      <c r="L73" s="1" t="s">
        <v>34</v>
      </c>
      <c r="M73" s="1" t="s">
        <v>34</v>
      </c>
      <c r="N73" s="1" t="s">
        <v>34</v>
      </c>
      <c r="O73" s="1" t="s">
        <v>29</v>
      </c>
      <c r="P73" s="1"/>
      <c r="Q73" s="1" t="s">
        <v>34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W73" s="1" t="s">
        <v>29</v>
      </c>
      <c r="X73" t="s">
        <v>200</v>
      </c>
      <c r="Y73">
        <v>19490</v>
      </c>
      <c r="Z73">
        <v>18962</v>
      </c>
      <c r="AA73">
        <v>18555</v>
      </c>
      <c r="AB73">
        <v>10768</v>
      </c>
      <c r="AC73">
        <v>213</v>
      </c>
      <c r="AD73">
        <v>213</v>
      </c>
      <c r="AE73">
        <v>203</v>
      </c>
      <c r="AF73">
        <v>203</v>
      </c>
      <c r="AG73">
        <v>201</v>
      </c>
      <c r="AH73">
        <v>88</v>
      </c>
      <c r="AI73">
        <v>66</v>
      </c>
      <c r="AJ73">
        <v>2</v>
      </c>
      <c r="AK73">
        <v>1</v>
      </c>
      <c r="AL73">
        <v>6545</v>
      </c>
      <c r="AM73">
        <v>1565</v>
      </c>
      <c r="AN73">
        <v>4632</v>
      </c>
      <c r="AO73">
        <v>133</v>
      </c>
      <c r="AP73">
        <v>83</v>
      </c>
      <c r="AQ73">
        <v>162</v>
      </c>
      <c r="AR73">
        <v>1795</v>
      </c>
      <c r="AS73">
        <v>1116</v>
      </c>
      <c r="AT73">
        <v>1099</v>
      </c>
      <c r="AU73">
        <v>725</v>
      </c>
      <c r="AV73">
        <v>33</v>
      </c>
      <c r="AW73">
        <v>594</v>
      </c>
      <c r="AX73">
        <v>34</v>
      </c>
      <c r="AY73">
        <v>500</v>
      </c>
      <c r="AZ73">
        <v>1551</v>
      </c>
      <c r="BA73">
        <v>24</v>
      </c>
      <c r="BB73">
        <v>3766</v>
      </c>
      <c r="BC73">
        <v>3534</v>
      </c>
      <c r="BD73">
        <v>15</v>
      </c>
      <c r="BE73">
        <v>112</v>
      </c>
      <c r="BF73">
        <v>3213</v>
      </c>
      <c r="BG73">
        <v>1457</v>
      </c>
      <c r="BH73">
        <v>23</v>
      </c>
      <c r="BI73">
        <v>500</v>
      </c>
      <c r="BJ73">
        <v>40</v>
      </c>
      <c r="BK73">
        <v>450</v>
      </c>
      <c r="BL73">
        <v>811</v>
      </c>
      <c r="BM73">
        <v>808</v>
      </c>
      <c r="BN73">
        <v>163</v>
      </c>
      <c r="BO73">
        <v>37</v>
      </c>
      <c r="BP73">
        <v>1547</v>
      </c>
      <c r="BQ73">
        <v>346</v>
      </c>
      <c r="BR73">
        <v>27</v>
      </c>
      <c r="BS73">
        <v>240</v>
      </c>
      <c r="BT73">
        <v>190</v>
      </c>
      <c r="BU73">
        <v>40</v>
      </c>
      <c r="BV73">
        <v>1162</v>
      </c>
      <c r="BW73">
        <v>1009</v>
      </c>
      <c r="BX73">
        <v>7</v>
      </c>
    </row>
    <row r="74" spans="1:76">
      <c r="A74" s="1">
        <v>1021</v>
      </c>
      <c r="B74" s="3" t="s">
        <v>44</v>
      </c>
      <c r="C74" s="1" t="s">
        <v>25</v>
      </c>
      <c r="D74" s="1" t="s">
        <v>24</v>
      </c>
      <c r="E74" s="1" t="s">
        <v>24</v>
      </c>
      <c r="F74" s="1" t="s">
        <v>24</v>
      </c>
      <c r="G74" s="1" t="s">
        <v>26</v>
      </c>
      <c r="H74" s="1">
        <v>71</v>
      </c>
      <c r="I74" s="1" t="s">
        <v>27</v>
      </c>
      <c r="J74" s="1" t="s">
        <v>28</v>
      </c>
      <c r="K74" s="1">
        <v>34.6</v>
      </c>
      <c r="L74" s="1" t="s">
        <v>34</v>
      </c>
      <c r="M74" s="1" t="s">
        <v>29</v>
      </c>
      <c r="N74" s="1" t="s">
        <v>29</v>
      </c>
      <c r="O74" s="1" t="s">
        <v>34</v>
      </c>
      <c r="P74" s="1" t="s">
        <v>45</v>
      </c>
      <c r="Q74" s="1" t="s">
        <v>34</v>
      </c>
      <c r="R74" s="1" t="s">
        <v>29</v>
      </c>
      <c r="S74" s="1" t="s">
        <v>34</v>
      </c>
      <c r="T74" s="1" t="s">
        <v>29</v>
      </c>
      <c r="U74" s="1" t="s">
        <v>29</v>
      </c>
      <c r="V74" s="1" t="s">
        <v>29</v>
      </c>
      <c r="W74" s="1" t="s">
        <v>29</v>
      </c>
      <c r="X74" t="s">
        <v>176</v>
      </c>
      <c r="Y74">
        <v>36221</v>
      </c>
      <c r="Z74">
        <v>34723</v>
      </c>
      <c r="AA74">
        <v>34052</v>
      </c>
      <c r="AB74">
        <v>25348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8936</v>
      </c>
      <c r="AM74">
        <v>2132</v>
      </c>
      <c r="AN74">
        <v>6627</v>
      </c>
      <c r="AO74">
        <v>753</v>
      </c>
      <c r="AP74">
        <v>2379</v>
      </c>
      <c r="AQ74">
        <v>3468</v>
      </c>
      <c r="AR74">
        <v>552</v>
      </c>
      <c r="AS74">
        <v>116</v>
      </c>
      <c r="AT74">
        <v>85</v>
      </c>
      <c r="AU74">
        <v>1790</v>
      </c>
      <c r="AV74">
        <v>25</v>
      </c>
      <c r="AW74">
        <v>263</v>
      </c>
      <c r="AX74">
        <v>83</v>
      </c>
      <c r="AY74">
        <v>154</v>
      </c>
      <c r="AZ74">
        <v>3893</v>
      </c>
      <c r="BA74">
        <v>49</v>
      </c>
      <c r="BB74">
        <v>16346</v>
      </c>
      <c r="BC74">
        <v>14272</v>
      </c>
      <c r="BD74">
        <v>499</v>
      </c>
      <c r="BE74">
        <v>99</v>
      </c>
      <c r="BF74">
        <v>12810</v>
      </c>
      <c r="BG74">
        <v>10079</v>
      </c>
      <c r="BH74">
        <v>45</v>
      </c>
      <c r="BI74">
        <v>4337</v>
      </c>
      <c r="BJ74">
        <v>1711</v>
      </c>
      <c r="BK74">
        <v>2272</v>
      </c>
      <c r="BL74">
        <v>4664</v>
      </c>
      <c r="BM74">
        <v>4636</v>
      </c>
      <c r="BN74">
        <v>835</v>
      </c>
      <c r="BO74">
        <v>582</v>
      </c>
      <c r="BP74">
        <v>2184</v>
      </c>
      <c r="BQ74">
        <v>136</v>
      </c>
      <c r="BR74">
        <v>122</v>
      </c>
      <c r="BS74">
        <v>605</v>
      </c>
      <c r="BT74">
        <v>217</v>
      </c>
      <c r="BU74">
        <v>365</v>
      </c>
      <c r="BV74">
        <v>1283</v>
      </c>
      <c r="BW74">
        <v>1030</v>
      </c>
      <c r="BX74">
        <v>15</v>
      </c>
    </row>
    <row r="75" spans="1:76">
      <c r="A75" s="1">
        <v>1040</v>
      </c>
      <c r="B75" s="3" t="s">
        <v>54</v>
      </c>
      <c r="C75" s="1" t="s">
        <v>25</v>
      </c>
      <c r="D75" s="1" t="s">
        <v>25</v>
      </c>
      <c r="E75" s="1" t="s">
        <v>24</v>
      </c>
      <c r="F75" s="1" t="s">
        <v>24</v>
      </c>
      <c r="G75" s="1" t="s">
        <v>26</v>
      </c>
      <c r="H75" s="1">
        <v>80</v>
      </c>
      <c r="I75" s="1" t="s">
        <v>27</v>
      </c>
      <c r="J75" s="1" t="s">
        <v>28</v>
      </c>
      <c r="K75" s="1">
        <v>41.9</v>
      </c>
      <c r="L75" s="1" t="s">
        <v>34</v>
      </c>
      <c r="M75" s="1" t="s">
        <v>29</v>
      </c>
      <c r="N75" s="1" t="s">
        <v>29</v>
      </c>
      <c r="O75" s="1" t="s">
        <v>34</v>
      </c>
      <c r="P75" s="1" t="s">
        <v>55</v>
      </c>
      <c r="Q75" s="1" t="s">
        <v>34</v>
      </c>
      <c r="R75" s="1" t="s">
        <v>29</v>
      </c>
      <c r="S75" s="1" t="s">
        <v>34</v>
      </c>
      <c r="T75" s="1" t="s">
        <v>29</v>
      </c>
      <c r="U75" s="1" t="s">
        <v>29</v>
      </c>
      <c r="V75" s="1" t="s">
        <v>34</v>
      </c>
      <c r="W75" s="1" t="s">
        <v>29</v>
      </c>
      <c r="X75" t="s">
        <v>183</v>
      </c>
      <c r="Y75">
        <v>69173</v>
      </c>
      <c r="Z75">
        <v>66483</v>
      </c>
      <c r="AA75">
        <v>62058</v>
      </c>
      <c r="AB75">
        <v>39796</v>
      </c>
      <c r="AC75">
        <v>913</v>
      </c>
      <c r="AD75">
        <v>890</v>
      </c>
      <c r="AE75">
        <v>792</v>
      </c>
      <c r="AF75">
        <v>791</v>
      </c>
      <c r="AG75">
        <v>788</v>
      </c>
      <c r="AH75">
        <v>157</v>
      </c>
      <c r="AI75">
        <v>534</v>
      </c>
      <c r="AJ75">
        <v>53</v>
      </c>
      <c r="AK75">
        <v>13</v>
      </c>
      <c r="AL75">
        <v>22630</v>
      </c>
      <c r="AM75">
        <v>2121</v>
      </c>
      <c r="AN75">
        <v>20291</v>
      </c>
      <c r="AO75">
        <v>984</v>
      </c>
      <c r="AP75">
        <v>1013</v>
      </c>
      <c r="AQ75">
        <v>999</v>
      </c>
      <c r="AR75">
        <v>12056</v>
      </c>
      <c r="AS75">
        <v>3069</v>
      </c>
      <c r="AT75">
        <v>3013</v>
      </c>
      <c r="AU75">
        <v>3179</v>
      </c>
      <c r="AV75">
        <v>436</v>
      </c>
      <c r="AW75">
        <v>2357</v>
      </c>
      <c r="AX75">
        <v>75</v>
      </c>
      <c r="AY75">
        <v>1955</v>
      </c>
      <c r="AZ75">
        <v>3783</v>
      </c>
      <c r="BA75">
        <v>48</v>
      </c>
      <c r="BB75">
        <v>15299</v>
      </c>
      <c r="BC75">
        <v>14780</v>
      </c>
      <c r="BD75">
        <v>191</v>
      </c>
      <c r="BE75">
        <v>288</v>
      </c>
      <c r="BF75">
        <v>13461</v>
      </c>
      <c r="BG75">
        <v>7442</v>
      </c>
      <c r="BH75">
        <v>36</v>
      </c>
      <c r="BI75">
        <v>4594</v>
      </c>
      <c r="BJ75">
        <v>1297</v>
      </c>
      <c r="BK75">
        <v>2954</v>
      </c>
      <c r="BL75">
        <v>2204</v>
      </c>
      <c r="BM75">
        <v>2186</v>
      </c>
      <c r="BN75">
        <v>664</v>
      </c>
      <c r="BO75">
        <v>205</v>
      </c>
      <c r="BP75">
        <v>5013</v>
      </c>
      <c r="BQ75">
        <v>1756</v>
      </c>
      <c r="BR75">
        <v>119</v>
      </c>
      <c r="BS75">
        <v>1009</v>
      </c>
      <c r="BT75">
        <v>587</v>
      </c>
      <c r="BU75">
        <v>351</v>
      </c>
      <c r="BV75">
        <v>3640</v>
      </c>
      <c r="BW75">
        <v>2576</v>
      </c>
      <c r="BX75">
        <v>7</v>
      </c>
    </row>
    <row r="76" spans="1:76">
      <c r="A76" s="1">
        <v>1033</v>
      </c>
      <c r="B76" s="3" t="s">
        <v>51</v>
      </c>
      <c r="C76" s="1" t="s">
        <v>25</v>
      </c>
      <c r="D76" s="1" t="s">
        <v>25</v>
      </c>
      <c r="E76" s="1" t="s">
        <v>24</v>
      </c>
      <c r="F76" s="1" t="s">
        <v>24</v>
      </c>
      <c r="G76" s="1" t="s">
        <v>32</v>
      </c>
      <c r="H76" s="1">
        <v>79</v>
      </c>
      <c r="I76" s="1" t="s">
        <v>27</v>
      </c>
      <c r="J76" s="1" t="s">
        <v>28</v>
      </c>
      <c r="K76" s="1">
        <v>21.8</v>
      </c>
      <c r="L76" s="1" t="s">
        <v>34</v>
      </c>
      <c r="M76" s="1" t="s">
        <v>29</v>
      </c>
      <c r="N76" s="1" t="s">
        <v>29</v>
      </c>
      <c r="O76" s="1" t="s">
        <v>34</v>
      </c>
      <c r="P76" s="1" t="s">
        <v>52</v>
      </c>
      <c r="Q76" s="1" t="s">
        <v>34</v>
      </c>
      <c r="R76" s="1" t="s">
        <v>34</v>
      </c>
      <c r="S76" s="1" t="s">
        <v>29</v>
      </c>
      <c r="T76" s="1" t="s">
        <v>29</v>
      </c>
      <c r="U76" s="1" t="s">
        <v>34</v>
      </c>
      <c r="V76" s="1" t="s">
        <v>29</v>
      </c>
      <c r="W76" s="1" t="s">
        <v>29</v>
      </c>
      <c r="X76" t="s">
        <v>181</v>
      </c>
      <c r="Y76">
        <v>128942</v>
      </c>
      <c r="Z76">
        <v>125796</v>
      </c>
      <c r="AA76">
        <v>122517</v>
      </c>
      <c r="AB76">
        <v>55016</v>
      </c>
      <c r="AC76">
        <v>301</v>
      </c>
      <c r="AD76">
        <v>298</v>
      </c>
      <c r="AE76">
        <v>283</v>
      </c>
      <c r="AF76">
        <v>281</v>
      </c>
      <c r="AG76">
        <v>280</v>
      </c>
      <c r="AH76">
        <v>108</v>
      </c>
      <c r="AI76">
        <v>26</v>
      </c>
      <c r="AJ76">
        <v>0</v>
      </c>
      <c r="AK76">
        <v>0</v>
      </c>
      <c r="AL76">
        <v>39045</v>
      </c>
      <c r="AM76">
        <v>4140</v>
      </c>
      <c r="AN76">
        <v>33986</v>
      </c>
      <c r="AO76">
        <v>1626</v>
      </c>
      <c r="AP76">
        <v>2000</v>
      </c>
      <c r="AQ76">
        <v>4095</v>
      </c>
      <c r="AR76">
        <v>14520</v>
      </c>
      <c r="AS76">
        <v>1992</v>
      </c>
      <c r="AT76">
        <v>1773</v>
      </c>
      <c r="AU76">
        <v>6444</v>
      </c>
      <c r="AV76">
        <v>629</v>
      </c>
      <c r="AW76">
        <v>4481</v>
      </c>
      <c r="AX76">
        <v>135</v>
      </c>
      <c r="AY76">
        <v>4076</v>
      </c>
      <c r="AZ76">
        <v>10491</v>
      </c>
      <c r="BA76">
        <v>85</v>
      </c>
      <c r="BB76">
        <v>15102</v>
      </c>
      <c r="BC76">
        <v>13977</v>
      </c>
      <c r="BD76">
        <v>190</v>
      </c>
      <c r="BE76">
        <v>90</v>
      </c>
      <c r="BF76">
        <v>13318</v>
      </c>
      <c r="BG76">
        <v>7793</v>
      </c>
      <c r="BH76">
        <v>38</v>
      </c>
      <c r="BI76">
        <v>1699</v>
      </c>
      <c r="BJ76">
        <v>286</v>
      </c>
      <c r="BK76">
        <v>1342</v>
      </c>
      <c r="BL76">
        <v>5530</v>
      </c>
      <c r="BM76">
        <v>5493</v>
      </c>
      <c r="BN76">
        <v>1408</v>
      </c>
      <c r="BO76">
        <v>199</v>
      </c>
      <c r="BP76">
        <v>5054</v>
      </c>
      <c r="BQ76">
        <v>2254</v>
      </c>
      <c r="BR76">
        <v>122</v>
      </c>
      <c r="BS76">
        <v>345</v>
      </c>
      <c r="BT76">
        <v>241</v>
      </c>
      <c r="BU76">
        <v>81</v>
      </c>
      <c r="BV76">
        <v>4510</v>
      </c>
      <c r="BW76">
        <v>3052</v>
      </c>
      <c r="BX76">
        <v>68</v>
      </c>
    </row>
  </sheetData>
  <autoFilter ref="A1:BX76" xr:uid="{D45DBEC7-77C6-D64D-922B-3C8041BA71E9}">
    <sortState xmlns:xlrd2="http://schemas.microsoft.com/office/spreadsheetml/2017/richdata2" ref="A2:BX76">
      <sortCondition ref="L1:L76"/>
    </sortState>
  </autoFilter>
  <sortState xmlns:xlrd2="http://schemas.microsoft.com/office/spreadsheetml/2017/richdata2" ref="A2:BX76">
    <sortCondition ref="N2:N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A20-A0C9-0248-871F-3C29C07F1981}">
  <dimension ref="A1:BC78"/>
  <sheetViews>
    <sheetView topLeftCell="X1" workbookViewId="0">
      <pane ySplit="1" topLeftCell="A66" activePane="bottomLeft" state="frozen"/>
      <selection pane="bottomLeft" activeCell="G2" sqref="G2"/>
    </sheetView>
  </sheetViews>
  <sheetFormatPr defaultColWidth="12" defaultRowHeight="15.95"/>
  <cols>
    <col min="1" max="1" width="12" style="8"/>
    <col min="2" max="2" width="12" style="7"/>
    <col min="3" max="16384" width="12" style="8"/>
  </cols>
  <sheetData>
    <row r="1" spans="1:55" ht="288.95">
      <c r="A1" s="5" t="s">
        <v>0</v>
      </c>
      <c r="B1" s="6" t="s">
        <v>1</v>
      </c>
      <c r="C1" s="7" t="s">
        <v>112</v>
      </c>
      <c r="D1" s="7" t="s">
        <v>113</v>
      </c>
      <c r="E1" s="7" t="s">
        <v>114</v>
      </c>
      <c r="F1" s="7" t="s">
        <v>115</v>
      </c>
      <c r="G1" s="7" t="s">
        <v>116</v>
      </c>
      <c r="H1" s="7" t="s">
        <v>117</v>
      </c>
      <c r="I1" s="7" t="s">
        <v>118</v>
      </c>
      <c r="J1" s="7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7" t="s">
        <v>124</v>
      </c>
      <c r="P1" s="7" t="s">
        <v>125</v>
      </c>
      <c r="Q1" s="7" t="s">
        <v>126</v>
      </c>
      <c r="R1" s="7" t="s">
        <v>127</v>
      </c>
      <c r="S1" s="7" t="s">
        <v>128</v>
      </c>
      <c r="T1" s="7" t="s">
        <v>129</v>
      </c>
      <c r="U1" s="7" t="s">
        <v>130</v>
      </c>
      <c r="V1" s="7" t="s">
        <v>131</v>
      </c>
      <c r="W1" s="7" t="s">
        <v>132</v>
      </c>
      <c r="X1" s="7" t="s">
        <v>133</v>
      </c>
      <c r="Y1" s="7" t="s">
        <v>134</v>
      </c>
      <c r="Z1" s="7" t="s">
        <v>135</v>
      </c>
      <c r="AA1" s="7" t="s">
        <v>136</v>
      </c>
      <c r="AB1" s="7" t="s">
        <v>137</v>
      </c>
      <c r="AC1" s="7" t="s">
        <v>138</v>
      </c>
      <c r="AD1" s="7" t="s">
        <v>139</v>
      </c>
      <c r="AE1" s="7" t="s">
        <v>140</v>
      </c>
      <c r="AF1" s="7" t="s">
        <v>141</v>
      </c>
      <c r="AG1" s="7" t="s">
        <v>142</v>
      </c>
      <c r="AH1" s="7" t="s">
        <v>143</v>
      </c>
      <c r="AI1" s="7" t="s">
        <v>144</v>
      </c>
      <c r="AJ1" s="7" t="s">
        <v>145</v>
      </c>
      <c r="AK1" s="7" t="s">
        <v>146</v>
      </c>
      <c r="AL1" s="7" t="s">
        <v>147</v>
      </c>
      <c r="AM1" s="7" t="s">
        <v>148</v>
      </c>
      <c r="AN1" s="7" t="s">
        <v>149</v>
      </c>
      <c r="AO1" s="7" t="s">
        <v>150</v>
      </c>
      <c r="AP1" s="7" t="s">
        <v>151</v>
      </c>
      <c r="AQ1" s="7" t="s">
        <v>152</v>
      </c>
      <c r="AR1" s="7" t="s">
        <v>153</v>
      </c>
      <c r="AS1" s="7" t="s">
        <v>154</v>
      </c>
      <c r="AT1" s="7" t="s">
        <v>155</v>
      </c>
      <c r="AU1" s="7" t="s">
        <v>156</v>
      </c>
      <c r="AV1" s="7" t="s">
        <v>157</v>
      </c>
      <c r="AW1" s="7" t="s">
        <v>158</v>
      </c>
      <c r="AX1" s="7" t="s">
        <v>159</v>
      </c>
      <c r="AY1" s="7" t="s">
        <v>160</v>
      </c>
      <c r="AZ1" s="7" t="s">
        <v>161</v>
      </c>
      <c r="BA1" s="7" t="s">
        <v>162</v>
      </c>
      <c r="BB1" s="7" t="s">
        <v>163</v>
      </c>
      <c r="BC1" s="7" t="s">
        <v>164</v>
      </c>
    </row>
    <row r="2" spans="1:55" ht="51">
      <c r="A2" s="5">
        <v>1008</v>
      </c>
      <c r="B2" s="6" t="s">
        <v>33</v>
      </c>
      <c r="C2" s="8" t="s">
        <v>168</v>
      </c>
      <c r="D2" s="8">
        <v>47011</v>
      </c>
      <c r="E2" s="8">
        <v>45318</v>
      </c>
      <c r="F2" s="8">
        <v>44254</v>
      </c>
      <c r="G2" s="8">
        <v>27384</v>
      </c>
      <c r="H2" s="8">
        <v>190</v>
      </c>
      <c r="I2" s="8">
        <v>182</v>
      </c>
      <c r="J2" s="8">
        <v>169</v>
      </c>
      <c r="K2" s="8">
        <v>165</v>
      </c>
      <c r="L2" s="8">
        <v>163</v>
      </c>
      <c r="M2" s="8">
        <v>44</v>
      </c>
      <c r="N2" s="8">
        <v>104</v>
      </c>
      <c r="O2" s="8">
        <v>0</v>
      </c>
      <c r="P2" s="8">
        <v>0</v>
      </c>
      <c r="Q2" s="8">
        <v>13407</v>
      </c>
      <c r="R2" s="8">
        <v>3105</v>
      </c>
      <c r="S2" s="8">
        <v>9778</v>
      </c>
      <c r="T2" s="8">
        <v>647</v>
      </c>
      <c r="U2" s="8">
        <v>266</v>
      </c>
      <c r="V2" s="8">
        <v>438</v>
      </c>
      <c r="W2" s="8">
        <v>4268</v>
      </c>
      <c r="X2" s="8">
        <v>564</v>
      </c>
      <c r="Y2" s="8">
        <v>516</v>
      </c>
      <c r="Z2" s="8">
        <v>2355</v>
      </c>
      <c r="AA2" s="8">
        <v>374</v>
      </c>
      <c r="AB2" s="8">
        <v>1642</v>
      </c>
      <c r="AC2" s="8">
        <v>13</v>
      </c>
      <c r="AD2" s="8">
        <v>1617</v>
      </c>
      <c r="AE2" s="8">
        <v>2487</v>
      </c>
      <c r="AF2" s="8">
        <v>61</v>
      </c>
      <c r="AG2" s="8">
        <v>13320</v>
      </c>
      <c r="AH2" s="8">
        <v>12779</v>
      </c>
      <c r="AI2" s="8">
        <v>221</v>
      </c>
      <c r="AJ2" s="8">
        <v>168</v>
      </c>
      <c r="AK2" s="8">
        <v>11903</v>
      </c>
      <c r="AL2" s="8">
        <v>9575</v>
      </c>
      <c r="AM2" s="8">
        <v>12</v>
      </c>
      <c r="AN2" s="8">
        <v>7111</v>
      </c>
      <c r="AO2" s="8">
        <v>2140</v>
      </c>
      <c r="AP2" s="8">
        <v>4244</v>
      </c>
      <c r="AQ2" s="8">
        <v>1849</v>
      </c>
      <c r="AR2" s="8">
        <v>1802</v>
      </c>
      <c r="AS2" s="8">
        <v>826</v>
      </c>
      <c r="AT2" s="8">
        <v>357</v>
      </c>
      <c r="AU2" s="8">
        <v>2032</v>
      </c>
      <c r="AV2" s="8">
        <v>325</v>
      </c>
      <c r="AW2" s="8">
        <v>91</v>
      </c>
      <c r="AX2" s="8">
        <v>1281</v>
      </c>
      <c r="AY2" s="8">
        <v>85</v>
      </c>
      <c r="AZ2" s="8">
        <v>1159</v>
      </c>
      <c r="BA2" s="8">
        <v>679</v>
      </c>
      <c r="BB2" s="8">
        <v>496</v>
      </c>
      <c r="BC2" s="8">
        <v>3</v>
      </c>
    </row>
    <row r="3" spans="1:55" ht="17.100000000000001">
      <c r="A3" s="5">
        <v>1001</v>
      </c>
      <c r="B3" s="6" t="s">
        <v>23</v>
      </c>
      <c r="C3" s="8" t="s">
        <v>165</v>
      </c>
      <c r="D3" s="8">
        <v>277764</v>
      </c>
      <c r="E3" s="8">
        <v>265500</v>
      </c>
      <c r="F3" s="8">
        <v>262632</v>
      </c>
      <c r="G3" s="8">
        <v>102216</v>
      </c>
      <c r="H3" s="8">
        <v>2698</v>
      </c>
      <c r="I3" s="8">
        <v>2649</v>
      </c>
      <c r="J3" s="8">
        <v>2482</v>
      </c>
      <c r="K3" s="8">
        <v>2472</v>
      </c>
      <c r="L3" s="8">
        <v>2463</v>
      </c>
      <c r="M3" s="8">
        <v>547</v>
      </c>
      <c r="N3" s="8">
        <v>1517</v>
      </c>
      <c r="O3" s="8">
        <v>53</v>
      </c>
      <c r="P3" s="8">
        <v>86</v>
      </c>
      <c r="Q3" s="8">
        <v>38541</v>
      </c>
      <c r="R3" s="8">
        <v>7265</v>
      </c>
      <c r="S3" s="8">
        <v>29957</v>
      </c>
      <c r="T3" s="8">
        <v>1300</v>
      </c>
      <c r="U3" s="8">
        <v>889</v>
      </c>
      <c r="V3" s="8">
        <v>1026</v>
      </c>
      <c r="W3" s="8">
        <v>13380</v>
      </c>
      <c r="X3" s="8">
        <v>5675</v>
      </c>
      <c r="Y3" s="8">
        <v>5624</v>
      </c>
      <c r="Z3" s="8">
        <v>8258</v>
      </c>
      <c r="AA3" s="8">
        <v>2276</v>
      </c>
      <c r="AB3" s="8">
        <v>5095</v>
      </c>
      <c r="AC3" s="8">
        <v>42</v>
      </c>
      <c r="AD3" s="8">
        <v>4884</v>
      </c>
      <c r="AE3" s="8">
        <v>5749</v>
      </c>
      <c r="AF3" s="8">
        <v>106</v>
      </c>
      <c r="AG3" s="8">
        <v>58069</v>
      </c>
      <c r="AH3" s="8">
        <v>55511</v>
      </c>
      <c r="AI3" s="8">
        <v>301</v>
      </c>
      <c r="AJ3" s="8">
        <v>176</v>
      </c>
      <c r="AK3" s="8">
        <v>53861</v>
      </c>
      <c r="AL3" s="8">
        <v>32786</v>
      </c>
      <c r="AM3" s="8">
        <v>130</v>
      </c>
      <c r="AN3" s="8">
        <v>19853</v>
      </c>
      <c r="AO3" s="8">
        <v>15656</v>
      </c>
      <c r="AP3" s="8">
        <v>3132</v>
      </c>
      <c r="AQ3" s="8">
        <v>7645</v>
      </c>
      <c r="AR3" s="8">
        <v>6090</v>
      </c>
      <c r="AS3" s="8">
        <v>1144</v>
      </c>
      <c r="AT3" s="8">
        <v>201</v>
      </c>
      <c r="AU3" s="8">
        <v>19694</v>
      </c>
      <c r="AV3" s="8">
        <v>1655</v>
      </c>
      <c r="AW3" s="8">
        <v>130</v>
      </c>
      <c r="AX3" s="8">
        <v>7234</v>
      </c>
      <c r="AY3" s="8">
        <v>298</v>
      </c>
      <c r="AZ3" s="8">
        <v>6835</v>
      </c>
      <c r="BA3" s="8">
        <v>11340</v>
      </c>
      <c r="BB3" s="8">
        <v>5716</v>
      </c>
      <c r="BC3" s="8">
        <v>154</v>
      </c>
    </row>
    <row r="4" spans="1:55" ht="33.950000000000003">
      <c r="A4" s="5">
        <v>1003</v>
      </c>
      <c r="B4" s="6" t="s">
        <v>30</v>
      </c>
      <c r="C4" s="8" t="s">
        <v>166</v>
      </c>
      <c r="D4" s="8">
        <v>321845</v>
      </c>
      <c r="E4" s="8">
        <v>314310</v>
      </c>
      <c r="F4" s="8">
        <v>309191</v>
      </c>
      <c r="G4" s="8">
        <v>181785</v>
      </c>
      <c r="H4" s="8">
        <v>3329</v>
      </c>
      <c r="I4" s="8">
        <v>3197</v>
      </c>
      <c r="J4" s="8">
        <v>2976</v>
      </c>
      <c r="K4" s="8">
        <v>2935</v>
      </c>
      <c r="L4" s="8">
        <v>2904</v>
      </c>
      <c r="M4" s="8">
        <v>1162</v>
      </c>
      <c r="N4" s="8">
        <v>407</v>
      </c>
      <c r="O4" s="8">
        <v>9</v>
      </c>
      <c r="P4" s="8">
        <v>20</v>
      </c>
      <c r="Q4" s="8">
        <v>90578</v>
      </c>
      <c r="R4" s="8">
        <v>35124</v>
      </c>
      <c r="S4" s="8">
        <v>51872</v>
      </c>
      <c r="T4" s="8">
        <v>1659</v>
      </c>
      <c r="U4" s="8">
        <v>927</v>
      </c>
      <c r="V4" s="8">
        <v>2509</v>
      </c>
      <c r="W4" s="8">
        <v>21579</v>
      </c>
      <c r="X4" s="8">
        <v>11303</v>
      </c>
      <c r="Y4" s="8">
        <v>10861</v>
      </c>
      <c r="Z4" s="8">
        <v>13356</v>
      </c>
      <c r="AA4" s="8">
        <v>2863</v>
      </c>
      <c r="AB4" s="8">
        <v>8637</v>
      </c>
      <c r="AC4" s="8">
        <v>317</v>
      </c>
      <c r="AD4" s="8">
        <v>6310</v>
      </c>
      <c r="AE4" s="8">
        <v>9556</v>
      </c>
      <c r="AF4" s="8">
        <v>122</v>
      </c>
      <c r="AG4" s="8">
        <v>82123</v>
      </c>
      <c r="AH4" s="8">
        <v>75753</v>
      </c>
      <c r="AI4" s="8">
        <v>618</v>
      </c>
      <c r="AJ4" s="8">
        <v>651</v>
      </c>
      <c r="AK4" s="8">
        <v>72429</v>
      </c>
      <c r="AL4" s="8">
        <v>46060</v>
      </c>
      <c r="AM4" s="8">
        <v>125</v>
      </c>
      <c r="AN4" s="8">
        <v>38228</v>
      </c>
      <c r="AO4" s="8">
        <v>36081</v>
      </c>
      <c r="AP4" s="8">
        <v>1486</v>
      </c>
      <c r="AQ4" s="8">
        <v>5701</v>
      </c>
      <c r="AR4" s="8">
        <v>2403</v>
      </c>
      <c r="AS4" s="8">
        <v>5549</v>
      </c>
      <c r="AT4" s="8">
        <v>3054</v>
      </c>
      <c r="AU4" s="8">
        <v>24060</v>
      </c>
      <c r="AV4" s="8">
        <v>3824</v>
      </c>
      <c r="AW4" s="8">
        <v>736</v>
      </c>
      <c r="AX4" s="8">
        <v>8187</v>
      </c>
      <c r="AY4" s="8">
        <v>89</v>
      </c>
      <c r="AZ4" s="8">
        <v>7976</v>
      </c>
      <c r="BA4" s="8">
        <v>15216</v>
      </c>
      <c r="BB4" s="8">
        <v>788</v>
      </c>
      <c r="BC4" s="8">
        <v>165</v>
      </c>
    </row>
    <row r="5" spans="1:55" ht="51">
      <c r="A5" s="5">
        <v>1004</v>
      </c>
      <c r="B5" s="6" t="s">
        <v>31</v>
      </c>
      <c r="C5" s="8" t="s">
        <v>167</v>
      </c>
      <c r="D5" s="8">
        <v>303378</v>
      </c>
      <c r="E5" s="8">
        <v>294206</v>
      </c>
      <c r="F5" s="8">
        <v>293104</v>
      </c>
      <c r="G5" s="8">
        <v>123429</v>
      </c>
      <c r="H5" s="8">
        <v>1998</v>
      </c>
      <c r="I5" s="8">
        <v>1955</v>
      </c>
      <c r="J5" s="8">
        <v>1890</v>
      </c>
      <c r="K5" s="8">
        <v>1861</v>
      </c>
      <c r="L5" s="8">
        <v>1855</v>
      </c>
      <c r="M5" s="8">
        <v>613</v>
      </c>
      <c r="N5" s="8">
        <v>927</v>
      </c>
      <c r="O5" s="8">
        <v>22</v>
      </c>
      <c r="P5" s="8">
        <v>32</v>
      </c>
      <c r="Q5" s="8">
        <v>29560</v>
      </c>
      <c r="R5" s="8">
        <v>2362</v>
      </c>
      <c r="S5" s="8">
        <v>26672</v>
      </c>
      <c r="T5" s="8">
        <v>1932</v>
      </c>
      <c r="U5" s="8">
        <v>3761</v>
      </c>
      <c r="V5" s="8">
        <v>4628</v>
      </c>
      <c r="W5" s="8">
        <v>9325</v>
      </c>
      <c r="X5" s="8">
        <v>247</v>
      </c>
      <c r="Y5" s="8">
        <v>234</v>
      </c>
      <c r="Z5" s="8">
        <v>3798</v>
      </c>
      <c r="AA5" s="8">
        <v>831</v>
      </c>
      <c r="AB5" s="8">
        <v>2116</v>
      </c>
      <c r="AC5" s="8">
        <v>104</v>
      </c>
      <c r="AD5" s="8">
        <v>1905</v>
      </c>
      <c r="AE5" s="8">
        <v>12819</v>
      </c>
      <c r="AF5" s="8">
        <v>385</v>
      </c>
      <c r="AG5" s="8">
        <v>89371</v>
      </c>
      <c r="AH5" s="8">
        <v>81626</v>
      </c>
      <c r="AI5" s="8">
        <v>368</v>
      </c>
      <c r="AJ5" s="8">
        <v>1572</v>
      </c>
      <c r="AK5" s="8">
        <v>77563</v>
      </c>
      <c r="AL5" s="8">
        <v>35933</v>
      </c>
      <c r="AM5" s="8">
        <v>693</v>
      </c>
      <c r="AN5" s="8">
        <v>11210</v>
      </c>
      <c r="AO5" s="8">
        <v>2531</v>
      </c>
      <c r="AP5" s="8">
        <v>7689</v>
      </c>
      <c r="AQ5" s="8">
        <v>22284</v>
      </c>
      <c r="AR5" s="8">
        <v>22077</v>
      </c>
      <c r="AS5" s="8">
        <v>1226</v>
      </c>
      <c r="AT5" s="8">
        <v>243</v>
      </c>
      <c r="AU5" s="8">
        <v>38816</v>
      </c>
      <c r="AV5" s="8">
        <v>5337</v>
      </c>
      <c r="AW5" s="8">
        <v>346</v>
      </c>
      <c r="AX5" s="8">
        <v>764</v>
      </c>
      <c r="AY5" s="8">
        <v>401</v>
      </c>
      <c r="AZ5" s="8">
        <v>306</v>
      </c>
      <c r="BA5" s="8">
        <v>37407</v>
      </c>
      <c r="BB5" s="8">
        <v>14084</v>
      </c>
      <c r="BC5" s="8">
        <v>126</v>
      </c>
    </row>
    <row r="6" spans="1:55" ht="18" customHeight="1">
      <c r="A6" s="5">
        <v>1012</v>
      </c>
      <c r="B6" s="6" t="s">
        <v>36</v>
      </c>
      <c r="C6" s="8" t="s">
        <v>170</v>
      </c>
      <c r="D6" s="8">
        <v>270926</v>
      </c>
      <c r="E6" s="8">
        <v>265202</v>
      </c>
      <c r="F6" s="8">
        <v>261135</v>
      </c>
      <c r="G6" s="8">
        <v>167832</v>
      </c>
      <c r="H6" s="8">
        <v>1547</v>
      </c>
      <c r="I6" s="8">
        <v>1516</v>
      </c>
      <c r="J6" s="8">
        <v>1454</v>
      </c>
      <c r="K6" s="8">
        <v>1439</v>
      </c>
      <c r="L6" s="8">
        <v>1432</v>
      </c>
      <c r="M6" s="8">
        <v>639</v>
      </c>
      <c r="N6" s="8">
        <v>612</v>
      </c>
      <c r="O6" s="8">
        <v>16</v>
      </c>
      <c r="P6" s="8">
        <v>20</v>
      </c>
      <c r="Q6" s="8">
        <v>100530</v>
      </c>
      <c r="R6" s="8">
        <v>24253</v>
      </c>
      <c r="S6" s="8">
        <v>71034</v>
      </c>
      <c r="T6" s="8">
        <v>2153</v>
      </c>
      <c r="U6" s="8">
        <v>2647</v>
      </c>
      <c r="V6" s="8">
        <v>4370</v>
      </c>
      <c r="W6" s="8">
        <v>27309</v>
      </c>
      <c r="X6" s="8">
        <v>9535</v>
      </c>
      <c r="Y6" s="8">
        <v>9282</v>
      </c>
      <c r="Z6" s="8">
        <v>21634</v>
      </c>
      <c r="AA6" s="8">
        <v>4506</v>
      </c>
      <c r="AB6" s="8">
        <v>13647</v>
      </c>
      <c r="AC6" s="8">
        <v>155</v>
      </c>
      <c r="AD6" s="8">
        <v>12386</v>
      </c>
      <c r="AE6" s="8">
        <v>15506</v>
      </c>
      <c r="AF6" s="8">
        <v>214</v>
      </c>
      <c r="AG6" s="8">
        <v>63098</v>
      </c>
      <c r="AH6" s="8">
        <v>60720</v>
      </c>
      <c r="AI6" s="8">
        <v>522</v>
      </c>
      <c r="AJ6" s="8">
        <v>519</v>
      </c>
      <c r="AK6" s="8">
        <v>57375</v>
      </c>
      <c r="AL6" s="8">
        <v>25309</v>
      </c>
      <c r="AM6" s="8">
        <v>208</v>
      </c>
      <c r="AN6" s="8">
        <v>12451</v>
      </c>
      <c r="AO6" s="8">
        <v>7555</v>
      </c>
      <c r="AP6" s="8">
        <v>3972</v>
      </c>
      <c r="AQ6" s="8">
        <v>10943</v>
      </c>
      <c r="AR6" s="8">
        <v>10584</v>
      </c>
      <c r="AS6" s="8">
        <v>2019</v>
      </c>
      <c r="AT6" s="8">
        <v>434</v>
      </c>
      <c r="AU6" s="8">
        <v>29360</v>
      </c>
      <c r="AV6" s="8">
        <v>5302</v>
      </c>
      <c r="AW6" s="8">
        <v>760</v>
      </c>
      <c r="AX6" s="8">
        <v>12353</v>
      </c>
      <c r="AY6" s="8">
        <v>888</v>
      </c>
      <c r="AZ6" s="8">
        <v>11077</v>
      </c>
      <c r="BA6" s="8">
        <v>15587</v>
      </c>
      <c r="BB6" s="8">
        <v>10183</v>
      </c>
      <c r="BC6" s="8">
        <v>21</v>
      </c>
    </row>
    <row r="7" spans="1:55" ht="33.950000000000003">
      <c r="A7" s="5">
        <v>1015</v>
      </c>
      <c r="B7" s="6" t="s">
        <v>41</v>
      </c>
      <c r="C7" s="8" t="s">
        <v>173</v>
      </c>
      <c r="D7" s="8">
        <v>34385</v>
      </c>
      <c r="E7" s="8">
        <v>33666</v>
      </c>
      <c r="F7" s="8">
        <v>33296</v>
      </c>
      <c r="G7" s="8">
        <v>27707</v>
      </c>
      <c r="H7" s="8">
        <v>21</v>
      </c>
      <c r="I7" s="8">
        <v>21</v>
      </c>
      <c r="J7" s="8">
        <v>18</v>
      </c>
      <c r="K7" s="8">
        <v>18</v>
      </c>
      <c r="L7" s="8">
        <v>17</v>
      </c>
      <c r="M7" s="8">
        <v>7</v>
      </c>
      <c r="N7" s="8">
        <v>9</v>
      </c>
      <c r="O7" s="8">
        <v>0</v>
      </c>
      <c r="P7" s="8">
        <v>0</v>
      </c>
      <c r="Q7" s="8">
        <v>9378</v>
      </c>
      <c r="R7" s="8">
        <v>650</v>
      </c>
      <c r="S7" s="8">
        <v>8646</v>
      </c>
      <c r="T7" s="8">
        <v>486</v>
      </c>
      <c r="U7" s="8">
        <v>957</v>
      </c>
      <c r="V7" s="8">
        <v>1716</v>
      </c>
      <c r="W7" s="8">
        <v>4430</v>
      </c>
      <c r="X7" s="8">
        <v>2388</v>
      </c>
      <c r="Y7" s="8">
        <v>2368</v>
      </c>
      <c r="Z7" s="8">
        <v>585</v>
      </c>
      <c r="AA7" s="8">
        <v>193</v>
      </c>
      <c r="AB7" s="8">
        <v>357</v>
      </c>
      <c r="AC7" s="8">
        <v>160</v>
      </c>
      <c r="AD7" s="8">
        <v>166</v>
      </c>
      <c r="AE7" s="8">
        <v>3158</v>
      </c>
      <c r="AF7" s="8">
        <v>14</v>
      </c>
      <c r="AG7" s="8">
        <v>18081</v>
      </c>
      <c r="AH7" s="8">
        <v>17641</v>
      </c>
      <c r="AI7" s="8">
        <v>104</v>
      </c>
      <c r="AJ7" s="8">
        <v>15</v>
      </c>
      <c r="AK7" s="8">
        <v>17232</v>
      </c>
      <c r="AL7" s="8">
        <v>12711</v>
      </c>
      <c r="AM7" s="8">
        <v>47</v>
      </c>
      <c r="AN7" s="8">
        <v>8536</v>
      </c>
      <c r="AO7" s="8">
        <v>4280</v>
      </c>
      <c r="AP7" s="8">
        <v>3552</v>
      </c>
      <c r="AQ7" s="8">
        <v>3064</v>
      </c>
      <c r="AR7" s="8">
        <v>2988</v>
      </c>
      <c r="AS7" s="8">
        <v>669</v>
      </c>
      <c r="AT7" s="8">
        <v>502</v>
      </c>
      <c r="AU7" s="8">
        <v>4126</v>
      </c>
      <c r="AV7" s="8">
        <v>165</v>
      </c>
      <c r="AW7" s="8">
        <v>136</v>
      </c>
      <c r="AX7" s="8">
        <v>3792</v>
      </c>
      <c r="AY7" s="8">
        <v>67</v>
      </c>
      <c r="AZ7" s="8">
        <v>3653</v>
      </c>
      <c r="BA7" s="8">
        <v>200</v>
      </c>
      <c r="BB7" s="8">
        <v>146</v>
      </c>
      <c r="BC7" s="8">
        <v>2</v>
      </c>
    </row>
    <row r="8" spans="1:55" ht="17.100000000000001">
      <c r="A8" s="5">
        <v>1020</v>
      </c>
      <c r="B8" s="6" t="s">
        <v>43</v>
      </c>
      <c r="C8" s="8" t="s">
        <v>175</v>
      </c>
      <c r="D8" s="8">
        <v>120938</v>
      </c>
      <c r="E8" s="8">
        <v>118043</v>
      </c>
      <c r="F8" s="8">
        <v>117453</v>
      </c>
      <c r="G8" s="8">
        <v>95879</v>
      </c>
      <c r="H8" s="8">
        <v>1432</v>
      </c>
      <c r="I8" s="8">
        <v>1414</v>
      </c>
      <c r="J8" s="8">
        <v>1371</v>
      </c>
      <c r="K8" s="8">
        <v>1362</v>
      </c>
      <c r="L8" s="8">
        <v>1361</v>
      </c>
      <c r="M8" s="8">
        <v>806</v>
      </c>
      <c r="N8" s="8">
        <v>380</v>
      </c>
      <c r="O8" s="8">
        <v>26</v>
      </c>
      <c r="P8" s="8">
        <v>6</v>
      </c>
      <c r="Q8" s="8">
        <v>40720</v>
      </c>
      <c r="R8" s="8">
        <v>4743</v>
      </c>
      <c r="S8" s="8">
        <v>34778</v>
      </c>
      <c r="T8" s="8">
        <v>1331</v>
      </c>
      <c r="U8" s="8">
        <v>1857</v>
      </c>
      <c r="V8" s="8">
        <v>4280</v>
      </c>
      <c r="W8" s="8">
        <v>16106</v>
      </c>
      <c r="X8" s="8">
        <v>7580</v>
      </c>
      <c r="Y8" s="8">
        <v>7465</v>
      </c>
      <c r="Z8" s="8">
        <v>3794</v>
      </c>
      <c r="AA8" s="8">
        <v>601</v>
      </c>
      <c r="AB8" s="8">
        <v>2570</v>
      </c>
      <c r="AC8" s="8">
        <v>476</v>
      </c>
      <c r="AD8" s="8">
        <v>1879</v>
      </c>
      <c r="AE8" s="8">
        <v>12354</v>
      </c>
      <c r="AF8" s="8">
        <v>58</v>
      </c>
      <c r="AG8" s="8">
        <v>52416</v>
      </c>
      <c r="AH8" s="8">
        <v>50097</v>
      </c>
      <c r="AI8" s="8">
        <v>724</v>
      </c>
      <c r="AJ8" s="8">
        <v>513</v>
      </c>
      <c r="AK8" s="8">
        <v>46234</v>
      </c>
      <c r="AL8" s="8">
        <v>25558</v>
      </c>
      <c r="AM8" s="8">
        <v>655</v>
      </c>
      <c r="AN8" s="8">
        <v>14495</v>
      </c>
      <c r="AO8" s="8">
        <v>3917</v>
      </c>
      <c r="AP8" s="8">
        <v>9535</v>
      </c>
      <c r="AQ8" s="8">
        <v>9685</v>
      </c>
      <c r="AR8" s="8">
        <v>9643</v>
      </c>
      <c r="AS8" s="8">
        <v>2797</v>
      </c>
      <c r="AT8" s="8">
        <v>720</v>
      </c>
      <c r="AU8" s="8">
        <v>18289</v>
      </c>
      <c r="AV8" s="8">
        <v>4047</v>
      </c>
      <c r="AW8" s="8">
        <v>967</v>
      </c>
      <c r="AX8" s="8">
        <v>4293</v>
      </c>
      <c r="AY8" s="8">
        <v>1267</v>
      </c>
      <c r="AZ8" s="8">
        <v>2868</v>
      </c>
      <c r="BA8" s="8">
        <v>12911</v>
      </c>
      <c r="BB8" s="8">
        <v>8578</v>
      </c>
      <c r="BC8" s="8">
        <v>73</v>
      </c>
    </row>
    <row r="9" spans="1:55" ht="51">
      <c r="A9" s="5">
        <v>1022</v>
      </c>
      <c r="B9" s="6" t="s">
        <v>46</v>
      </c>
      <c r="C9" s="8" t="s">
        <v>177</v>
      </c>
      <c r="D9" s="8">
        <v>214901</v>
      </c>
      <c r="E9" s="8">
        <v>208043</v>
      </c>
      <c r="F9" s="8">
        <v>204524</v>
      </c>
      <c r="G9" s="8">
        <v>115766</v>
      </c>
      <c r="H9" s="8">
        <v>1203</v>
      </c>
      <c r="I9" s="8">
        <v>1147</v>
      </c>
      <c r="J9" s="8">
        <v>1114</v>
      </c>
      <c r="K9" s="8">
        <v>1106</v>
      </c>
      <c r="L9" s="8">
        <v>1103</v>
      </c>
      <c r="M9" s="8">
        <v>231</v>
      </c>
      <c r="N9" s="8">
        <v>777</v>
      </c>
      <c r="O9" s="8">
        <v>25</v>
      </c>
      <c r="P9" s="8">
        <v>12</v>
      </c>
      <c r="Q9" s="8">
        <v>69363</v>
      </c>
      <c r="R9" s="8">
        <v>26951</v>
      </c>
      <c r="S9" s="8">
        <v>35074</v>
      </c>
      <c r="T9" s="8">
        <v>2522</v>
      </c>
      <c r="U9" s="8">
        <v>2953</v>
      </c>
      <c r="V9" s="8">
        <v>3384</v>
      </c>
      <c r="W9" s="8">
        <v>13383</v>
      </c>
      <c r="X9" s="8">
        <v>3161</v>
      </c>
      <c r="Y9" s="8">
        <v>2853</v>
      </c>
      <c r="Z9" s="8">
        <v>8709</v>
      </c>
      <c r="AA9" s="8">
        <v>1677</v>
      </c>
      <c r="AB9" s="8">
        <v>5405</v>
      </c>
      <c r="AC9" s="8">
        <v>172</v>
      </c>
      <c r="AD9" s="8">
        <v>5126</v>
      </c>
      <c r="AE9" s="8">
        <v>10282</v>
      </c>
      <c r="AF9" s="8">
        <v>172</v>
      </c>
      <c r="AG9" s="8">
        <v>42430</v>
      </c>
      <c r="AH9" s="8">
        <v>40972</v>
      </c>
      <c r="AI9" s="8">
        <v>162</v>
      </c>
      <c r="AJ9" s="8">
        <v>339</v>
      </c>
      <c r="AK9" s="8">
        <v>39428</v>
      </c>
      <c r="AL9" s="8">
        <v>23898</v>
      </c>
      <c r="AM9" s="8">
        <v>55</v>
      </c>
      <c r="AN9" s="8">
        <v>17942</v>
      </c>
      <c r="AO9" s="8">
        <v>13786</v>
      </c>
      <c r="AP9" s="8">
        <v>3233</v>
      </c>
      <c r="AQ9" s="8">
        <v>4811</v>
      </c>
      <c r="AR9" s="8">
        <v>4592</v>
      </c>
      <c r="AS9" s="8">
        <v>1748</v>
      </c>
      <c r="AT9" s="8">
        <v>404</v>
      </c>
      <c r="AU9" s="8">
        <v>13083</v>
      </c>
      <c r="AV9" s="8">
        <v>3842</v>
      </c>
      <c r="AW9" s="8">
        <v>335</v>
      </c>
      <c r="AX9" s="8">
        <v>1852</v>
      </c>
      <c r="AY9" s="8">
        <v>421</v>
      </c>
      <c r="AZ9" s="8">
        <v>1377</v>
      </c>
      <c r="BA9" s="8">
        <v>10786</v>
      </c>
      <c r="BB9" s="8">
        <v>6785</v>
      </c>
      <c r="BC9" s="8">
        <v>26</v>
      </c>
    </row>
    <row r="10" spans="1:55" ht="17.100000000000001">
      <c r="A10" s="5">
        <v>1039</v>
      </c>
      <c r="B10" s="6" t="s">
        <v>53</v>
      </c>
      <c r="C10" s="8" t="s">
        <v>182</v>
      </c>
      <c r="D10" s="8">
        <v>135493</v>
      </c>
      <c r="E10" s="8">
        <v>133046</v>
      </c>
      <c r="F10" s="8">
        <v>127178</v>
      </c>
      <c r="G10" s="8">
        <v>72801</v>
      </c>
      <c r="H10" s="8">
        <v>614</v>
      </c>
      <c r="I10" s="8">
        <v>608</v>
      </c>
      <c r="J10" s="8">
        <v>549</v>
      </c>
      <c r="K10" s="8">
        <v>548</v>
      </c>
      <c r="L10" s="8">
        <v>548</v>
      </c>
      <c r="M10" s="8">
        <v>141</v>
      </c>
      <c r="N10" s="8">
        <v>335</v>
      </c>
      <c r="O10" s="8">
        <v>7</v>
      </c>
      <c r="P10" s="8">
        <v>22</v>
      </c>
      <c r="Q10" s="8">
        <v>29246</v>
      </c>
      <c r="R10" s="8">
        <v>11935</v>
      </c>
      <c r="S10" s="8">
        <v>16230</v>
      </c>
      <c r="T10" s="8">
        <v>1327</v>
      </c>
      <c r="U10" s="8">
        <v>249</v>
      </c>
      <c r="V10" s="8">
        <v>650</v>
      </c>
      <c r="W10" s="8">
        <v>4820</v>
      </c>
      <c r="X10" s="8">
        <v>683</v>
      </c>
      <c r="Y10" s="8">
        <v>641</v>
      </c>
      <c r="Z10" s="8">
        <v>5380</v>
      </c>
      <c r="AA10" s="8">
        <v>710</v>
      </c>
      <c r="AB10" s="8">
        <v>4089</v>
      </c>
      <c r="AC10" s="8">
        <v>142</v>
      </c>
      <c r="AD10" s="8">
        <v>3736</v>
      </c>
      <c r="AE10" s="8">
        <v>4702</v>
      </c>
      <c r="AF10" s="8">
        <v>141</v>
      </c>
      <c r="AG10" s="8">
        <v>42314</v>
      </c>
      <c r="AH10" s="8">
        <v>40762</v>
      </c>
      <c r="AI10" s="8">
        <v>185</v>
      </c>
      <c r="AJ10" s="8">
        <v>75</v>
      </c>
      <c r="AK10" s="8">
        <v>39969</v>
      </c>
      <c r="AL10" s="8">
        <v>21686</v>
      </c>
      <c r="AM10" s="8">
        <v>60</v>
      </c>
      <c r="AN10" s="8">
        <v>11094</v>
      </c>
      <c r="AO10" s="8">
        <v>2039</v>
      </c>
      <c r="AP10" s="8">
        <v>8470</v>
      </c>
      <c r="AQ10" s="8">
        <v>8422</v>
      </c>
      <c r="AR10" s="8">
        <v>8345</v>
      </c>
      <c r="AS10" s="8">
        <v>3409</v>
      </c>
      <c r="AT10" s="8">
        <v>1251</v>
      </c>
      <c r="AU10" s="8">
        <v>16986</v>
      </c>
      <c r="AV10" s="8">
        <v>6980</v>
      </c>
      <c r="AW10" s="8">
        <v>883</v>
      </c>
      <c r="AX10" s="8">
        <v>4502</v>
      </c>
      <c r="AY10" s="8">
        <v>2061</v>
      </c>
      <c r="AZ10" s="8">
        <v>2107</v>
      </c>
      <c r="BA10" s="8">
        <v>11421</v>
      </c>
      <c r="BB10" s="8">
        <v>9040</v>
      </c>
      <c r="BC10" s="8">
        <v>32</v>
      </c>
    </row>
    <row r="11" spans="1:55" ht="51">
      <c r="A11" s="5">
        <v>1047</v>
      </c>
      <c r="B11" s="6" t="s">
        <v>57</v>
      </c>
      <c r="C11" s="8" t="s">
        <v>185</v>
      </c>
      <c r="D11" s="8">
        <v>78807</v>
      </c>
      <c r="E11" s="8">
        <v>74432</v>
      </c>
      <c r="F11" s="8">
        <v>72740</v>
      </c>
      <c r="G11" s="8">
        <v>51195</v>
      </c>
      <c r="H11" s="8">
        <v>531</v>
      </c>
      <c r="I11" s="8">
        <v>515</v>
      </c>
      <c r="J11" s="8">
        <v>491</v>
      </c>
      <c r="K11" s="8">
        <v>488</v>
      </c>
      <c r="L11" s="8">
        <v>487</v>
      </c>
      <c r="M11" s="8">
        <v>167</v>
      </c>
      <c r="N11" s="8">
        <v>256</v>
      </c>
      <c r="O11" s="8">
        <v>11</v>
      </c>
      <c r="P11" s="8">
        <v>6</v>
      </c>
      <c r="Q11" s="8">
        <v>33201</v>
      </c>
      <c r="R11" s="8">
        <v>2892</v>
      </c>
      <c r="S11" s="8">
        <v>28840</v>
      </c>
      <c r="T11" s="8">
        <v>1075</v>
      </c>
      <c r="U11" s="8">
        <v>491</v>
      </c>
      <c r="V11" s="8">
        <v>4550</v>
      </c>
      <c r="W11" s="8">
        <v>13389</v>
      </c>
      <c r="X11" s="8">
        <v>4064</v>
      </c>
      <c r="Y11" s="8">
        <v>3859</v>
      </c>
      <c r="Z11" s="8">
        <v>5159</v>
      </c>
      <c r="AA11" s="8">
        <v>485</v>
      </c>
      <c r="AB11" s="8">
        <v>3925</v>
      </c>
      <c r="AC11" s="8">
        <v>111</v>
      </c>
      <c r="AD11" s="8">
        <v>3465</v>
      </c>
      <c r="AE11" s="8">
        <v>8058</v>
      </c>
      <c r="AF11" s="8">
        <v>81</v>
      </c>
      <c r="AG11" s="8">
        <v>16336</v>
      </c>
      <c r="AH11" s="8">
        <v>15513</v>
      </c>
      <c r="AI11" s="8">
        <v>199</v>
      </c>
      <c r="AJ11" s="8">
        <v>133</v>
      </c>
      <c r="AK11" s="8">
        <v>14466</v>
      </c>
      <c r="AL11" s="8">
        <v>7424</v>
      </c>
      <c r="AM11" s="8">
        <v>187</v>
      </c>
      <c r="AN11" s="8">
        <v>3483</v>
      </c>
      <c r="AO11" s="8">
        <v>714</v>
      </c>
      <c r="AP11" s="8">
        <v>2585</v>
      </c>
      <c r="AQ11" s="8">
        <v>3166</v>
      </c>
      <c r="AR11" s="8">
        <v>3130</v>
      </c>
      <c r="AS11" s="8">
        <v>690</v>
      </c>
      <c r="AT11" s="8">
        <v>136</v>
      </c>
      <c r="AU11" s="8">
        <v>5861</v>
      </c>
      <c r="AV11" s="8">
        <v>1647</v>
      </c>
      <c r="AW11" s="8">
        <v>146</v>
      </c>
      <c r="AX11" s="8">
        <v>1485</v>
      </c>
      <c r="AY11" s="8">
        <v>621</v>
      </c>
      <c r="AZ11" s="8">
        <v>786</v>
      </c>
      <c r="BA11" s="8">
        <v>3817</v>
      </c>
      <c r="BB11" s="8">
        <v>3168</v>
      </c>
      <c r="BC11" s="8">
        <v>16</v>
      </c>
    </row>
    <row r="12" spans="1:55" ht="33.950000000000003">
      <c r="A12" s="5">
        <v>1048</v>
      </c>
      <c r="B12" s="6" t="s">
        <v>58</v>
      </c>
      <c r="C12" s="8" t="s">
        <v>186</v>
      </c>
      <c r="D12" s="8">
        <v>148761</v>
      </c>
      <c r="E12" s="8">
        <v>144702</v>
      </c>
      <c r="F12" s="8">
        <v>136700</v>
      </c>
      <c r="G12" s="8">
        <v>94801</v>
      </c>
      <c r="H12" s="8">
        <v>74</v>
      </c>
      <c r="I12" s="8">
        <v>67</v>
      </c>
      <c r="J12" s="8">
        <v>59</v>
      </c>
      <c r="K12" s="8">
        <v>59</v>
      </c>
      <c r="L12" s="8">
        <v>59</v>
      </c>
      <c r="M12" s="8">
        <v>12</v>
      </c>
      <c r="N12" s="8">
        <v>40</v>
      </c>
      <c r="O12" s="8">
        <v>0</v>
      </c>
      <c r="P12" s="8">
        <v>0</v>
      </c>
      <c r="Q12" s="8">
        <v>32910</v>
      </c>
      <c r="R12" s="8">
        <v>7765</v>
      </c>
      <c r="S12" s="8">
        <v>24615</v>
      </c>
      <c r="T12" s="8">
        <v>1384</v>
      </c>
      <c r="U12" s="8">
        <v>2647</v>
      </c>
      <c r="V12" s="8">
        <v>4320</v>
      </c>
      <c r="W12" s="8">
        <v>9659</v>
      </c>
      <c r="X12" s="8">
        <v>4074</v>
      </c>
      <c r="Y12" s="8">
        <v>3993</v>
      </c>
      <c r="Z12" s="8">
        <v>1735</v>
      </c>
      <c r="AA12" s="8">
        <v>365</v>
      </c>
      <c r="AB12" s="8">
        <v>1149</v>
      </c>
      <c r="AC12" s="8">
        <v>95</v>
      </c>
      <c r="AD12" s="8">
        <v>1023</v>
      </c>
      <c r="AE12" s="8">
        <v>12211</v>
      </c>
      <c r="AF12" s="8">
        <v>176</v>
      </c>
      <c r="AG12" s="8">
        <v>61337</v>
      </c>
      <c r="AH12" s="8">
        <v>55718</v>
      </c>
      <c r="AI12" s="8">
        <v>535</v>
      </c>
      <c r="AJ12" s="8">
        <v>373</v>
      </c>
      <c r="AK12" s="8">
        <v>53500</v>
      </c>
      <c r="AL12" s="8">
        <v>30299</v>
      </c>
      <c r="AM12" s="8">
        <v>64</v>
      </c>
      <c r="AN12" s="8">
        <v>19538</v>
      </c>
      <c r="AO12" s="8">
        <v>7660</v>
      </c>
      <c r="AP12" s="8">
        <v>10219</v>
      </c>
      <c r="AQ12" s="8">
        <v>8767</v>
      </c>
      <c r="AR12" s="8">
        <v>8712</v>
      </c>
      <c r="AS12" s="8">
        <v>2332</v>
      </c>
      <c r="AT12" s="8">
        <v>695</v>
      </c>
      <c r="AU12" s="8">
        <v>20453</v>
      </c>
      <c r="AV12" s="8">
        <v>3134</v>
      </c>
      <c r="AW12" s="8">
        <v>466</v>
      </c>
      <c r="AX12" s="8">
        <v>11251</v>
      </c>
      <c r="AY12" s="8">
        <v>1902</v>
      </c>
      <c r="AZ12" s="8">
        <v>8800</v>
      </c>
      <c r="BA12" s="8">
        <v>8324</v>
      </c>
      <c r="BB12" s="8">
        <v>6821</v>
      </c>
      <c r="BC12" s="8">
        <v>163</v>
      </c>
    </row>
    <row r="13" spans="1:55" ht="33.950000000000003">
      <c r="A13" s="5">
        <v>1059</v>
      </c>
      <c r="B13" s="6" t="s">
        <v>60</v>
      </c>
      <c r="C13" s="8" t="s">
        <v>188</v>
      </c>
      <c r="D13" s="8">
        <v>175293</v>
      </c>
      <c r="E13" s="8">
        <v>171404</v>
      </c>
      <c r="F13" s="8">
        <v>153549</v>
      </c>
      <c r="G13" s="8">
        <v>81209</v>
      </c>
      <c r="H13" s="8">
        <v>561</v>
      </c>
      <c r="I13" s="8">
        <v>553</v>
      </c>
      <c r="J13" s="8">
        <v>533</v>
      </c>
      <c r="K13" s="8">
        <v>528</v>
      </c>
      <c r="L13" s="8">
        <v>524</v>
      </c>
      <c r="M13" s="8">
        <v>147</v>
      </c>
      <c r="N13" s="8">
        <v>326</v>
      </c>
      <c r="O13" s="8">
        <v>11</v>
      </c>
      <c r="P13" s="8">
        <v>5</v>
      </c>
      <c r="Q13" s="8">
        <v>40538</v>
      </c>
      <c r="R13" s="8">
        <v>6160</v>
      </c>
      <c r="S13" s="8">
        <v>33620</v>
      </c>
      <c r="T13" s="8">
        <v>385</v>
      </c>
      <c r="U13" s="8">
        <v>194</v>
      </c>
      <c r="V13" s="8">
        <v>2092</v>
      </c>
      <c r="W13" s="8">
        <v>14943</v>
      </c>
      <c r="X13" s="8">
        <v>2752</v>
      </c>
      <c r="Y13" s="8">
        <v>2657</v>
      </c>
      <c r="Z13" s="8">
        <v>8456</v>
      </c>
      <c r="AA13" s="8">
        <v>1474</v>
      </c>
      <c r="AB13" s="8">
        <v>6124</v>
      </c>
      <c r="AC13" s="8">
        <v>144</v>
      </c>
      <c r="AD13" s="8">
        <v>5295</v>
      </c>
      <c r="AE13" s="8">
        <v>7688</v>
      </c>
      <c r="AF13" s="8">
        <v>101</v>
      </c>
      <c r="AG13" s="8">
        <v>39051</v>
      </c>
      <c r="AH13" s="8">
        <v>36347</v>
      </c>
      <c r="AI13" s="8">
        <v>139</v>
      </c>
      <c r="AJ13" s="8">
        <v>66</v>
      </c>
      <c r="AK13" s="8">
        <v>35628</v>
      </c>
      <c r="AL13" s="8">
        <v>22138</v>
      </c>
      <c r="AM13" s="8">
        <v>58</v>
      </c>
      <c r="AN13" s="8">
        <v>9610</v>
      </c>
      <c r="AO13" s="8">
        <v>2984</v>
      </c>
      <c r="AP13" s="8">
        <v>5998</v>
      </c>
      <c r="AQ13" s="8">
        <v>10519</v>
      </c>
      <c r="AR13" s="8">
        <v>10321</v>
      </c>
      <c r="AS13" s="8">
        <v>2520</v>
      </c>
      <c r="AT13" s="8">
        <v>478</v>
      </c>
      <c r="AU13" s="8">
        <v>9728</v>
      </c>
      <c r="AV13" s="8">
        <v>2196</v>
      </c>
      <c r="AW13" s="8">
        <v>221</v>
      </c>
      <c r="AX13" s="8">
        <v>1990</v>
      </c>
      <c r="AY13" s="8">
        <v>844</v>
      </c>
      <c r="AZ13" s="8">
        <v>1027</v>
      </c>
      <c r="BA13" s="8">
        <v>7202</v>
      </c>
      <c r="BB13" s="8">
        <v>4229</v>
      </c>
      <c r="BC13" s="8">
        <v>53</v>
      </c>
    </row>
    <row r="14" spans="1:55" ht="33.950000000000003">
      <c r="A14" s="5">
        <v>1061</v>
      </c>
      <c r="B14" s="6" t="s">
        <v>61</v>
      </c>
      <c r="C14" s="8" t="s">
        <v>189</v>
      </c>
      <c r="D14" s="8">
        <v>162753</v>
      </c>
      <c r="E14" s="8">
        <v>158102</v>
      </c>
      <c r="F14" s="8">
        <v>148260</v>
      </c>
      <c r="G14" s="8">
        <v>115634</v>
      </c>
      <c r="H14" s="8">
        <v>19</v>
      </c>
      <c r="I14" s="8">
        <v>14</v>
      </c>
      <c r="J14" s="8">
        <v>8</v>
      </c>
      <c r="K14" s="8">
        <v>8</v>
      </c>
      <c r="L14" s="8">
        <v>8</v>
      </c>
      <c r="M14" s="8">
        <v>1</v>
      </c>
      <c r="N14" s="8">
        <v>4</v>
      </c>
      <c r="O14" s="8">
        <v>0</v>
      </c>
      <c r="P14" s="8">
        <v>0</v>
      </c>
      <c r="Q14" s="8">
        <v>52874</v>
      </c>
      <c r="R14" s="8">
        <v>8851</v>
      </c>
      <c r="S14" s="8">
        <v>42896</v>
      </c>
      <c r="T14" s="8">
        <v>2120</v>
      </c>
      <c r="U14" s="8">
        <v>1631</v>
      </c>
      <c r="V14" s="8">
        <v>5222</v>
      </c>
      <c r="W14" s="8">
        <v>21757</v>
      </c>
      <c r="X14" s="8">
        <v>6837</v>
      </c>
      <c r="Y14" s="8">
        <v>6580</v>
      </c>
      <c r="Z14" s="8">
        <v>3329</v>
      </c>
      <c r="AA14" s="8">
        <v>565</v>
      </c>
      <c r="AB14" s="8">
        <v>2479</v>
      </c>
      <c r="AC14" s="8">
        <v>1039</v>
      </c>
      <c r="AD14" s="8">
        <v>1200</v>
      </c>
      <c r="AE14" s="8">
        <v>15814</v>
      </c>
      <c r="AF14" s="8">
        <v>55</v>
      </c>
      <c r="AG14" s="8">
        <v>62263</v>
      </c>
      <c r="AH14" s="8">
        <v>58436</v>
      </c>
      <c r="AI14" s="8">
        <v>350</v>
      </c>
      <c r="AJ14" s="8">
        <v>113</v>
      </c>
      <c r="AK14" s="8">
        <v>56784</v>
      </c>
      <c r="AL14" s="8">
        <v>41893</v>
      </c>
      <c r="AM14" s="8">
        <v>152</v>
      </c>
      <c r="AN14" s="8">
        <v>26441</v>
      </c>
      <c r="AO14" s="8">
        <v>4699</v>
      </c>
      <c r="AP14" s="8">
        <v>19581</v>
      </c>
      <c r="AQ14" s="8">
        <v>12611</v>
      </c>
      <c r="AR14" s="8">
        <v>12515</v>
      </c>
      <c r="AS14" s="8">
        <v>4606</v>
      </c>
      <c r="AT14" s="8">
        <v>2410</v>
      </c>
      <c r="AU14" s="8">
        <v>12805</v>
      </c>
      <c r="AV14" s="8">
        <v>1873</v>
      </c>
      <c r="AW14" s="8">
        <v>641</v>
      </c>
      <c r="AX14" s="8">
        <v>4880</v>
      </c>
      <c r="AY14" s="8">
        <v>1645</v>
      </c>
      <c r="AZ14" s="8">
        <v>2662</v>
      </c>
      <c r="BA14" s="8">
        <v>7300</v>
      </c>
      <c r="BB14" s="8">
        <v>5368</v>
      </c>
      <c r="BC14" s="8">
        <v>230</v>
      </c>
    </row>
    <row r="15" spans="1:55" ht="33.950000000000003">
      <c r="A15" s="5">
        <v>1073</v>
      </c>
      <c r="B15" s="6" t="s">
        <v>64</v>
      </c>
      <c r="C15" s="8" t="s">
        <v>192</v>
      </c>
      <c r="D15" s="8">
        <v>52549</v>
      </c>
      <c r="E15" s="8">
        <v>50413</v>
      </c>
      <c r="F15" s="8">
        <v>48624</v>
      </c>
      <c r="G15" s="8">
        <v>28018</v>
      </c>
      <c r="H15" s="8">
        <v>145</v>
      </c>
      <c r="I15" s="8">
        <v>143</v>
      </c>
      <c r="J15" s="8">
        <v>140</v>
      </c>
      <c r="K15" s="8">
        <v>140</v>
      </c>
      <c r="L15" s="8">
        <v>140</v>
      </c>
      <c r="M15" s="8">
        <v>47</v>
      </c>
      <c r="N15" s="8">
        <v>74</v>
      </c>
      <c r="O15" s="8">
        <v>6</v>
      </c>
      <c r="P15" s="8">
        <v>2</v>
      </c>
      <c r="Q15" s="8">
        <v>17963</v>
      </c>
      <c r="R15" s="8">
        <v>3239</v>
      </c>
      <c r="S15" s="8">
        <v>14171</v>
      </c>
      <c r="T15" s="8">
        <v>447</v>
      </c>
      <c r="U15" s="8">
        <v>784</v>
      </c>
      <c r="V15" s="8">
        <v>2288</v>
      </c>
      <c r="W15" s="8">
        <v>3058</v>
      </c>
      <c r="X15" s="8">
        <v>587</v>
      </c>
      <c r="Y15" s="8">
        <v>552</v>
      </c>
      <c r="Z15" s="8">
        <v>925</v>
      </c>
      <c r="AA15" s="8">
        <v>102</v>
      </c>
      <c r="AB15" s="8">
        <v>745</v>
      </c>
      <c r="AC15" s="8">
        <v>178</v>
      </c>
      <c r="AD15" s="8">
        <v>499</v>
      </c>
      <c r="AE15" s="8">
        <v>9782</v>
      </c>
      <c r="AF15" s="8">
        <v>25</v>
      </c>
      <c r="AG15" s="8">
        <v>9638</v>
      </c>
      <c r="AH15" s="8">
        <v>9360</v>
      </c>
      <c r="AI15" s="8">
        <v>74</v>
      </c>
      <c r="AJ15" s="8">
        <v>41</v>
      </c>
      <c r="AK15" s="8">
        <v>8801</v>
      </c>
      <c r="AL15" s="8">
        <v>4881</v>
      </c>
      <c r="AM15" s="8">
        <v>54</v>
      </c>
      <c r="AN15" s="8">
        <v>3368</v>
      </c>
      <c r="AO15" s="8">
        <v>509</v>
      </c>
      <c r="AP15" s="8">
        <v>2626</v>
      </c>
      <c r="AQ15" s="8">
        <v>1164</v>
      </c>
      <c r="AR15" s="8">
        <v>1155</v>
      </c>
      <c r="AS15" s="8">
        <v>492</v>
      </c>
      <c r="AT15" s="8">
        <v>181</v>
      </c>
      <c r="AU15" s="8">
        <v>3349</v>
      </c>
      <c r="AV15" s="8">
        <v>438</v>
      </c>
      <c r="AW15" s="8">
        <v>50</v>
      </c>
      <c r="AX15" s="8">
        <v>1048</v>
      </c>
      <c r="AY15" s="8">
        <v>657</v>
      </c>
      <c r="AZ15" s="8">
        <v>309</v>
      </c>
      <c r="BA15" s="8">
        <v>2031</v>
      </c>
      <c r="BB15" s="8">
        <v>1366</v>
      </c>
      <c r="BC15" s="8">
        <v>11</v>
      </c>
    </row>
    <row r="16" spans="1:55" ht="33.950000000000003">
      <c r="A16" s="5">
        <v>1086</v>
      </c>
      <c r="B16" s="6" t="s">
        <v>65</v>
      </c>
      <c r="C16" s="8" t="s">
        <v>193</v>
      </c>
      <c r="D16" s="8">
        <v>141672</v>
      </c>
      <c r="E16" s="8">
        <v>138657</v>
      </c>
      <c r="F16" s="8">
        <v>125312</v>
      </c>
      <c r="G16" s="8">
        <v>78685</v>
      </c>
      <c r="H16" s="8">
        <v>595</v>
      </c>
      <c r="I16" s="8">
        <v>589</v>
      </c>
      <c r="J16" s="8">
        <v>548</v>
      </c>
      <c r="K16" s="8">
        <v>548</v>
      </c>
      <c r="L16" s="8">
        <v>546</v>
      </c>
      <c r="M16" s="8">
        <v>278</v>
      </c>
      <c r="N16" s="8">
        <v>174</v>
      </c>
      <c r="O16" s="8">
        <v>11</v>
      </c>
      <c r="P16" s="8">
        <v>6</v>
      </c>
      <c r="Q16" s="8">
        <v>37666</v>
      </c>
      <c r="R16" s="8">
        <v>5139</v>
      </c>
      <c r="S16" s="8">
        <v>31471</v>
      </c>
      <c r="T16" s="8">
        <v>2202</v>
      </c>
      <c r="U16" s="8">
        <v>1234</v>
      </c>
      <c r="V16" s="8">
        <v>3050</v>
      </c>
      <c r="W16" s="8">
        <v>10114</v>
      </c>
      <c r="X16" s="8">
        <v>4354</v>
      </c>
      <c r="Y16" s="8">
        <v>4324</v>
      </c>
      <c r="Z16" s="8">
        <v>3195</v>
      </c>
      <c r="AA16" s="8">
        <v>525</v>
      </c>
      <c r="AB16" s="8">
        <v>2041</v>
      </c>
      <c r="AC16" s="8">
        <v>427</v>
      </c>
      <c r="AD16" s="8">
        <v>1313</v>
      </c>
      <c r="AE16" s="8">
        <v>15723</v>
      </c>
      <c r="AF16" s="8">
        <v>103</v>
      </c>
      <c r="AG16" s="8">
        <v>39612</v>
      </c>
      <c r="AH16" s="8">
        <v>37410</v>
      </c>
      <c r="AI16" s="8">
        <v>102</v>
      </c>
      <c r="AJ16" s="8">
        <v>81</v>
      </c>
      <c r="AK16" s="8">
        <v>36835</v>
      </c>
      <c r="AL16" s="8">
        <v>27029</v>
      </c>
      <c r="AM16" s="8">
        <v>267</v>
      </c>
      <c r="AN16" s="8">
        <v>13443</v>
      </c>
      <c r="AO16" s="8">
        <v>6109</v>
      </c>
      <c r="AP16" s="8">
        <v>6532</v>
      </c>
      <c r="AQ16" s="8">
        <v>10474</v>
      </c>
      <c r="AR16" s="8">
        <v>10265</v>
      </c>
      <c r="AS16" s="8">
        <v>1376</v>
      </c>
      <c r="AT16" s="8">
        <v>327</v>
      </c>
      <c r="AU16" s="8">
        <v>8272</v>
      </c>
      <c r="AV16" s="8">
        <v>1367</v>
      </c>
      <c r="AW16" s="8">
        <v>142</v>
      </c>
      <c r="AX16" s="8">
        <v>2308</v>
      </c>
      <c r="AY16" s="8">
        <v>879</v>
      </c>
      <c r="AZ16" s="8">
        <v>1341</v>
      </c>
      <c r="BA16" s="8">
        <v>5192</v>
      </c>
      <c r="BB16" s="8">
        <v>4347</v>
      </c>
      <c r="BC16" s="8">
        <v>11</v>
      </c>
    </row>
    <row r="17" spans="1:55" ht="17.100000000000001">
      <c r="A17" s="5">
        <v>1090</v>
      </c>
      <c r="B17" s="6" t="s">
        <v>66</v>
      </c>
      <c r="C17" s="8" t="s">
        <v>194</v>
      </c>
      <c r="D17" s="8">
        <v>41092</v>
      </c>
      <c r="E17" s="8">
        <v>39807</v>
      </c>
      <c r="F17" s="8">
        <v>35649</v>
      </c>
      <c r="G17" s="8">
        <v>19175</v>
      </c>
      <c r="H17" s="8">
        <v>41</v>
      </c>
      <c r="I17" s="8">
        <v>41</v>
      </c>
      <c r="J17" s="8">
        <v>38</v>
      </c>
      <c r="K17" s="8">
        <v>38</v>
      </c>
      <c r="L17" s="8">
        <v>38</v>
      </c>
      <c r="M17" s="8">
        <v>10</v>
      </c>
      <c r="N17" s="8">
        <v>21</v>
      </c>
      <c r="O17" s="8">
        <v>0</v>
      </c>
      <c r="P17" s="8">
        <v>0</v>
      </c>
      <c r="Q17" s="8">
        <v>7660</v>
      </c>
      <c r="R17" s="8">
        <v>1324</v>
      </c>
      <c r="S17" s="8">
        <v>5952</v>
      </c>
      <c r="T17" s="8">
        <v>440</v>
      </c>
      <c r="U17" s="8">
        <v>438</v>
      </c>
      <c r="V17" s="8">
        <v>1323</v>
      </c>
      <c r="W17" s="8">
        <v>1408</v>
      </c>
      <c r="X17" s="8">
        <v>181</v>
      </c>
      <c r="Y17" s="8">
        <v>164</v>
      </c>
      <c r="Z17" s="8">
        <v>498</v>
      </c>
      <c r="AA17" s="8">
        <v>64</v>
      </c>
      <c r="AB17" s="8">
        <v>354</v>
      </c>
      <c r="AC17" s="8">
        <v>26</v>
      </c>
      <c r="AD17" s="8">
        <v>323</v>
      </c>
      <c r="AE17" s="8">
        <v>3864</v>
      </c>
      <c r="AF17" s="8">
        <v>61</v>
      </c>
      <c r="AG17" s="8">
        <v>11359</v>
      </c>
      <c r="AH17" s="8">
        <v>10572</v>
      </c>
      <c r="AI17" s="8">
        <v>87</v>
      </c>
      <c r="AJ17" s="8">
        <v>33</v>
      </c>
      <c r="AK17" s="8">
        <v>10151</v>
      </c>
      <c r="AL17" s="8">
        <v>6357</v>
      </c>
      <c r="AM17" s="8">
        <v>11</v>
      </c>
      <c r="AN17" s="8">
        <v>3529</v>
      </c>
      <c r="AO17" s="8">
        <v>1224</v>
      </c>
      <c r="AP17" s="8">
        <v>1968</v>
      </c>
      <c r="AQ17" s="8">
        <v>2414</v>
      </c>
      <c r="AR17" s="8">
        <v>2321</v>
      </c>
      <c r="AS17" s="8">
        <v>627</v>
      </c>
      <c r="AT17" s="8">
        <v>252</v>
      </c>
      <c r="AU17" s="8">
        <v>3091</v>
      </c>
      <c r="AV17" s="8">
        <v>438</v>
      </c>
      <c r="AW17" s="8">
        <v>110</v>
      </c>
      <c r="AX17" s="8">
        <v>1389</v>
      </c>
      <c r="AY17" s="8">
        <v>296</v>
      </c>
      <c r="AZ17" s="8">
        <v>953</v>
      </c>
      <c r="BA17" s="8">
        <v>1594</v>
      </c>
      <c r="BB17" s="8">
        <v>1191</v>
      </c>
      <c r="BC17" s="8">
        <v>75</v>
      </c>
    </row>
    <row r="18" spans="1:55" ht="33.950000000000003">
      <c r="A18" s="5">
        <v>1091</v>
      </c>
      <c r="B18" s="6" t="s">
        <v>67</v>
      </c>
      <c r="C18" s="8" t="s">
        <v>195</v>
      </c>
      <c r="D18" s="8">
        <v>219518</v>
      </c>
      <c r="E18" s="8">
        <v>216315</v>
      </c>
      <c r="F18" s="8">
        <v>196851</v>
      </c>
      <c r="G18" s="8">
        <v>93614</v>
      </c>
      <c r="H18" s="8">
        <v>353</v>
      </c>
      <c r="I18" s="8">
        <v>353</v>
      </c>
      <c r="J18" s="8">
        <v>336</v>
      </c>
      <c r="K18" s="8">
        <v>330</v>
      </c>
      <c r="L18" s="8">
        <v>328</v>
      </c>
      <c r="M18" s="8">
        <v>185</v>
      </c>
      <c r="N18" s="8">
        <v>19</v>
      </c>
      <c r="O18" s="8">
        <v>0</v>
      </c>
      <c r="P18" s="8">
        <v>0</v>
      </c>
      <c r="Q18" s="8">
        <v>34564</v>
      </c>
      <c r="R18" s="8">
        <v>4324</v>
      </c>
      <c r="S18" s="8">
        <v>29353</v>
      </c>
      <c r="T18" s="8">
        <v>683</v>
      </c>
      <c r="U18" s="8">
        <v>2649</v>
      </c>
      <c r="V18" s="8">
        <v>6757</v>
      </c>
      <c r="W18" s="8">
        <v>11811</v>
      </c>
      <c r="X18" s="8">
        <v>10308</v>
      </c>
      <c r="Y18" s="8">
        <v>10065</v>
      </c>
      <c r="Z18" s="8">
        <v>1695</v>
      </c>
      <c r="AA18" s="8">
        <v>250</v>
      </c>
      <c r="AB18" s="8">
        <v>1293</v>
      </c>
      <c r="AC18" s="8">
        <v>116</v>
      </c>
      <c r="AD18" s="8">
        <v>901</v>
      </c>
      <c r="AE18" s="8">
        <v>13136</v>
      </c>
      <c r="AF18" s="8">
        <v>123</v>
      </c>
      <c r="AG18" s="8">
        <v>57919</v>
      </c>
      <c r="AH18" s="8">
        <v>55364</v>
      </c>
      <c r="AI18" s="8">
        <v>253</v>
      </c>
      <c r="AJ18" s="8">
        <v>356</v>
      </c>
      <c r="AK18" s="8">
        <v>53436</v>
      </c>
      <c r="AL18" s="8">
        <v>38925</v>
      </c>
      <c r="AM18" s="8">
        <v>91</v>
      </c>
      <c r="AN18" s="8">
        <v>26088</v>
      </c>
      <c r="AO18" s="8">
        <v>5447</v>
      </c>
      <c r="AP18" s="8">
        <v>18128</v>
      </c>
      <c r="AQ18" s="8">
        <v>9765</v>
      </c>
      <c r="AR18" s="8">
        <v>9624</v>
      </c>
      <c r="AS18" s="8">
        <v>2212</v>
      </c>
      <c r="AT18" s="8">
        <v>829</v>
      </c>
      <c r="AU18" s="8">
        <v>12392</v>
      </c>
      <c r="AV18" s="8">
        <v>1112</v>
      </c>
      <c r="AW18" s="8">
        <v>170</v>
      </c>
      <c r="AX18" s="8">
        <v>3140</v>
      </c>
      <c r="AY18" s="8">
        <v>1220</v>
      </c>
      <c r="AZ18" s="8">
        <v>1625</v>
      </c>
      <c r="BA18" s="8">
        <v>8487</v>
      </c>
      <c r="BB18" s="8">
        <v>5886</v>
      </c>
      <c r="BC18" s="8">
        <v>123</v>
      </c>
    </row>
    <row r="19" spans="1:55" ht="17.100000000000001">
      <c r="A19" s="5">
        <v>1097</v>
      </c>
      <c r="B19" s="6" t="s">
        <v>70</v>
      </c>
      <c r="C19" s="8" t="s">
        <v>197</v>
      </c>
      <c r="D19" s="8">
        <v>241814</v>
      </c>
      <c r="E19" s="8">
        <v>235966</v>
      </c>
      <c r="F19" s="8">
        <v>231326</v>
      </c>
      <c r="G19" s="8">
        <v>203103</v>
      </c>
      <c r="H19" s="8">
        <v>561</v>
      </c>
      <c r="I19" s="8">
        <v>555</v>
      </c>
      <c r="J19" s="8">
        <v>519</v>
      </c>
      <c r="K19" s="8">
        <v>518</v>
      </c>
      <c r="L19" s="8">
        <v>518</v>
      </c>
      <c r="M19" s="8">
        <v>261</v>
      </c>
      <c r="N19" s="8">
        <v>207</v>
      </c>
      <c r="O19" s="8">
        <v>5</v>
      </c>
      <c r="P19" s="8">
        <v>4</v>
      </c>
      <c r="Q19" s="8">
        <v>61057</v>
      </c>
      <c r="R19" s="8">
        <v>15743</v>
      </c>
      <c r="S19" s="8">
        <v>43266</v>
      </c>
      <c r="T19" s="8">
        <v>2389</v>
      </c>
      <c r="U19" s="8">
        <v>2167</v>
      </c>
      <c r="V19" s="8">
        <v>8253</v>
      </c>
      <c r="W19" s="8">
        <v>15622</v>
      </c>
      <c r="X19" s="8">
        <v>7357</v>
      </c>
      <c r="Y19" s="8">
        <v>7000</v>
      </c>
      <c r="Z19" s="8">
        <v>4079</v>
      </c>
      <c r="AA19" s="8">
        <v>567</v>
      </c>
      <c r="AB19" s="8">
        <v>2803</v>
      </c>
      <c r="AC19" s="8">
        <v>110</v>
      </c>
      <c r="AD19" s="8">
        <v>2555</v>
      </c>
      <c r="AE19" s="8">
        <v>21514</v>
      </c>
      <c r="AF19" s="8">
        <v>188</v>
      </c>
      <c r="AG19" s="8">
        <v>140609</v>
      </c>
      <c r="AH19" s="8">
        <v>131588</v>
      </c>
      <c r="AI19" s="8">
        <v>435</v>
      </c>
      <c r="AJ19" s="8">
        <v>1690</v>
      </c>
      <c r="AK19" s="8">
        <v>125826</v>
      </c>
      <c r="AL19" s="8">
        <v>37448</v>
      </c>
      <c r="AM19" s="8">
        <v>439</v>
      </c>
      <c r="AN19" s="8">
        <v>18452</v>
      </c>
      <c r="AO19" s="8">
        <v>4486</v>
      </c>
      <c r="AP19" s="8">
        <v>12779</v>
      </c>
      <c r="AQ19" s="8">
        <v>15065</v>
      </c>
      <c r="AR19" s="8">
        <v>14964</v>
      </c>
      <c r="AS19" s="8">
        <v>5618</v>
      </c>
      <c r="AT19" s="8">
        <v>908</v>
      </c>
      <c r="AU19" s="8">
        <v>83703</v>
      </c>
      <c r="AV19" s="8">
        <v>13383</v>
      </c>
      <c r="AW19" s="8">
        <v>1164</v>
      </c>
      <c r="AX19" s="8">
        <v>5172</v>
      </c>
      <c r="AY19" s="8">
        <v>2123</v>
      </c>
      <c r="AZ19" s="8">
        <v>2777</v>
      </c>
      <c r="BA19" s="8">
        <v>76629</v>
      </c>
      <c r="BB19" s="8">
        <v>53362</v>
      </c>
      <c r="BC19" s="8">
        <v>1213</v>
      </c>
    </row>
    <row r="20" spans="1:55" ht="33.950000000000003">
      <c r="A20" s="5">
        <v>1102</v>
      </c>
      <c r="B20" s="6" t="s">
        <v>71</v>
      </c>
      <c r="C20" s="8" t="s">
        <v>198</v>
      </c>
      <c r="D20" s="8">
        <v>325659</v>
      </c>
      <c r="E20" s="8">
        <v>316769</v>
      </c>
      <c r="F20" s="8">
        <v>305455</v>
      </c>
      <c r="G20" s="8">
        <v>212019</v>
      </c>
      <c r="H20" s="8">
        <v>163</v>
      </c>
      <c r="I20" s="8">
        <v>163</v>
      </c>
      <c r="J20" s="8">
        <v>154</v>
      </c>
      <c r="K20" s="8">
        <v>152</v>
      </c>
      <c r="L20" s="8">
        <v>149</v>
      </c>
      <c r="M20" s="8">
        <v>41</v>
      </c>
      <c r="N20" s="8">
        <v>88</v>
      </c>
      <c r="O20" s="8">
        <v>1</v>
      </c>
      <c r="P20" s="8">
        <v>1</v>
      </c>
      <c r="Q20" s="8">
        <v>89622</v>
      </c>
      <c r="R20" s="8">
        <v>31257</v>
      </c>
      <c r="S20" s="8">
        <v>56926</v>
      </c>
      <c r="T20" s="8">
        <v>3636</v>
      </c>
      <c r="U20" s="8">
        <v>6119</v>
      </c>
      <c r="V20" s="8">
        <v>8385</v>
      </c>
      <c r="W20" s="8">
        <v>17471</v>
      </c>
      <c r="X20" s="8">
        <v>10857</v>
      </c>
      <c r="Y20" s="8">
        <v>7791</v>
      </c>
      <c r="Z20" s="8">
        <v>2878</v>
      </c>
      <c r="AA20" s="8">
        <v>580</v>
      </c>
      <c r="AB20" s="8">
        <v>2024</v>
      </c>
      <c r="AC20" s="8">
        <v>209</v>
      </c>
      <c r="AD20" s="8">
        <v>1630</v>
      </c>
      <c r="AE20" s="8">
        <v>31800</v>
      </c>
      <c r="AF20" s="8">
        <v>944</v>
      </c>
      <c r="AG20" s="8">
        <v>120787</v>
      </c>
      <c r="AH20" s="8">
        <v>111758</v>
      </c>
      <c r="AI20" s="8">
        <v>7923</v>
      </c>
      <c r="AJ20" s="8">
        <v>660</v>
      </c>
      <c r="AK20" s="8">
        <v>90682</v>
      </c>
      <c r="AL20" s="8">
        <v>57620</v>
      </c>
      <c r="AM20" s="8">
        <v>76</v>
      </c>
      <c r="AN20" s="8">
        <v>28775</v>
      </c>
      <c r="AO20" s="8">
        <v>2605</v>
      </c>
      <c r="AP20" s="8">
        <v>24696</v>
      </c>
      <c r="AQ20" s="8">
        <v>24538</v>
      </c>
      <c r="AR20" s="8">
        <v>24451</v>
      </c>
      <c r="AS20" s="8">
        <v>7295</v>
      </c>
      <c r="AT20" s="8">
        <v>4602</v>
      </c>
      <c r="AU20" s="8">
        <v>24313</v>
      </c>
      <c r="AV20" s="8">
        <v>4814</v>
      </c>
      <c r="AW20" s="8">
        <v>2773</v>
      </c>
      <c r="AX20" s="8">
        <v>4029</v>
      </c>
      <c r="AY20" s="8">
        <v>2388</v>
      </c>
      <c r="AZ20" s="8">
        <v>1286</v>
      </c>
      <c r="BA20" s="8">
        <v>19131</v>
      </c>
      <c r="BB20" s="8">
        <v>15533</v>
      </c>
      <c r="BC20" s="8">
        <v>50</v>
      </c>
    </row>
    <row r="21" spans="1:55" ht="17.100000000000001">
      <c r="A21" s="5">
        <v>1146</v>
      </c>
      <c r="B21" s="6" t="s">
        <v>79</v>
      </c>
      <c r="C21" s="8" t="s">
        <v>204</v>
      </c>
      <c r="D21" s="8">
        <v>120485</v>
      </c>
      <c r="E21" s="8">
        <v>116000</v>
      </c>
      <c r="F21" s="8">
        <v>110462</v>
      </c>
      <c r="G21" s="8">
        <v>69007</v>
      </c>
      <c r="H21" s="8">
        <v>161</v>
      </c>
      <c r="I21" s="8">
        <v>157</v>
      </c>
      <c r="J21" s="8">
        <v>153</v>
      </c>
      <c r="K21" s="8">
        <v>153</v>
      </c>
      <c r="L21" s="8">
        <v>153</v>
      </c>
      <c r="M21" s="8">
        <v>100</v>
      </c>
      <c r="N21" s="8">
        <v>31</v>
      </c>
      <c r="O21" s="8">
        <v>1</v>
      </c>
      <c r="P21" s="8">
        <v>0</v>
      </c>
      <c r="Q21" s="8">
        <v>46114</v>
      </c>
      <c r="R21" s="8">
        <v>2769</v>
      </c>
      <c r="S21" s="8">
        <v>42546</v>
      </c>
      <c r="T21" s="8">
        <v>1737</v>
      </c>
      <c r="U21" s="8">
        <v>1542</v>
      </c>
      <c r="V21" s="8">
        <v>1563</v>
      </c>
      <c r="W21" s="8">
        <v>24230</v>
      </c>
      <c r="X21" s="8">
        <v>10455</v>
      </c>
      <c r="Y21" s="8">
        <v>10315</v>
      </c>
      <c r="Z21" s="8">
        <v>6220</v>
      </c>
      <c r="AA21" s="8">
        <v>624</v>
      </c>
      <c r="AB21" s="8">
        <v>4547</v>
      </c>
      <c r="AC21" s="8">
        <v>149</v>
      </c>
      <c r="AD21" s="8">
        <v>3881</v>
      </c>
      <c r="AE21" s="8">
        <v>7841</v>
      </c>
      <c r="AF21" s="8">
        <v>82</v>
      </c>
      <c r="AG21" s="8">
        <v>21952</v>
      </c>
      <c r="AH21" s="8">
        <v>20127</v>
      </c>
      <c r="AI21" s="8">
        <v>261</v>
      </c>
      <c r="AJ21" s="8">
        <v>212</v>
      </c>
      <c r="AK21" s="8">
        <v>18773</v>
      </c>
      <c r="AL21" s="8">
        <v>6943</v>
      </c>
      <c r="AM21" s="8">
        <v>38</v>
      </c>
      <c r="AN21" s="8">
        <v>3631</v>
      </c>
      <c r="AO21" s="8">
        <v>1288</v>
      </c>
      <c r="AP21" s="8">
        <v>2093</v>
      </c>
      <c r="AQ21" s="8">
        <v>2953</v>
      </c>
      <c r="AR21" s="8">
        <v>2895</v>
      </c>
      <c r="AS21" s="8">
        <v>1085</v>
      </c>
      <c r="AT21" s="8">
        <v>517</v>
      </c>
      <c r="AU21" s="8">
        <v>10899</v>
      </c>
      <c r="AV21" s="8">
        <v>2622</v>
      </c>
      <c r="AW21" s="8">
        <v>550</v>
      </c>
      <c r="AX21" s="8">
        <v>3334</v>
      </c>
      <c r="AY21" s="8">
        <v>1048</v>
      </c>
      <c r="AZ21" s="8">
        <v>2115</v>
      </c>
      <c r="BA21" s="8">
        <v>7092</v>
      </c>
      <c r="BB21" s="8">
        <v>3758</v>
      </c>
      <c r="BC21" s="8">
        <v>29</v>
      </c>
    </row>
    <row r="22" spans="1:55" ht="17.100000000000001">
      <c r="A22" s="5">
        <v>1150</v>
      </c>
      <c r="B22" s="6" t="s">
        <v>81</v>
      </c>
      <c r="C22" s="8" t="s">
        <v>206</v>
      </c>
      <c r="D22" s="8">
        <v>130632</v>
      </c>
      <c r="E22" s="8">
        <v>125538</v>
      </c>
      <c r="F22" s="8">
        <v>119786</v>
      </c>
      <c r="G22" s="8">
        <v>67058</v>
      </c>
      <c r="H22" s="8">
        <v>444</v>
      </c>
      <c r="I22" s="8">
        <v>436</v>
      </c>
      <c r="J22" s="8">
        <v>400</v>
      </c>
      <c r="K22" s="8">
        <v>400</v>
      </c>
      <c r="L22" s="8">
        <v>397</v>
      </c>
      <c r="M22" s="8">
        <v>117</v>
      </c>
      <c r="N22" s="8">
        <v>235</v>
      </c>
      <c r="O22" s="8">
        <v>2</v>
      </c>
      <c r="P22" s="8">
        <v>1</v>
      </c>
      <c r="Q22" s="8">
        <v>27755</v>
      </c>
      <c r="R22" s="8">
        <v>5300</v>
      </c>
      <c r="S22" s="8">
        <v>21427</v>
      </c>
      <c r="T22" s="8">
        <v>903</v>
      </c>
      <c r="U22" s="8">
        <v>359</v>
      </c>
      <c r="V22" s="8">
        <v>1536</v>
      </c>
      <c r="W22" s="8">
        <v>8195</v>
      </c>
      <c r="X22" s="8">
        <v>2074</v>
      </c>
      <c r="Y22" s="8">
        <v>1931</v>
      </c>
      <c r="Z22" s="8">
        <v>5302</v>
      </c>
      <c r="AA22" s="8">
        <v>1282</v>
      </c>
      <c r="AB22" s="8">
        <v>3578</v>
      </c>
      <c r="AC22" s="8">
        <v>250</v>
      </c>
      <c r="AD22" s="8">
        <v>3218</v>
      </c>
      <c r="AE22" s="8">
        <v>5927</v>
      </c>
      <c r="AF22" s="8">
        <v>131</v>
      </c>
      <c r="AG22" s="8">
        <v>38262</v>
      </c>
      <c r="AH22" s="8">
        <v>34611</v>
      </c>
      <c r="AI22" s="8">
        <v>180</v>
      </c>
      <c r="AJ22" s="8">
        <v>201</v>
      </c>
      <c r="AK22" s="8">
        <v>33556</v>
      </c>
      <c r="AL22" s="8">
        <v>14283</v>
      </c>
      <c r="AM22" s="8">
        <v>29</v>
      </c>
      <c r="AN22" s="8">
        <v>7126</v>
      </c>
      <c r="AO22" s="8">
        <v>1839</v>
      </c>
      <c r="AP22" s="8">
        <v>4598</v>
      </c>
      <c r="AQ22" s="8">
        <v>6251</v>
      </c>
      <c r="AR22" s="8">
        <v>6194</v>
      </c>
      <c r="AS22" s="8">
        <v>1508</v>
      </c>
      <c r="AT22" s="8">
        <v>332</v>
      </c>
      <c r="AU22" s="8">
        <v>17581</v>
      </c>
      <c r="AV22" s="8">
        <v>5750</v>
      </c>
      <c r="AW22" s="8">
        <v>620</v>
      </c>
      <c r="AX22" s="8">
        <v>3818</v>
      </c>
      <c r="AY22" s="8">
        <v>1237</v>
      </c>
      <c r="AZ22" s="8">
        <v>2244</v>
      </c>
      <c r="BA22" s="8">
        <v>13307</v>
      </c>
      <c r="BB22" s="8">
        <v>11097</v>
      </c>
      <c r="BC22" s="8">
        <v>74</v>
      </c>
    </row>
    <row r="23" spans="1:55" ht="17.100000000000001">
      <c r="A23" s="5">
        <v>1153</v>
      </c>
      <c r="B23" s="6" t="s">
        <v>82</v>
      </c>
      <c r="C23" s="8" t="s">
        <v>207</v>
      </c>
      <c r="D23" s="8">
        <v>319599</v>
      </c>
      <c r="E23" s="8">
        <v>283483</v>
      </c>
      <c r="F23" s="8">
        <v>263446</v>
      </c>
      <c r="G23" s="8">
        <v>169300</v>
      </c>
      <c r="H23" s="8">
        <v>388</v>
      </c>
      <c r="I23" s="8">
        <v>384</v>
      </c>
      <c r="J23" s="8">
        <v>361</v>
      </c>
      <c r="K23" s="8">
        <v>359</v>
      </c>
      <c r="L23" s="8">
        <v>359</v>
      </c>
      <c r="M23" s="8">
        <v>61</v>
      </c>
      <c r="N23" s="8">
        <v>262</v>
      </c>
      <c r="O23" s="8">
        <v>0</v>
      </c>
      <c r="P23" s="8">
        <v>5</v>
      </c>
      <c r="Q23" s="8">
        <v>101651</v>
      </c>
      <c r="R23" s="8">
        <v>11487</v>
      </c>
      <c r="S23" s="8">
        <v>88685</v>
      </c>
      <c r="T23" s="8">
        <v>3190</v>
      </c>
      <c r="U23" s="8">
        <v>2765</v>
      </c>
      <c r="V23" s="8">
        <v>9840</v>
      </c>
      <c r="W23" s="8">
        <v>50866</v>
      </c>
      <c r="X23" s="8">
        <v>6935</v>
      </c>
      <c r="Y23" s="8">
        <v>6671</v>
      </c>
      <c r="Z23" s="8">
        <v>10404</v>
      </c>
      <c r="AA23" s="8">
        <v>1442</v>
      </c>
      <c r="AB23" s="8">
        <v>7556</v>
      </c>
      <c r="AC23" s="8">
        <v>2135</v>
      </c>
      <c r="AD23" s="8">
        <v>4258</v>
      </c>
      <c r="AE23" s="8">
        <v>22143</v>
      </c>
      <c r="AF23" s="8">
        <v>199</v>
      </c>
      <c r="AG23" s="8">
        <v>66499</v>
      </c>
      <c r="AH23" s="8">
        <v>62739</v>
      </c>
      <c r="AI23" s="8">
        <v>470</v>
      </c>
      <c r="AJ23" s="8">
        <v>78</v>
      </c>
      <c r="AK23" s="8">
        <v>60766</v>
      </c>
      <c r="AL23" s="8">
        <v>48237</v>
      </c>
      <c r="AM23" s="8">
        <v>381</v>
      </c>
      <c r="AN23" s="8">
        <v>17704</v>
      </c>
      <c r="AO23" s="8">
        <v>1858</v>
      </c>
      <c r="AP23" s="8">
        <v>15239</v>
      </c>
      <c r="AQ23" s="8">
        <v>25497</v>
      </c>
      <c r="AR23" s="8">
        <v>25441</v>
      </c>
      <c r="AS23" s="8">
        <v>2829</v>
      </c>
      <c r="AT23" s="8">
        <v>896</v>
      </c>
      <c r="AU23" s="8">
        <v>11119</v>
      </c>
      <c r="AV23" s="8">
        <v>1544</v>
      </c>
      <c r="AW23" s="8">
        <v>210</v>
      </c>
      <c r="AX23" s="8">
        <v>2155</v>
      </c>
      <c r="AY23" s="8">
        <v>1642</v>
      </c>
      <c r="AZ23" s="8">
        <v>393</v>
      </c>
      <c r="BA23" s="8">
        <v>7779</v>
      </c>
      <c r="BB23" s="8">
        <v>6462</v>
      </c>
      <c r="BC23" s="8">
        <v>51</v>
      </c>
    </row>
    <row r="24" spans="1:55" ht="17.100000000000001">
      <c r="A24" s="5">
        <v>1157</v>
      </c>
      <c r="B24" s="6" t="s">
        <v>86</v>
      </c>
      <c r="C24" s="8" t="s">
        <v>211</v>
      </c>
      <c r="D24" s="8">
        <v>137475</v>
      </c>
      <c r="E24" s="8">
        <v>125596</v>
      </c>
      <c r="F24" s="8">
        <v>123468</v>
      </c>
      <c r="G24" s="8">
        <v>89313</v>
      </c>
      <c r="H24" s="8">
        <v>297</v>
      </c>
      <c r="I24" s="8">
        <v>281</v>
      </c>
      <c r="J24" s="8">
        <v>246</v>
      </c>
      <c r="K24" s="8">
        <v>242</v>
      </c>
      <c r="L24" s="8">
        <v>236</v>
      </c>
      <c r="M24" s="8">
        <v>30</v>
      </c>
      <c r="N24" s="8">
        <v>155</v>
      </c>
      <c r="O24" s="8">
        <v>5</v>
      </c>
      <c r="P24" s="8">
        <v>4</v>
      </c>
      <c r="Q24" s="8">
        <v>31267</v>
      </c>
      <c r="R24" s="8">
        <v>6869</v>
      </c>
      <c r="S24" s="8">
        <v>23464</v>
      </c>
      <c r="T24" s="8">
        <v>970</v>
      </c>
      <c r="U24" s="8">
        <v>1505</v>
      </c>
      <c r="V24" s="8">
        <v>2763</v>
      </c>
      <c r="W24" s="8">
        <v>12545</v>
      </c>
      <c r="X24" s="8">
        <v>4416</v>
      </c>
      <c r="Y24" s="8">
        <v>4372</v>
      </c>
      <c r="Z24" s="8">
        <v>2588</v>
      </c>
      <c r="AA24" s="8">
        <v>321</v>
      </c>
      <c r="AB24" s="8">
        <v>1881</v>
      </c>
      <c r="AC24" s="8">
        <v>402</v>
      </c>
      <c r="AD24" s="8">
        <v>1373</v>
      </c>
      <c r="AE24" s="8">
        <v>6866</v>
      </c>
      <c r="AF24" s="8">
        <v>74</v>
      </c>
      <c r="AG24" s="8">
        <v>54964</v>
      </c>
      <c r="AH24" s="8">
        <v>50396</v>
      </c>
      <c r="AI24" s="8">
        <v>700</v>
      </c>
      <c r="AJ24" s="8">
        <v>391</v>
      </c>
      <c r="AK24" s="8">
        <v>47115</v>
      </c>
      <c r="AL24" s="8">
        <v>35712</v>
      </c>
      <c r="AM24" s="8">
        <v>349</v>
      </c>
      <c r="AN24" s="8">
        <v>20614</v>
      </c>
      <c r="AO24" s="8">
        <v>11006</v>
      </c>
      <c r="AP24" s="8">
        <v>8241</v>
      </c>
      <c r="AQ24" s="8">
        <v>11938</v>
      </c>
      <c r="AR24" s="8">
        <v>10811</v>
      </c>
      <c r="AS24" s="8">
        <v>8018</v>
      </c>
      <c r="AT24" s="8">
        <v>4409</v>
      </c>
      <c r="AU24" s="8">
        <v>9125</v>
      </c>
      <c r="AV24" s="8">
        <v>3865</v>
      </c>
      <c r="AW24" s="8">
        <v>2103</v>
      </c>
      <c r="AX24" s="8">
        <v>2077</v>
      </c>
      <c r="AY24" s="8">
        <v>592</v>
      </c>
      <c r="AZ24" s="8">
        <v>1425</v>
      </c>
      <c r="BA24" s="8">
        <v>6019</v>
      </c>
      <c r="BB24" s="8">
        <v>3844</v>
      </c>
      <c r="BC24" s="8">
        <v>66</v>
      </c>
    </row>
    <row r="25" spans="1:55" ht="17.100000000000001">
      <c r="A25" s="5">
        <v>1160</v>
      </c>
      <c r="B25" s="6" t="s">
        <v>89</v>
      </c>
      <c r="C25" s="8" t="s">
        <v>214</v>
      </c>
      <c r="D25" s="8">
        <v>99510</v>
      </c>
      <c r="E25" s="8">
        <v>93685</v>
      </c>
      <c r="F25" s="8">
        <v>90392</v>
      </c>
      <c r="G25" s="8">
        <v>55396</v>
      </c>
      <c r="H25" s="8">
        <v>282</v>
      </c>
      <c r="I25" s="8">
        <v>277</v>
      </c>
      <c r="J25" s="8">
        <v>271</v>
      </c>
      <c r="K25" s="8">
        <v>271</v>
      </c>
      <c r="L25" s="8">
        <v>271</v>
      </c>
      <c r="M25" s="8">
        <v>142</v>
      </c>
      <c r="N25" s="8">
        <v>109</v>
      </c>
      <c r="O25" s="8">
        <v>0</v>
      </c>
      <c r="P25" s="8">
        <v>2</v>
      </c>
      <c r="Q25" s="8">
        <v>32289</v>
      </c>
      <c r="R25" s="8">
        <v>3261</v>
      </c>
      <c r="S25" s="8">
        <v>28515</v>
      </c>
      <c r="T25" s="8">
        <v>2174</v>
      </c>
      <c r="U25" s="8">
        <v>6082</v>
      </c>
      <c r="V25" s="8">
        <v>5683</v>
      </c>
      <c r="W25" s="8">
        <v>8971</v>
      </c>
      <c r="X25" s="8">
        <v>2751</v>
      </c>
      <c r="Y25" s="8">
        <v>2632</v>
      </c>
      <c r="Z25" s="8">
        <v>3263</v>
      </c>
      <c r="AA25" s="8">
        <v>275</v>
      </c>
      <c r="AB25" s="8">
        <v>2653</v>
      </c>
      <c r="AC25" s="8">
        <v>422</v>
      </c>
      <c r="AD25" s="8">
        <v>2028</v>
      </c>
      <c r="AE25" s="8">
        <v>14793</v>
      </c>
      <c r="AF25" s="8">
        <v>69</v>
      </c>
      <c r="AG25" s="8">
        <v>22349</v>
      </c>
      <c r="AH25" s="8">
        <v>20906</v>
      </c>
      <c r="AI25" s="8">
        <v>259</v>
      </c>
      <c r="AJ25" s="8">
        <v>255</v>
      </c>
      <c r="AK25" s="8">
        <v>19213</v>
      </c>
      <c r="AL25" s="8">
        <v>11320</v>
      </c>
      <c r="AM25" s="8">
        <v>131</v>
      </c>
      <c r="AN25" s="8">
        <v>5266</v>
      </c>
      <c r="AO25" s="8">
        <v>2098</v>
      </c>
      <c r="AP25" s="8">
        <v>2784</v>
      </c>
      <c r="AQ25" s="8">
        <v>5161</v>
      </c>
      <c r="AR25" s="8">
        <v>5052</v>
      </c>
      <c r="AS25" s="8">
        <v>1286</v>
      </c>
      <c r="AT25" s="8">
        <v>290</v>
      </c>
      <c r="AU25" s="8">
        <v>6666</v>
      </c>
      <c r="AV25" s="8">
        <v>1860</v>
      </c>
      <c r="AW25" s="8">
        <v>163</v>
      </c>
      <c r="AX25" s="8">
        <v>1839</v>
      </c>
      <c r="AY25" s="8">
        <v>332</v>
      </c>
      <c r="AZ25" s="8">
        <v>1471</v>
      </c>
      <c r="BA25" s="8">
        <v>4636</v>
      </c>
      <c r="BB25" s="8">
        <v>3976</v>
      </c>
      <c r="BC25" s="8">
        <v>8</v>
      </c>
    </row>
    <row r="26" spans="1:55" ht="17.100000000000001">
      <c r="A26" s="5">
        <v>1164</v>
      </c>
      <c r="B26" s="6" t="s">
        <v>92</v>
      </c>
      <c r="C26" s="8" t="s">
        <v>216</v>
      </c>
      <c r="D26" s="8">
        <v>62413</v>
      </c>
      <c r="E26" s="8">
        <v>59157</v>
      </c>
      <c r="F26" s="8">
        <v>55171</v>
      </c>
      <c r="G26" s="8">
        <v>21132</v>
      </c>
      <c r="H26" s="8">
        <v>165</v>
      </c>
      <c r="I26" s="8">
        <v>162</v>
      </c>
      <c r="J26" s="8">
        <v>149</v>
      </c>
      <c r="K26" s="8">
        <v>149</v>
      </c>
      <c r="L26" s="8">
        <v>149</v>
      </c>
      <c r="M26" s="8">
        <v>52</v>
      </c>
      <c r="N26" s="8">
        <v>84</v>
      </c>
      <c r="O26" s="8">
        <v>1</v>
      </c>
      <c r="P26" s="8">
        <v>0</v>
      </c>
      <c r="Q26" s="8">
        <v>8185</v>
      </c>
      <c r="R26" s="8">
        <v>1962</v>
      </c>
      <c r="S26" s="8">
        <v>6031</v>
      </c>
      <c r="T26" s="8">
        <v>339</v>
      </c>
      <c r="U26" s="8">
        <v>614</v>
      </c>
      <c r="V26" s="8">
        <v>816</v>
      </c>
      <c r="W26" s="8">
        <v>1652</v>
      </c>
      <c r="X26" s="8">
        <v>942</v>
      </c>
      <c r="Y26" s="8">
        <v>880</v>
      </c>
      <c r="Z26" s="8">
        <v>1111</v>
      </c>
      <c r="AA26" s="8">
        <v>49</v>
      </c>
      <c r="AB26" s="8">
        <v>759</v>
      </c>
      <c r="AC26" s="8">
        <v>15</v>
      </c>
      <c r="AD26" s="8">
        <v>705</v>
      </c>
      <c r="AE26" s="8">
        <v>2674</v>
      </c>
      <c r="AF26" s="8">
        <v>14</v>
      </c>
      <c r="AG26" s="8">
        <v>12549</v>
      </c>
      <c r="AH26" s="8">
        <v>11822</v>
      </c>
      <c r="AI26" s="8">
        <v>152</v>
      </c>
      <c r="AJ26" s="8">
        <v>58</v>
      </c>
      <c r="AK26" s="8">
        <v>11145</v>
      </c>
      <c r="AL26" s="8">
        <v>6993</v>
      </c>
      <c r="AM26" s="8">
        <v>94</v>
      </c>
      <c r="AN26" s="8">
        <v>5031</v>
      </c>
      <c r="AO26" s="8">
        <v>1372</v>
      </c>
      <c r="AP26" s="8">
        <v>3146</v>
      </c>
      <c r="AQ26" s="8">
        <v>1598</v>
      </c>
      <c r="AR26" s="8">
        <v>1572</v>
      </c>
      <c r="AS26" s="8">
        <v>560</v>
      </c>
      <c r="AT26" s="8">
        <v>297</v>
      </c>
      <c r="AU26" s="8">
        <v>3815</v>
      </c>
      <c r="AV26" s="8">
        <v>657</v>
      </c>
      <c r="AW26" s="8">
        <v>94</v>
      </c>
      <c r="AX26" s="8">
        <v>934</v>
      </c>
      <c r="AY26" s="8">
        <v>302</v>
      </c>
      <c r="AZ26" s="8">
        <v>568</v>
      </c>
      <c r="BA26" s="8">
        <v>2737</v>
      </c>
      <c r="BB26" s="8">
        <v>2549</v>
      </c>
      <c r="BC26" s="8">
        <v>4</v>
      </c>
    </row>
    <row r="27" spans="1:55" ht="17.100000000000001">
      <c r="A27" s="5">
        <v>1165</v>
      </c>
      <c r="B27" s="6" t="s">
        <v>93</v>
      </c>
      <c r="C27" s="8" t="s">
        <v>217</v>
      </c>
      <c r="D27" s="8">
        <v>232949</v>
      </c>
      <c r="E27" s="8">
        <v>206715</v>
      </c>
      <c r="F27" s="8">
        <v>194926</v>
      </c>
      <c r="G27" s="8">
        <v>110284</v>
      </c>
      <c r="H27" s="8">
        <v>166</v>
      </c>
      <c r="I27" s="8">
        <v>160</v>
      </c>
      <c r="J27" s="8">
        <v>142</v>
      </c>
      <c r="K27" s="8">
        <v>142</v>
      </c>
      <c r="L27" s="8">
        <v>141</v>
      </c>
      <c r="M27" s="8">
        <v>48</v>
      </c>
      <c r="N27" s="8">
        <v>79</v>
      </c>
      <c r="O27" s="8">
        <v>0</v>
      </c>
      <c r="P27" s="8">
        <v>3</v>
      </c>
      <c r="Q27" s="8">
        <v>53013</v>
      </c>
      <c r="R27" s="8">
        <v>5540</v>
      </c>
      <c r="S27" s="8">
        <v>47119</v>
      </c>
      <c r="T27" s="8">
        <v>1474</v>
      </c>
      <c r="U27" s="8">
        <v>2304</v>
      </c>
      <c r="V27" s="8">
        <v>7043</v>
      </c>
      <c r="W27" s="8">
        <v>28715</v>
      </c>
      <c r="X27" s="8">
        <v>3147</v>
      </c>
      <c r="Y27" s="8">
        <v>3091</v>
      </c>
      <c r="Z27" s="8">
        <v>3650</v>
      </c>
      <c r="AA27" s="8">
        <v>506</v>
      </c>
      <c r="AB27" s="8">
        <v>2323</v>
      </c>
      <c r="AC27" s="8">
        <v>405</v>
      </c>
      <c r="AD27" s="8">
        <v>1640</v>
      </c>
      <c r="AE27" s="8">
        <v>13226</v>
      </c>
      <c r="AF27" s="8">
        <v>157</v>
      </c>
      <c r="AG27" s="8">
        <v>56573</v>
      </c>
      <c r="AH27" s="8">
        <v>54079</v>
      </c>
      <c r="AI27" s="8">
        <v>111</v>
      </c>
      <c r="AJ27" s="8">
        <v>237</v>
      </c>
      <c r="AK27" s="8">
        <v>52511</v>
      </c>
      <c r="AL27" s="8">
        <v>26321</v>
      </c>
      <c r="AM27" s="8">
        <v>158</v>
      </c>
      <c r="AN27" s="8">
        <v>10207</v>
      </c>
      <c r="AO27" s="8">
        <v>2443</v>
      </c>
      <c r="AP27" s="8">
        <v>7267</v>
      </c>
      <c r="AQ27" s="8">
        <v>13234</v>
      </c>
      <c r="AR27" s="8">
        <v>13181</v>
      </c>
      <c r="AS27" s="8">
        <v>1739</v>
      </c>
      <c r="AT27" s="8">
        <v>374</v>
      </c>
      <c r="AU27" s="8">
        <v>22946</v>
      </c>
      <c r="AV27" s="8">
        <v>2649</v>
      </c>
      <c r="AW27" s="8">
        <v>288</v>
      </c>
      <c r="AX27" s="8">
        <v>4297</v>
      </c>
      <c r="AY27" s="8">
        <v>2348</v>
      </c>
      <c r="AZ27" s="8">
        <v>1810</v>
      </c>
      <c r="BA27" s="8">
        <v>16832</v>
      </c>
      <c r="BB27" s="8">
        <v>6730</v>
      </c>
      <c r="BC27" s="8">
        <v>49</v>
      </c>
    </row>
    <row r="28" spans="1:55" ht="17.100000000000001">
      <c r="A28" s="5">
        <v>1166</v>
      </c>
      <c r="B28" s="6" t="s">
        <v>94</v>
      </c>
      <c r="C28" s="8" t="s">
        <v>218</v>
      </c>
      <c r="D28" s="8">
        <v>86919</v>
      </c>
      <c r="E28" s="8">
        <v>81185</v>
      </c>
      <c r="F28" s="8">
        <v>78665</v>
      </c>
      <c r="G28" s="8">
        <v>49508</v>
      </c>
      <c r="H28" s="8">
        <v>92</v>
      </c>
      <c r="I28" s="8">
        <v>90</v>
      </c>
      <c r="J28" s="8">
        <v>86</v>
      </c>
      <c r="K28" s="8">
        <v>84</v>
      </c>
      <c r="L28" s="8">
        <v>84</v>
      </c>
      <c r="M28" s="8">
        <v>17</v>
      </c>
      <c r="N28" s="8">
        <v>58</v>
      </c>
      <c r="O28" s="8">
        <v>1</v>
      </c>
      <c r="P28" s="8">
        <v>1</v>
      </c>
      <c r="Q28" s="8">
        <v>24820</v>
      </c>
      <c r="R28" s="8">
        <v>3921</v>
      </c>
      <c r="S28" s="8">
        <v>20293</v>
      </c>
      <c r="T28" s="8">
        <v>717</v>
      </c>
      <c r="U28" s="8">
        <v>1560</v>
      </c>
      <c r="V28" s="8">
        <v>2990</v>
      </c>
      <c r="W28" s="8">
        <v>8315</v>
      </c>
      <c r="X28" s="8">
        <v>1019</v>
      </c>
      <c r="Y28" s="8">
        <v>1007</v>
      </c>
      <c r="Z28" s="8">
        <v>3475</v>
      </c>
      <c r="AA28" s="8">
        <v>534</v>
      </c>
      <c r="AB28" s="8">
        <v>2727</v>
      </c>
      <c r="AC28" s="8">
        <v>357</v>
      </c>
      <c r="AD28" s="8">
        <v>2123</v>
      </c>
      <c r="AE28" s="8">
        <v>7120</v>
      </c>
      <c r="AF28" s="8">
        <v>31</v>
      </c>
      <c r="AG28" s="8">
        <v>24379</v>
      </c>
      <c r="AH28" s="8">
        <v>21837</v>
      </c>
      <c r="AI28" s="8">
        <v>93</v>
      </c>
      <c r="AJ28" s="8">
        <v>251</v>
      </c>
      <c r="AK28" s="8">
        <v>20954</v>
      </c>
      <c r="AL28" s="8">
        <v>11790</v>
      </c>
      <c r="AM28" s="8">
        <v>55</v>
      </c>
      <c r="AN28" s="8">
        <v>6357</v>
      </c>
      <c r="AO28" s="8">
        <v>1930</v>
      </c>
      <c r="AP28" s="8">
        <v>3879</v>
      </c>
      <c r="AQ28" s="8">
        <v>4362</v>
      </c>
      <c r="AR28" s="8">
        <v>4285</v>
      </c>
      <c r="AS28" s="8">
        <v>637</v>
      </c>
      <c r="AT28" s="8">
        <v>191</v>
      </c>
      <c r="AU28" s="8">
        <v>7680</v>
      </c>
      <c r="AV28" s="8">
        <v>432</v>
      </c>
      <c r="AW28" s="8">
        <v>103</v>
      </c>
      <c r="AX28" s="8">
        <v>2100</v>
      </c>
      <c r="AY28" s="8">
        <v>475</v>
      </c>
      <c r="AZ28" s="8">
        <v>1487</v>
      </c>
      <c r="BA28" s="8">
        <v>5215</v>
      </c>
      <c r="BB28" s="8">
        <v>2100</v>
      </c>
      <c r="BC28" s="8">
        <v>283</v>
      </c>
    </row>
    <row r="29" spans="1:55" ht="17.100000000000001">
      <c r="A29" s="5">
        <v>1172</v>
      </c>
      <c r="B29" s="6" t="s">
        <v>96</v>
      </c>
      <c r="C29" s="8" t="s">
        <v>221</v>
      </c>
      <c r="D29" s="8">
        <v>166329</v>
      </c>
      <c r="E29" s="8">
        <v>161188</v>
      </c>
      <c r="F29" s="8">
        <v>150664</v>
      </c>
      <c r="G29" s="8">
        <v>61303</v>
      </c>
      <c r="H29" s="8">
        <v>29</v>
      </c>
      <c r="I29" s="8">
        <v>28</v>
      </c>
      <c r="J29" s="8">
        <v>26</v>
      </c>
      <c r="K29" s="8">
        <v>24</v>
      </c>
      <c r="L29" s="8">
        <v>24</v>
      </c>
      <c r="M29" s="8">
        <v>8</v>
      </c>
      <c r="N29" s="8">
        <v>13</v>
      </c>
      <c r="O29" s="8">
        <v>0</v>
      </c>
      <c r="P29" s="8">
        <v>0</v>
      </c>
      <c r="Q29" s="8">
        <v>29370</v>
      </c>
      <c r="R29" s="8">
        <v>4066</v>
      </c>
      <c r="S29" s="8">
        <v>24675</v>
      </c>
      <c r="T29" s="8">
        <v>1320</v>
      </c>
      <c r="U29" s="8">
        <v>1519</v>
      </c>
      <c r="V29" s="8">
        <v>2573</v>
      </c>
      <c r="W29" s="8">
        <v>12678</v>
      </c>
      <c r="X29" s="8">
        <v>8608</v>
      </c>
      <c r="Y29" s="8">
        <v>8014</v>
      </c>
      <c r="Z29" s="8">
        <v>1402</v>
      </c>
      <c r="AA29" s="8">
        <v>204</v>
      </c>
      <c r="AB29" s="8">
        <v>1031</v>
      </c>
      <c r="AC29" s="8">
        <v>28</v>
      </c>
      <c r="AD29" s="8">
        <v>957</v>
      </c>
      <c r="AE29" s="8">
        <v>9328</v>
      </c>
      <c r="AF29" s="8">
        <v>79</v>
      </c>
      <c r="AG29" s="8">
        <v>31580</v>
      </c>
      <c r="AH29" s="8">
        <v>29260</v>
      </c>
      <c r="AI29" s="8">
        <v>479</v>
      </c>
      <c r="AJ29" s="8">
        <v>322</v>
      </c>
      <c r="AK29" s="8">
        <v>26675</v>
      </c>
      <c r="AL29" s="8">
        <v>11069</v>
      </c>
      <c r="AM29" s="8">
        <v>78</v>
      </c>
      <c r="AN29" s="8">
        <v>5582</v>
      </c>
      <c r="AO29" s="8">
        <v>423</v>
      </c>
      <c r="AP29" s="8">
        <v>4908</v>
      </c>
      <c r="AQ29" s="8">
        <v>4501</v>
      </c>
      <c r="AR29" s="8">
        <v>4463</v>
      </c>
      <c r="AS29" s="8">
        <v>1306</v>
      </c>
      <c r="AT29" s="8">
        <v>643</v>
      </c>
      <c r="AU29" s="8">
        <v>13901</v>
      </c>
      <c r="AV29" s="8">
        <v>4019</v>
      </c>
      <c r="AW29" s="8">
        <v>715</v>
      </c>
      <c r="AX29" s="8">
        <v>2180</v>
      </c>
      <c r="AY29" s="8">
        <v>1686</v>
      </c>
      <c r="AZ29" s="8">
        <v>368</v>
      </c>
      <c r="BA29" s="8">
        <v>11102</v>
      </c>
      <c r="BB29" s="8">
        <v>9531</v>
      </c>
      <c r="BC29" s="8">
        <v>28</v>
      </c>
    </row>
    <row r="30" spans="1:55" ht="17.100000000000001">
      <c r="A30" s="5">
        <v>1178</v>
      </c>
      <c r="B30" s="6" t="s">
        <v>97</v>
      </c>
      <c r="C30" s="8" t="s">
        <v>222</v>
      </c>
      <c r="D30" s="8">
        <v>89352</v>
      </c>
      <c r="E30" s="8">
        <v>81651</v>
      </c>
      <c r="F30" s="8">
        <v>80568</v>
      </c>
      <c r="G30" s="8">
        <v>40335</v>
      </c>
      <c r="H30" s="8">
        <v>930</v>
      </c>
      <c r="I30" s="8">
        <v>863</v>
      </c>
      <c r="J30" s="8">
        <v>819</v>
      </c>
      <c r="K30" s="8">
        <v>814</v>
      </c>
      <c r="L30" s="8">
        <v>790</v>
      </c>
      <c r="M30" s="8">
        <v>200</v>
      </c>
      <c r="N30" s="8">
        <v>413</v>
      </c>
      <c r="O30" s="8">
        <v>14</v>
      </c>
      <c r="P30" s="8">
        <v>12</v>
      </c>
      <c r="Q30" s="8">
        <v>15803</v>
      </c>
      <c r="R30" s="8">
        <v>2012</v>
      </c>
      <c r="S30" s="8">
        <v>12928</v>
      </c>
      <c r="T30" s="8">
        <v>769</v>
      </c>
      <c r="U30" s="8">
        <v>1030</v>
      </c>
      <c r="V30" s="8">
        <v>1560</v>
      </c>
      <c r="W30" s="8">
        <v>3481</v>
      </c>
      <c r="X30" s="8">
        <v>584</v>
      </c>
      <c r="Y30" s="8">
        <v>562</v>
      </c>
      <c r="Z30" s="8">
        <v>4304</v>
      </c>
      <c r="AA30" s="8">
        <v>850</v>
      </c>
      <c r="AB30" s="8">
        <v>2970</v>
      </c>
      <c r="AC30" s="8">
        <v>394</v>
      </c>
      <c r="AD30" s="8">
        <v>2363</v>
      </c>
      <c r="AE30" s="8">
        <v>4196</v>
      </c>
      <c r="AF30" s="8">
        <v>71</v>
      </c>
      <c r="AG30" s="8">
        <v>20951</v>
      </c>
      <c r="AH30" s="8">
        <v>18832</v>
      </c>
      <c r="AI30" s="8">
        <v>356</v>
      </c>
      <c r="AJ30" s="8">
        <v>609</v>
      </c>
      <c r="AK30" s="8">
        <v>16515</v>
      </c>
      <c r="AL30" s="8">
        <v>8015</v>
      </c>
      <c r="AM30" s="8">
        <v>99</v>
      </c>
      <c r="AN30" s="8">
        <v>3782</v>
      </c>
      <c r="AO30" s="8">
        <v>1934</v>
      </c>
      <c r="AP30" s="8">
        <v>1628</v>
      </c>
      <c r="AQ30" s="8">
        <v>3432</v>
      </c>
      <c r="AR30" s="8">
        <v>3057</v>
      </c>
      <c r="AS30" s="8">
        <v>2207</v>
      </c>
      <c r="AT30" s="8">
        <v>1637</v>
      </c>
      <c r="AU30" s="8">
        <v>7909</v>
      </c>
      <c r="AV30" s="8">
        <v>2726</v>
      </c>
      <c r="AW30" s="8">
        <v>2073</v>
      </c>
      <c r="AX30" s="8">
        <v>688</v>
      </c>
      <c r="AY30" s="8">
        <v>211</v>
      </c>
      <c r="AZ30" s="8">
        <v>447</v>
      </c>
      <c r="BA30" s="8">
        <v>6305</v>
      </c>
      <c r="BB30" s="8">
        <v>2068</v>
      </c>
      <c r="BC30" s="8">
        <v>25</v>
      </c>
    </row>
    <row r="31" spans="1:55" ht="51">
      <c r="A31" s="5">
        <v>1181</v>
      </c>
      <c r="B31" s="6" t="s">
        <v>98</v>
      </c>
      <c r="C31" s="8" t="s">
        <v>223</v>
      </c>
      <c r="D31" s="8">
        <v>103950</v>
      </c>
      <c r="E31" s="8">
        <v>100965</v>
      </c>
      <c r="F31" s="8">
        <v>93340</v>
      </c>
      <c r="G31" s="8">
        <v>40289</v>
      </c>
      <c r="H31" s="8">
        <v>16</v>
      </c>
      <c r="I31" s="8">
        <v>15</v>
      </c>
      <c r="J31" s="8">
        <v>15</v>
      </c>
      <c r="K31" s="8">
        <v>13</v>
      </c>
      <c r="L31" s="8">
        <v>13</v>
      </c>
      <c r="M31" s="8">
        <v>8</v>
      </c>
      <c r="N31" s="8">
        <v>3</v>
      </c>
      <c r="O31" s="8">
        <v>0</v>
      </c>
      <c r="P31" s="8">
        <v>0</v>
      </c>
      <c r="Q31" s="8">
        <v>23423</v>
      </c>
      <c r="R31" s="8">
        <v>1579</v>
      </c>
      <c r="S31" s="8">
        <v>21529</v>
      </c>
      <c r="T31" s="8">
        <v>295</v>
      </c>
      <c r="U31" s="8">
        <v>274</v>
      </c>
      <c r="V31" s="8">
        <v>6737</v>
      </c>
      <c r="W31" s="8">
        <v>1640</v>
      </c>
      <c r="X31" s="8">
        <v>613</v>
      </c>
      <c r="Y31" s="8">
        <v>579</v>
      </c>
      <c r="Z31" s="8">
        <v>4511</v>
      </c>
      <c r="AA31" s="8">
        <v>65</v>
      </c>
      <c r="AB31" s="8">
        <v>4031</v>
      </c>
      <c r="AC31" s="8">
        <v>1679</v>
      </c>
      <c r="AD31" s="8">
        <v>592</v>
      </c>
      <c r="AE31" s="8">
        <v>10063</v>
      </c>
      <c r="AF31" s="8">
        <v>32</v>
      </c>
      <c r="AG31" s="8">
        <v>16268</v>
      </c>
      <c r="AH31" s="8">
        <v>9103</v>
      </c>
      <c r="AI31" s="8">
        <v>4</v>
      </c>
      <c r="AJ31" s="8">
        <v>11</v>
      </c>
      <c r="AK31" s="8">
        <v>9059</v>
      </c>
      <c r="AL31" s="8">
        <v>5271</v>
      </c>
      <c r="AM31" s="8">
        <v>6</v>
      </c>
      <c r="AN31" s="8">
        <v>1563</v>
      </c>
      <c r="AO31" s="8">
        <v>240</v>
      </c>
      <c r="AP31" s="8">
        <v>1229</v>
      </c>
      <c r="AQ31" s="8">
        <v>3292</v>
      </c>
      <c r="AR31" s="8">
        <v>3279</v>
      </c>
      <c r="AS31" s="8">
        <v>61</v>
      </c>
      <c r="AT31" s="8">
        <v>5</v>
      </c>
      <c r="AU31" s="8">
        <v>2779</v>
      </c>
      <c r="AV31" s="8">
        <v>63</v>
      </c>
      <c r="AW31" s="8">
        <v>2</v>
      </c>
      <c r="AX31" s="8">
        <v>505</v>
      </c>
      <c r="AY31" s="8">
        <v>291</v>
      </c>
      <c r="AZ31" s="8">
        <v>169</v>
      </c>
      <c r="BA31" s="8">
        <v>2077</v>
      </c>
      <c r="BB31" s="8">
        <v>1993</v>
      </c>
      <c r="BC31" s="8">
        <v>9</v>
      </c>
    </row>
    <row r="32" spans="1:55" ht="17.100000000000001">
      <c r="A32" s="5">
        <v>1186</v>
      </c>
      <c r="B32" s="6" t="s">
        <v>99</v>
      </c>
      <c r="C32" s="8" t="s">
        <v>224</v>
      </c>
      <c r="D32" s="8">
        <v>130376</v>
      </c>
      <c r="E32" s="8">
        <v>126147</v>
      </c>
      <c r="F32" s="8">
        <v>120112</v>
      </c>
      <c r="G32" s="8">
        <v>94813</v>
      </c>
      <c r="H32" s="8">
        <v>12</v>
      </c>
      <c r="I32" s="8">
        <v>12</v>
      </c>
      <c r="J32" s="8">
        <v>10</v>
      </c>
      <c r="K32" s="8">
        <v>10</v>
      </c>
      <c r="L32" s="8">
        <v>10</v>
      </c>
      <c r="M32" s="8">
        <v>5</v>
      </c>
      <c r="N32" s="8">
        <v>3</v>
      </c>
      <c r="O32" s="8">
        <v>0</v>
      </c>
      <c r="P32" s="8">
        <v>0</v>
      </c>
      <c r="Q32" s="8">
        <v>23970</v>
      </c>
      <c r="R32" s="8">
        <v>4860</v>
      </c>
      <c r="S32" s="8">
        <v>18848</v>
      </c>
      <c r="T32" s="8">
        <v>2080</v>
      </c>
      <c r="U32" s="8">
        <v>1118</v>
      </c>
      <c r="V32" s="8">
        <v>1173</v>
      </c>
      <c r="W32" s="8">
        <v>2367</v>
      </c>
      <c r="X32" s="8">
        <v>602</v>
      </c>
      <c r="Y32" s="8">
        <v>552</v>
      </c>
      <c r="Z32" s="8">
        <v>1300</v>
      </c>
      <c r="AA32" s="8">
        <v>199</v>
      </c>
      <c r="AB32" s="8">
        <v>977</v>
      </c>
      <c r="AC32" s="8">
        <v>45</v>
      </c>
      <c r="AD32" s="8">
        <v>788</v>
      </c>
      <c r="AE32" s="8">
        <v>14358</v>
      </c>
      <c r="AF32" s="8">
        <v>340</v>
      </c>
      <c r="AG32" s="8">
        <v>69848</v>
      </c>
      <c r="AH32" s="8">
        <v>61512</v>
      </c>
      <c r="AI32" s="8">
        <v>510</v>
      </c>
      <c r="AJ32" s="8">
        <v>577</v>
      </c>
      <c r="AK32" s="8">
        <v>59314</v>
      </c>
      <c r="AL32" s="8">
        <v>34428</v>
      </c>
      <c r="AM32" s="8">
        <v>160</v>
      </c>
      <c r="AN32" s="8">
        <v>16384</v>
      </c>
      <c r="AO32" s="8">
        <v>11059</v>
      </c>
      <c r="AP32" s="8">
        <v>4048</v>
      </c>
      <c r="AQ32" s="8">
        <v>14413</v>
      </c>
      <c r="AR32" s="8">
        <v>12623</v>
      </c>
      <c r="AS32" s="8">
        <v>1530</v>
      </c>
      <c r="AT32" s="8">
        <v>381</v>
      </c>
      <c r="AU32" s="8">
        <v>22096</v>
      </c>
      <c r="AV32" s="8">
        <v>1237</v>
      </c>
      <c r="AW32" s="8">
        <v>227</v>
      </c>
      <c r="AX32" s="8">
        <v>8455</v>
      </c>
      <c r="AY32" s="8">
        <v>520</v>
      </c>
      <c r="AZ32" s="8">
        <v>7606</v>
      </c>
      <c r="BA32" s="8">
        <v>12629</v>
      </c>
      <c r="BB32" s="8">
        <v>7694</v>
      </c>
      <c r="BC32" s="8">
        <v>208</v>
      </c>
    </row>
    <row r="33" spans="1:55" ht="17.100000000000001">
      <c r="A33" s="5">
        <v>1204</v>
      </c>
      <c r="B33" s="6" t="s">
        <v>100</v>
      </c>
      <c r="C33" s="8" t="s">
        <v>225</v>
      </c>
      <c r="D33" s="8">
        <v>129019</v>
      </c>
      <c r="E33" s="8">
        <v>125046</v>
      </c>
      <c r="F33" s="8">
        <v>121389</v>
      </c>
      <c r="G33" s="8">
        <v>85644</v>
      </c>
      <c r="H33" s="8">
        <v>95</v>
      </c>
      <c r="I33" s="8">
        <v>94</v>
      </c>
      <c r="J33" s="8">
        <v>89</v>
      </c>
      <c r="K33" s="8">
        <v>89</v>
      </c>
      <c r="L33" s="8">
        <v>89</v>
      </c>
      <c r="M33" s="8">
        <v>14</v>
      </c>
      <c r="N33" s="8">
        <v>68</v>
      </c>
      <c r="O33" s="8">
        <v>0</v>
      </c>
      <c r="P33" s="8">
        <v>1</v>
      </c>
      <c r="Q33" s="8">
        <v>22951</v>
      </c>
      <c r="R33" s="8">
        <v>4476</v>
      </c>
      <c r="S33" s="8">
        <v>18070</v>
      </c>
      <c r="T33" s="8">
        <v>2316</v>
      </c>
      <c r="U33" s="8">
        <v>5017</v>
      </c>
      <c r="V33" s="8">
        <v>5347</v>
      </c>
      <c r="W33" s="8">
        <v>2259</v>
      </c>
      <c r="X33" s="8">
        <v>1123</v>
      </c>
      <c r="Y33" s="8">
        <v>981</v>
      </c>
      <c r="Z33" s="8">
        <v>1831</v>
      </c>
      <c r="AA33" s="8">
        <v>641</v>
      </c>
      <c r="AB33" s="8">
        <v>1034</v>
      </c>
      <c r="AC33" s="8">
        <v>499</v>
      </c>
      <c r="AD33" s="8">
        <v>410</v>
      </c>
      <c r="AE33" s="8">
        <v>13158</v>
      </c>
      <c r="AF33" s="8">
        <v>120</v>
      </c>
      <c r="AG33" s="8">
        <v>62018</v>
      </c>
      <c r="AH33" s="8">
        <v>58887</v>
      </c>
      <c r="AI33" s="8">
        <v>1197</v>
      </c>
      <c r="AJ33" s="8">
        <v>1129</v>
      </c>
      <c r="AK33" s="8">
        <v>52400</v>
      </c>
      <c r="AL33" s="8">
        <v>35018</v>
      </c>
      <c r="AM33" s="8">
        <v>217</v>
      </c>
      <c r="AN33" s="8">
        <v>14679</v>
      </c>
      <c r="AO33" s="8">
        <v>5023</v>
      </c>
      <c r="AP33" s="8">
        <v>8154</v>
      </c>
      <c r="AQ33" s="8">
        <v>18292</v>
      </c>
      <c r="AR33" s="8">
        <v>18120</v>
      </c>
      <c r="AS33" s="8">
        <v>2379</v>
      </c>
      <c r="AT33" s="8">
        <v>1363</v>
      </c>
      <c r="AU33" s="8">
        <v>16555</v>
      </c>
      <c r="AV33" s="8">
        <v>2027</v>
      </c>
      <c r="AW33" s="8">
        <v>704</v>
      </c>
      <c r="AX33" s="8">
        <v>5055</v>
      </c>
      <c r="AY33" s="8">
        <v>726</v>
      </c>
      <c r="AZ33" s="8">
        <v>3941</v>
      </c>
      <c r="BA33" s="8">
        <v>10968</v>
      </c>
      <c r="BB33" s="8">
        <v>7112</v>
      </c>
      <c r="BC33" s="8">
        <v>32</v>
      </c>
    </row>
    <row r="34" spans="1:55" ht="33.950000000000003">
      <c r="A34" s="5">
        <v>1207</v>
      </c>
      <c r="B34" s="6" t="s">
        <v>101</v>
      </c>
      <c r="C34" s="8" t="s">
        <v>227</v>
      </c>
      <c r="D34" s="8">
        <v>82779</v>
      </c>
      <c r="E34" s="8">
        <v>76468</v>
      </c>
      <c r="F34" s="8">
        <v>75354</v>
      </c>
      <c r="G34" s="8">
        <v>43236</v>
      </c>
      <c r="H34" s="8">
        <v>549</v>
      </c>
      <c r="I34" s="8">
        <v>499</v>
      </c>
      <c r="J34" s="8">
        <v>439</v>
      </c>
      <c r="K34" s="8">
        <v>437</v>
      </c>
      <c r="L34" s="8">
        <v>417</v>
      </c>
      <c r="M34" s="8">
        <v>101</v>
      </c>
      <c r="N34" s="8">
        <v>220</v>
      </c>
      <c r="O34" s="8">
        <v>26</v>
      </c>
      <c r="P34" s="8">
        <v>8</v>
      </c>
      <c r="Q34" s="8">
        <v>21638</v>
      </c>
      <c r="R34" s="8">
        <v>12539</v>
      </c>
      <c r="S34" s="8">
        <v>8046</v>
      </c>
      <c r="T34" s="8">
        <v>656</v>
      </c>
      <c r="U34" s="8">
        <v>1027</v>
      </c>
      <c r="V34" s="8">
        <v>1316</v>
      </c>
      <c r="W34" s="8">
        <v>2187</v>
      </c>
      <c r="X34" s="8">
        <v>568</v>
      </c>
      <c r="Y34" s="8">
        <v>534</v>
      </c>
      <c r="Z34" s="8">
        <v>1305</v>
      </c>
      <c r="AA34" s="8">
        <v>309</v>
      </c>
      <c r="AB34" s="8">
        <v>763</v>
      </c>
      <c r="AC34" s="8">
        <v>101</v>
      </c>
      <c r="AD34" s="8">
        <v>558</v>
      </c>
      <c r="AE34" s="8">
        <v>4097</v>
      </c>
      <c r="AF34" s="8">
        <v>31</v>
      </c>
      <c r="AG34" s="8">
        <v>18168</v>
      </c>
      <c r="AH34" s="8">
        <v>14978</v>
      </c>
      <c r="AI34" s="8">
        <v>325</v>
      </c>
      <c r="AJ34" s="8">
        <v>76</v>
      </c>
      <c r="AK34" s="8">
        <v>13641</v>
      </c>
      <c r="AL34" s="8">
        <v>9594</v>
      </c>
      <c r="AM34" s="8">
        <v>376</v>
      </c>
      <c r="AN34" s="8">
        <v>5658</v>
      </c>
      <c r="AO34" s="8">
        <v>3292</v>
      </c>
      <c r="AP34" s="8">
        <v>2263</v>
      </c>
      <c r="AQ34" s="8">
        <v>2817</v>
      </c>
      <c r="AR34" s="8">
        <v>2708</v>
      </c>
      <c r="AS34" s="8">
        <v>3366</v>
      </c>
      <c r="AT34" s="8">
        <v>2439</v>
      </c>
      <c r="AU34" s="8">
        <v>3048</v>
      </c>
      <c r="AV34" s="8">
        <v>1553</v>
      </c>
      <c r="AW34" s="8">
        <v>1097</v>
      </c>
      <c r="AX34" s="8">
        <v>1384</v>
      </c>
      <c r="AY34" s="8">
        <v>255</v>
      </c>
      <c r="AZ34" s="8">
        <v>1108</v>
      </c>
      <c r="BA34" s="8">
        <v>1310</v>
      </c>
      <c r="BB34" s="8">
        <v>1071</v>
      </c>
      <c r="BC34" s="8">
        <v>57</v>
      </c>
    </row>
    <row r="35" spans="1:55" ht="17.100000000000001">
      <c r="A35" s="5">
        <v>1227</v>
      </c>
      <c r="B35" s="6" t="s">
        <v>103</v>
      </c>
      <c r="C35" s="8" t="s">
        <v>230</v>
      </c>
      <c r="D35" s="8">
        <v>149245</v>
      </c>
      <c r="E35" s="8">
        <v>146074</v>
      </c>
      <c r="F35" s="8">
        <v>145481</v>
      </c>
      <c r="G35" s="8">
        <v>135150</v>
      </c>
      <c r="H35" s="8">
        <v>37</v>
      </c>
      <c r="I35" s="8">
        <v>36</v>
      </c>
      <c r="J35" s="8">
        <v>33</v>
      </c>
      <c r="K35" s="8">
        <v>31</v>
      </c>
      <c r="L35" s="8">
        <v>30</v>
      </c>
      <c r="M35" s="8">
        <v>6</v>
      </c>
      <c r="N35" s="8">
        <v>18</v>
      </c>
      <c r="O35" s="8">
        <v>0</v>
      </c>
      <c r="P35" s="8">
        <v>0</v>
      </c>
      <c r="Q35" s="8">
        <v>49041</v>
      </c>
      <c r="R35" s="8">
        <v>6193</v>
      </c>
      <c r="S35" s="8">
        <v>41403</v>
      </c>
      <c r="T35" s="8">
        <v>4477</v>
      </c>
      <c r="U35" s="8">
        <v>5787</v>
      </c>
      <c r="V35" s="8">
        <v>7834</v>
      </c>
      <c r="W35" s="8">
        <v>8778</v>
      </c>
      <c r="X35" s="8">
        <v>2067</v>
      </c>
      <c r="Y35" s="8">
        <v>1389</v>
      </c>
      <c r="Z35" s="8">
        <v>2499</v>
      </c>
      <c r="AA35" s="8">
        <v>299</v>
      </c>
      <c r="AB35" s="8">
        <v>1924</v>
      </c>
      <c r="AC35" s="8">
        <v>440</v>
      </c>
      <c r="AD35" s="8">
        <v>1345</v>
      </c>
      <c r="AE35" s="8">
        <v>28939</v>
      </c>
      <c r="AF35" s="8">
        <v>285</v>
      </c>
      <c r="AG35" s="8">
        <v>85539</v>
      </c>
      <c r="AH35" s="8">
        <v>77590</v>
      </c>
      <c r="AI35" s="8">
        <v>344</v>
      </c>
      <c r="AJ35" s="8">
        <v>132</v>
      </c>
      <c r="AK35" s="8">
        <v>74877</v>
      </c>
      <c r="AL35" s="8">
        <v>57384</v>
      </c>
      <c r="AM35" s="8">
        <v>254</v>
      </c>
      <c r="AN35" s="8">
        <v>16496</v>
      </c>
      <c r="AO35" s="8">
        <v>5208</v>
      </c>
      <c r="AP35" s="8">
        <v>9764</v>
      </c>
      <c r="AQ35" s="8">
        <v>35449</v>
      </c>
      <c r="AR35" s="8">
        <v>34754</v>
      </c>
      <c r="AS35" s="8">
        <v>1904</v>
      </c>
      <c r="AT35" s="8">
        <v>581</v>
      </c>
      <c r="AU35" s="8">
        <v>14873</v>
      </c>
      <c r="AV35" s="8">
        <v>1406</v>
      </c>
      <c r="AW35" s="8">
        <v>341</v>
      </c>
      <c r="AX35" s="8">
        <v>3286</v>
      </c>
      <c r="AY35" s="8">
        <v>495</v>
      </c>
      <c r="AZ35" s="8">
        <v>2532</v>
      </c>
      <c r="BA35" s="8">
        <v>10397</v>
      </c>
      <c r="BB35" s="8">
        <v>5415</v>
      </c>
      <c r="BC35" s="8">
        <v>22</v>
      </c>
    </row>
    <row r="36" spans="1:55" ht="17.100000000000001">
      <c r="A36" s="5">
        <v>1235</v>
      </c>
      <c r="B36" s="6" t="s">
        <v>104</v>
      </c>
      <c r="C36" s="8" t="s">
        <v>231</v>
      </c>
      <c r="D36" s="8">
        <v>36749</v>
      </c>
      <c r="E36" s="8">
        <v>35528</v>
      </c>
      <c r="F36" s="8">
        <v>35018</v>
      </c>
      <c r="G36" s="8">
        <v>30431</v>
      </c>
      <c r="H36" s="8">
        <v>31</v>
      </c>
      <c r="I36" s="8">
        <v>31</v>
      </c>
      <c r="J36" s="8">
        <v>28</v>
      </c>
      <c r="K36" s="8">
        <v>28</v>
      </c>
      <c r="L36" s="8">
        <v>28</v>
      </c>
      <c r="M36" s="8">
        <v>10</v>
      </c>
      <c r="N36" s="8">
        <v>13</v>
      </c>
      <c r="O36" s="8">
        <v>0</v>
      </c>
      <c r="P36" s="8">
        <v>0</v>
      </c>
      <c r="Q36" s="8">
        <v>15334</v>
      </c>
      <c r="R36" s="8">
        <v>2031</v>
      </c>
      <c r="S36" s="8">
        <v>13003</v>
      </c>
      <c r="T36" s="8">
        <v>887</v>
      </c>
      <c r="U36" s="8">
        <v>2258</v>
      </c>
      <c r="V36" s="8">
        <v>3213</v>
      </c>
      <c r="W36" s="8">
        <v>1897</v>
      </c>
      <c r="X36" s="8">
        <v>273</v>
      </c>
      <c r="Y36" s="8">
        <v>254</v>
      </c>
      <c r="Z36" s="8">
        <v>737</v>
      </c>
      <c r="AA36" s="8">
        <v>161</v>
      </c>
      <c r="AB36" s="8">
        <v>489</v>
      </c>
      <c r="AC36" s="8">
        <v>137</v>
      </c>
      <c r="AD36" s="8">
        <v>226</v>
      </c>
      <c r="AE36" s="8">
        <v>9501</v>
      </c>
      <c r="AF36" s="8">
        <v>46</v>
      </c>
      <c r="AG36" s="8">
        <v>14869</v>
      </c>
      <c r="AH36" s="8">
        <v>12930</v>
      </c>
      <c r="AI36" s="8">
        <v>21</v>
      </c>
      <c r="AJ36" s="8">
        <v>45</v>
      </c>
      <c r="AK36" s="8">
        <v>12680</v>
      </c>
      <c r="AL36" s="8">
        <v>6439</v>
      </c>
      <c r="AM36" s="8">
        <v>44</v>
      </c>
      <c r="AN36" s="8">
        <v>2208</v>
      </c>
      <c r="AO36" s="8">
        <v>886</v>
      </c>
      <c r="AP36" s="8">
        <v>1091</v>
      </c>
      <c r="AQ36" s="8">
        <v>3551</v>
      </c>
      <c r="AR36" s="8">
        <v>3323</v>
      </c>
      <c r="AS36" s="8">
        <v>391</v>
      </c>
      <c r="AT36" s="8">
        <v>83</v>
      </c>
      <c r="AU36" s="8">
        <v>5725</v>
      </c>
      <c r="AV36" s="8">
        <v>516</v>
      </c>
      <c r="AW36" s="8">
        <v>98</v>
      </c>
      <c r="AX36" s="8">
        <v>2156</v>
      </c>
      <c r="AY36" s="8">
        <v>119</v>
      </c>
      <c r="AZ36" s="8">
        <v>1962</v>
      </c>
      <c r="BA36" s="8">
        <v>2943</v>
      </c>
      <c r="BB36" s="8">
        <v>1820</v>
      </c>
      <c r="BC36" s="8">
        <v>14</v>
      </c>
    </row>
    <row r="37" spans="1:55" ht="17.100000000000001">
      <c r="A37" s="5">
        <v>1306</v>
      </c>
      <c r="B37" s="6" t="s">
        <v>107</v>
      </c>
      <c r="C37" s="8" t="s">
        <v>235</v>
      </c>
      <c r="D37" s="8">
        <v>531658</v>
      </c>
      <c r="E37" s="8">
        <v>526326</v>
      </c>
      <c r="F37" s="8">
        <v>525070</v>
      </c>
      <c r="G37" s="8">
        <v>487834</v>
      </c>
      <c r="H37" s="8">
        <v>139</v>
      </c>
      <c r="I37" s="8">
        <v>133</v>
      </c>
      <c r="J37" s="8">
        <v>126</v>
      </c>
      <c r="K37" s="8">
        <v>125</v>
      </c>
      <c r="L37" s="8">
        <v>125</v>
      </c>
      <c r="M37" s="8">
        <v>78</v>
      </c>
      <c r="N37" s="8">
        <v>24</v>
      </c>
      <c r="O37" s="8">
        <v>0</v>
      </c>
      <c r="P37" s="8">
        <v>2</v>
      </c>
      <c r="Q37" s="8">
        <v>171694</v>
      </c>
      <c r="R37" s="8">
        <v>112989</v>
      </c>
      <c r="S37" s="8">
        <v>55629</v>
      </c>
      <c r="T37" s="8">
        <v>1089</v>
      </c>
      <c r="U37" s="8">
        <v>611</v>
      </c>
      <c r="V37" s="8">
        <v>4434</v>
      </c>
      <c r="W37" s="8">
        <v>9296</v>
      </c>
      <c r="X37" s="8">
        <v>5618</v>
      </c>
      <c r="Y37" s="8">
        <v>324</v>
      </c>
      <c r="Z37" s="8">
        <v>5802</v>
      </c>
      <c r="AA37" s="8">
        <v>481</v>
      </c>
      <c r="AB37" s="8">
        <v>4927</v>
      </c>
      <c r="AC37" s="8">
        <v>1379</v>
      </c>
      <c r="AD37" s="8">
        <v>3115</v>
      </c>
      <c r="AE37" s="8">
        <v>36700</v>
      </c>
      <c r="AF37" s="8">
        <v>5315</v>
      </c>
      <c r="AG37" s="8">
        <v>302687</v>
      </c>
      <c r="AH37" s="8">
        <v>242169</v>
      </c>
      <c r="AI37" s="8">
        <v>1037</v>
      </c>
      <c r="AJ37" s="8">
        <v>2106</v>
      </c>
      <c r="AK37" s="8">
        <v>234465</v>
      </c>
      <c r="AL37" s="8">
        <v>128474</v>
      </c>
      <c r="AM37" s="8">
        <v>335</v>
      </c>
      <c r="AN37" s="8">
        <v>20581</v>
      </c>
      <c r="AO37" s="8">
        <v>5278</v>
      </c>
      <c r="AP37" s="8">
        <v>14071</v>
      </c>
      <c r="AQ37" s="8">
        <v>97729</v>
      </c>
      <c r="AR37" s="8">
        <v>93950</v>
      </c>
      <c r="AS37" s="8">
        <v>2667</v>
      </c>
      <c r="AT37" s="8">
        <v>728</v>
      </c>
      <c r="AU37" s="8">
        <v>90620</v>
      </c>
      <c r="AV37" s="8">
        <v>4253</v>
      </c>
      <c r="AW37" s="8">
        <v>892</v>
      </c>
      <c r="AX37" s="8">
        <v>13048</v>
      </c>
      <c r="AY37" s="8">
        <v>4792</v>
      </c>
      <c r="AZ37" s="8">
        <v>7619</v>
      </c>
      <c r="BA37" s="8">
        <v>71923</v>
      </c>
      <c r="BB37" s="8">
        <v>46760</v>
      </c>
      <c r="BC37" s="8">
        <v>89</v>
      </c>
    </row>
    <row r="38" spans="1:55" ht="33.950000000000003">
      <c r="A38" s="5">
        <v>1309</v>
      </c>
      <c r="B38" s="6" t="s">
        <v>108</v>
      </c>
      <c r="C38" s="8" t="s">
        <v>236</v>
      </c>
      <c r="D38" s="8">
        <v>23831</v>
      </c>
      <c r="E38" s="8">
        <v>22120</v>
      </c>
      <c r="F38" s="8">
        <v>20852</v>
      </c>
      <c r="G38" s="8">
        <v>12950</v>
      </c>
      <c r="H38" s="8">
        <v>227</v>
      </c>
      <c r="I38" s="8">
        <v>227</v>
      </c>
      <c r="J38" s="8">
        <v>210</v>
      </c>
      <c r="K38" s="8">
        <v>210</v>
      </c>
      <c r="L38" s="8">
        <v>210</v>
      </c>
      <c r="M38" s="8">
        <v>29</v>
      </c>
      <c r="N38" s="8">
        <v>151</v>
      </c>
      <c r="O38" s="8">
        <v>12</v>
      </c>
      <c r="P38" s="8">
        <v>0</v>
      </c>
      <c r="Q38" s="8">
        <v>6366</v>
      </c>
      <c r="R38" s="8">
        <v>777</v>
      </c>
      <c r="S38" s="8">
        <v>5320</v>
      </c>
      <c r="T38" s="8">
        <v>170</v>
      </c>
      <c r="U38" s="8">
        <v>157</v>
      </c>
      <c r="V38" s="8">
        <v>357</v>
      </c>
      <c r="W38" s="8">
        <v>2174</v>
      </c>
      <c r="X38" s="8">
        <v>119</v>
      </c>
      <c r="Y38" s="8">
        <v>90</v>
      </c>
      <c r="Z38" s="8">
        <v>1120</v>
      </c>
      <c r="AA38" s="8">
        <v>146</v>
      </c>
      <c r="AB38" s="8">
        <v>864</v>
      </c>
      <c r="AC38" s="8">
        <v>18</v>
      </c>
      <c r="AD38" s="8">
        <v>805</v>
      </c>
      <c r="AE38" s="8">
        <v>1636</v>
      </c>
      <c r="AF38" s="8">
        <v>8</v>
      </c>
      <c r="AG38" s="8">
        <v>6169</v>
      </c>
      <c r="AH38" s="8">
        <v>5589</v>
      </c>
      <c r="AI38" s="8">
        <v>40</v>
      </c>
      <c r="AJ38" s="8">
        <v>53</v>
      </c>
      <c r="AK38" s="8">
        <v>5284</v>
      </c>
      <c r="AL38" s="8">
        <v>2825</v>
      </c>
      <c r="AM38" s="8">
        <v>19</v>
      </c>
      <c r="AN38" s="8">
        <v>829</v>
      </c>
      <c r="AO38" s="8">
        <v>355</v>
      </c>
      <c r="AP38" s="8">
        <v>423</v>
      </c>
      <c r="AQ38" s="8">
        <v>1907</v>
      </c>
      <c r="AR38" s="8">
        <v>1895</v>
      </c>
      <c r="AS38" s="8">
        <v>524</v>
      </c>
      <c r="AT38" s="8">
        <v>68</v>
      </c>
      <c r="AU38" s="8">
        <v>2047</v>
      </c>
      <c r="AV38" s="8">
        <v>432</v>
      </c>
      <c r="AW38" s="8">
        <v>70</v>
      </c>
      <c r="AX38" s="8">
        <v>575</v>
      </c>
      <c r="AY38" s="8">
        <v>56</v>
      </c>
      <c r="AZ38" s="8">
        <v>503</v>
      </c>
      <c r="BA38" s="8">
        <v>1411</v>
      </c>
      <c r="BB38" s="8">
        <v>886</v>
      </c>
      <c r="BC38" s="8">
        <v>23</v>
      </c>
    </row>
    <row r="39" spans="1:55" ht="33.950000000000003">
      <c r="A39" s="5">
        <v>1315</v>
      </c>
      <c r="B39" s="6" t="s">
        <v>109</v>
      </c>
      <c r="C39" s="8" t="s">
        <v>237</v>
      </c>
      <c r="D39" s="8">
        <v>150567</v>
      </c>
      <c r="E39" s="8">
        <v>146792</v>
      </c>
      <c r="F39" s="8">
        <v>145799</v>
      </c>
      <c r="G39" s="8">
        <v>118434</v>
      </c>
      <c r="H39" s="8">
        <v>126</v>
      </c>
      <c r="I39" s="8">
        <v>125</v>
      </c>
      <c r="J39" s="8">
        <v>118</v>
      </c>
      <c r="K39" s="8">
        <v>118</v>
      </c>
      <c r="L39" s="8">
        <v>118</v>
      </c>
      <c r="M39" s="8">
        <v>54</v>
      </c>
      <c r="N39" s="8">
        <v>41</v>
      </c>
      <c r="O39" s="8">
        <v>0</v>
      </c>
      <c r="P39" s="8">
        <v>1</v>
      </c>
      <c r="Q39" s="8">
        <v>52054</v>
      </c>
      <c r="R39" s="8">
        <v>5658</v>
      </c>
      <c r="S39" s="8">
        <v>45748</v>
      </c>
      <c r="T39" s="8">
        <v>1080</v>
      </c>
      <c r="U39" s="8">
        <v>524</v>
      </c>
      <c r="V39" s="8">
        <v>1934</v>
      </c>
      <c r="W39" s="8">
        <v>25288</v>
      </c>
      <c r="X39" s="8">
        <v>4227</v>
      </c>
      <c r="Y39" s="8">
        <v>4009</v>
      </c>
      <c r="Z39" s="8">
        <v>4037</v>
      </c>
      <c r="AA39" s="8">
        <v>501</v>
      </c>
      <c r="AB39" s="8">
        <v>3222</v>
      </c>
      <c r="AC39" s="8">
        <v>146</v>
      </c>
      <c r="AD39" s="8">
        <v>2937</v>
      </c>
      <c r="AE39" s="8">
        <v>14644</v>
      </c>
      <c r="AF39" s="8">
        <v>276</v>
      </c>
      <c r="AG39" s="8">
        <v>65345</v>
      </c>
      <c r="AH39" s="8">
        <v>61533</v>
      </c>
      <c r="AI39" s="8">
        <v>242</v>
      </c>
      <c r="AJ39" s="8">
        <v>188</v>
      </c>
      <c r="AK39" s="8">
        <v>59978</v>
      </c>
      <c r="AL39" s="8">
        <v>41237</v>
      </c>
      <c r="AM39" s="8">
        <v>200</v>
      </c>
      <c r="AN39" s="8">
        <v>25588</v>
      </c>
      <c r="AO39" s="8">
        <v>12332</v>
      </c>
      <c r="AP39" s="8">
        <v>10652</v>
      </c>
      <c r="AQ39" s="8">
        <v>11507</v>
      </c>
      <c r="AR39" s="8">
        <v>10882</v>
      </c>
      <c r="AS39" s="8">
        <v>1854</v>
      </c>
      <c r="AT39" s="8">
        <v>993</v>
      </c>
      <c r="AU39" s="8">
        <v>15265</v>
      </c>
      <c r="AV39" s="8">
        <v>1251</v>
      </c>
      <c r="AW39" s="8">
        <v>415</v>
      </c>
      <c r="AX39" s="8">
        <v>7703</v>
      </c>
      <c r="AY39" s="8">
        <v>603</v>
      </c>
      <c r="AZ39" s="8">
        <v>6685</v>
      </c>
      <c r="BA39" s="8">
        <v>6738</v>
      </c>
      <c r="BB39" s="8">
        <v>3598</v>
      </c>
      <c r="BC39" s="8">
        <v>10</v>
      </c>
    </row>
    <row r="40" spans="1:55" ht="33.950000000000003">
      <c r="A40" s="5">
        <v>1321</v>
      </c>
      <c r="B40" s="6" t="s">
        <v>110</v>
      </c>
      <c r="C40" s="8" t="s">
        <v>238</v>
      </c>
      <c r="D40" s="8">
        <v>202436</v>
      </c>
      <c r="E40" s="8">
        <v>196874</v>
      </c>
      <c r="F40" s="8">
        <v>194481</v>
      </c>
      <c r="G40" s="8">
        <v>175913</v>
      </c>
      <c r="H40" s="8">
        <v>145</v>
      </c>
      <c r="I40" s="8">
        <v>143</v>
      </c>
      <c r="J40" s="8">
        <v>134</v>
      </c>
      <c r="K40" s="8">
        <v>133</v>
      </c>
      <c r="L40" s="8">
        <v>133</v>
      </c>
      <c r="M40" s="8">
        <v>33</v>
      </c>
      <c r="N40" s="8">
        <v>69</v>
      </c>
      <c r="O40" s="8">
        <v>0</v>
      </c>
      <c r="P40" s="8">
        <v>3</v>
      </c>
      <c r="Q40" s="8">
        <v>82442</v>
      </c>
      <c r="R40" s="8">
        <v>17909</v>
      </c>
      <c r="S40" s="8">
        <v>62222</v>
      </c>
      <c r="T40" s="8">
        <v>5796</v>
      </c>
      <c r="U40" s="8">
        <v>1624</v>
      </c>
      <c r="V40" s="8">
        <v>2526</v>
      </c>
      <c r="W40" s="8">
        <v>27295</v>
      </c>
      <c r="X40" s="8">
        <v>6838</v>
      </c>
      <c r="Y40" s="8">
        <v>3</v>
      </c>
      <c r="Z40" s="8">
        <v>5248</v>
      </c>
      <c r="AA40" s="8">
        <v>945</v>
      </c>
      <c r="AB40" s="8">
        <v>4004</v>
      </c>
      <c r="AC40" s="8">
        <v>470</v>
      </c>
      <c r="AD40" s="8">
        <v>3320</v>
      </c>
      <c r="AE40" s="8">
        <v>27206</v>
      </c>
      <c r="AF40" s="8">
        <v>296</v>
      </c>
      <c r="AG40" s="8">
        <v>92854</v>
      </c>
      <c r="AH40" s="8">
        <v>85912</v>
      </c>
      <c r="AI40" s="8">
        <v>493</v>
      </c>
      <c r="AJ40" s="8">
        <v>208</v>
      </c>
      <c r="AK40" s="8">
        <v>83556</v>
      </c>
      <c r="AL40" s="8">
        <v>61612</v>
      </c>
      <c r="AM40" s="8">
        <v>151</v>
      </c>
      <c r="AN40" s="8">
        <v>42521</v>
      </c>
      <c r="AO40" s="8">
        <v>16184</v>
      </c>
      <c r="AP40" s="8">
        <v>21923</v>
      </c>
      <c r="AQ40" s="8">
        <v>14650</v>
      </c>
      <c r="AR40" s="8">
        <v>14519</v>
      </c>
      <c r="AS40" s="8">
        <v>3570</v>
      </c>
      <c r="AT40" s="8">
        <v>1428</v>
      </c>
      <c r="AU40" s="8">
        <v>19343</v>
      </c>
      <c r="AV40" s="8">
        <v>1382</v>
      </c>
      <c r="AW40" s="8">
        <v>542</v>
      </c>
      <c r="AX40" s="8">
        <v>9358</v>
      </c>
      <c r="AY40" s="8">
        <v>1720</v>
      </c>
      <c r="AZ40" s="8">
        <v>6892</v>
      </c>
      <c r="BA40" s="8">
        <v>8790</v>
      </c>
      <c r="BB40" s="8">
        <v>6449</v>
      </c>
      <c r="BC40" s="8">
        <v>101</v>
      </c>
    </row>
    <row r="42" spans="1:55" s="11" customFormat="1" ht="17.100000000000001">
      <c r="A42" s="9">
        <v>1156</v>
      </c>
      <c r="B42" s="10" t="s">
        <v>85</v>
      </c>
      <c r="C42" s="11" t="s">
        <v>210</v>
      </c>
      <c r="D42" s="11">
        <v>94953</v>
      </c>
      <c r="E42" s="11">
        <v>87185</v>
      </c>
      <c r="F42" s="11">
        <v>85970</v>
      </c>
      <c r="G42" s="11">
        <v>55444</v>
      </c>
      <c r="H42" s="11">
        <v>641</v>
      </c>
      <c r="I42" s="11">
        <v>615</v>
      </c>
      <c r="J42" s="11">
        <v>564</v>
      </c>
      <c r="K42" s="11">
        <v>557</v>
      </c>
      <c r="L42" s="11">
        <v>549</v>
      </c>
      <c r="M42" s="11">
        <v>152</v>
      </c>
      <c r="N42" s="11">
        <v>334</v>
      </c>
      <c r="O42" s="11">
        <v>64</v>
      </c>
      <c r="P42" s="11">
        <v>12</v>
      </c>
      <c r="Q42" s="11">
        <v>26662</v>
      </c>
      <c r="R42" s="11">
        <v>6097</v>
      </c>
      <c r="S42" s="11">
        <v>19150</v>
      </c>
      <c r="T42" s="11">
        <v>1374</v>
      </c>
      <c r="U42" s="11">
        <v>2846</v>
      </c>
      <c r="V42" s="11">
        <v>2831</v>
      </c>
      <c r="W42" s="11">
        <v>9192</v>
      </c>
      <c r="X42" s="11">
        <v>4548</v>
      </c>
      <c r="Y42" s="11">
        <v>4358</v>
      </c>
      <c r="Z42" s="11">
        <v>2090</v>
      </c>
      <c r="AA42" s="11">
        <v>269</v>
      </c>
      <c r="AB42" s="11">
        <v>1412</v>
      </c>
      <c r="AC42" s="11">
        <v>172</v>
      </c>
      <c r="AD42" s="11">
        <v>1162</v>
      </c>
      <c r="AE42" s="11">
        <v>6759</v>
      </c>
      <c r="AF42" s="11">
        <v>72</v>
      </c>
      <c r="AG42" s="11">
        <v>26319</v>
      </c>
      <c r="AH42" s="11">
        <v>24480</v>
      </c>
      <c r="AI42" s="11">
        <v>319</v>
      </c>
      <c r="AJ42" s="11">
        <v>271</v>
      </c>
      <c r="AK42" s="11">
        <v>22811</v>
      </c>
      <c r="AL42" s="11">
        <v>18172</v>
      </c>
      <c r="AM42" s="11">
        <v>338</v>
      </c>
      <c r="AN42" s="11">
        <v>8746</v>
      </c>
      <c r="AO42" s="11">
        <v>4190</v>
      </c>
      <c r="AP42" s="11">
        <v>3967</v>
      </c>
      <c r="AQ42" s="11">
        <v>7403</v>
      </c>
      <c r="AR42" s="11">
        <v>7256</v>
      </c>
      <c r="AS42" s="11">
        <v>4061</v>
      </c>
      <c r="AT42" s="11">
        <v>2269</v>
      </c>
      <c r="AU42" s="11">
        <v>3721</v>
      </c>
      <c r="AV42" s="11">
        <v>2150</v>
      </c>
      <c r="AW42" s="11">
        <v>963</v>
      </c>
      <c r="AX42" s="11">
        <v>766</v>
      </c>
      <c r="AY42" s="11">
        <v>226</v>
      </c>
      <c r="AZ42" s="11">
        <v>519</v>
      </c>
      <c r="BA42" s="11">
        <v>2396</v>
      </c>
      <c r="BB42" s="11">
        <v>1824</v>
      </c>
      <c r="BC42" s="11">
        <v>15</v>
      </c>
    </row>
    <row r="43" spans="1:55" s="11" customFormat="1" ht="51">
      <c r="A43" s="9">
        <v>1158</v>
      </c>
      <c r="B43" s="10" t="s">
        <v>87</v>
      </c>
      <c r="C43" s="11" t="s">
        <v>212</v>
      </c>
      <c r="D43" s="11">
        <v>214097</v>
      </c>
      <c r="E43" s="11">
        <v>190556</v>
      </c>
      <c r="F43" s="11">
        <v>189560</v>
      </c>
      <c r="G43" s="11">
        <v>124663</v>
      </c>
      <c r="H43" s="11">
        <v>241</v>
      </c>
      <c r="I43" s="11">
        <v>235</v>
      </c>
      <c r="J43" s="11">
        <v>222</v>
      </c>
      <c r="K43" s="11">
        <v>217</v>
      </c>
      <c r="L43" s="11">
        <v>208</v>
      </c>
      <c r="M43" s="11">
        <v>56</v>
      </c>
      <c r="N43" s="11">
        <v>76</v>
      </c>
      <c r="O43" s="11">
        <v>1</v>
      </c>
      <c r="P43" s="11">
        <v>1</v>
      </c>
      <c r="Q43" s="11">
        <v>48445</v>
      </c>
      <c r="R43" s="11">
        <v>6964</v>
      </c>
      <c r="S43" s="11">
        <v>40514</v>
      </c>
      <c r="T43" s="11">
        <v>2326</v>
      </c>
      <c r="U43" s="11">
        <v>2358</v>
      </c>
      <c r="V43" s="11">
        <v>3722</v>
      </c>
      <c r="W43" s="11">
        <v>15650</v>
      </c>
      <c r="X43" s="11">
        <v>4558</v>
      </c>
      <c r="Y43" s="11">
        <v>4266</v>
      </c>
      <c r="Z43" s="11">
        <v>4097</v>
      </c>
      <c r="AA43" s="11">
        <v>609</v>
      </c>
      <c r="AB43" s="11">
        <v>3187</v>
      </c>
      <c r="AC43" s="11">
        <v>236</v>
      </c>
      <c r="AD43" s="11">
        <v>2702</v>
      </c>
      <c r="AE43" s="11">
        <v>17033</v>
      </c>
      <c r="AF43" s="11">
        <v>175</v>
      </c>
      <c r="AG43" s="11">
        <v>72912</v>
      </c>
      <c r="AH43" s="11">
        <v>66004</v>
      </c>
      <c r="AI43" s="11">
        <v>1116</v>
      </c>
      <c r="AJ43" s="11">
        <v>2749</v>
      </c>
      <c r="AK43" s="11">
        <v>57409</v>
      </c>
      <c r="AL43" s="11">
        <v>36438</v>
      </c>
      <c r="AM43" s="11">
        <v>283</v>
      </c>
      <c r="AN43" s="11">
        <v>24524</v>
      </c>
      <c r="AO43" s="11">
        <v>11148</v>
      </c>
      <c r="AP43" s="11">
        <v>12017</v>
      </c>
      <c r="AQ43" s="11">
        <v>8734</v>
      </c>
      <c r="AR43" s="11">
        <v>8574</v>
      </c>
      <c r="AS43" s="11">
        <v>8198</v>
      </c>
      <c r="AT43" s="11">
        <v>5403</v>
      </c>
      <c r="AU43" s="11">
        <v>17653</v>
      </c>
      <c r="AV43" s="11">
        <v>5720</v>
      </c>
      <c r="AW43" s="11">
        <v>3767</v>
      </c>
      <c r="AX43" s="11">
        <v>12292</v>
      </c>
      <c r="AY43" s="11">
        <v>1419</v>
      </c>
      <c r="AZ43" s="11">
        <v>10653</v>
      </c>
      <c r="BA43" s="11">
        <v>4037</v>
      </c>
      <c r="BB43" s="11">
        <v>3143</v>
      </c>
      <c r="BC43" s="11">
        <v>48</v>
      </c>
    </row>
    <row r="44" spans="1:55" s="11" customFormat="1" ht="33.950000000000003">
      <c r="A44" s="9">
        <v>1040</v>
      </c>
      <c r="B44" s="10" t="s">
        <v>54</v>
      </c>
      <c r="C44" s="11" t="s">
        <v>183</v>
      </c>
      <c r="D44" s="11">
        <v>69173</v>
      </c>
      <c r="E44" s="11">
        <v>66483</v>
      </c>
      <c r="F44" s="11">
        <v>62058</v>
      </c>
      <c r="G44" s="11">
        <v>39796</v>
      </c>
      <c r="H44" s="11">
        <v>913</v>
      </c>
      <c r="I44" s="11">
        <v>890</v>
      </c>
      <c r="J44" s="11">
        <v>792</v>
      </c>
      <c r="K44" s="11">
        <v>791</v>
      </c>
      <c r="L44" s="11">
        <v>788</v>
      </c>
      <c r="M44" s="11">
        <v>157</v>
      </c>
      <c r="N44" s="11">
        <v>534</v>
      </c>
      <c r="O44" s="11">
        <v>53</v>
      </c>
      <c r="P44" s="11">
        <v>13</v>
      </c>
      <c r="Q44" s="11">
        <v>22630</v>
      </c>
      <c r="R44" s="11">
        <v>2121</v>
      </c>
      <c r="S44" s="11">
        <v>20291</v>
      </c>
      <c r="T44" s="11">
        <v>984</v>
      </c>
      <c r="U44" s="11">
        <v>1013</v>
      </c>
      <c r="V44" s="11">
        <v>999</v>
      </c>
      <c r="W44" s="11">
        <v>12056</v>
      </c>
      <c r="X44" s="11">
        <v>3069</v>
      </c>
      <c r="Y44" s="11">
        <v>3013</v>
      </c>
      <c r="Z44" s="11">
        <v>3179</v>
      </c>
      <c r="AA44" s="11">
        <v>436</v>
      </c>
      <c r="AB44" s="11">
        <v>2357</v>
      </c>
      <c r="AC44" s="11">
        <v>75</v>
      </c>
      <c r="AD44" s="11">
        <v>1955</v>
      </c>
      <c r="AE44" s="11">
        <v>3783</v>
      </c>
      <c r="AF44" s="11">
        <v>48</v>
      </c>
      <c r="AG44" s="11">
        <v>15299</v>
      </c>
      <c r="AH44" s="11">
        <v>14780</v>
      </c>
      <c r="AI44" s="11">
        <v>191</v>
      </c>
      <c r="AJ44" s="11">
        <v>288</v>
      </c>
      <c r="AK44" s="11">
        <v>13461</v>
      </c>
      <c r="AL44" s="11">
        <v>7442</v>
      </c>
      <c r="AM44" s="11">
        <v>36</v>
      </c>
      <c r="AN44" s="11">
        <v>4594</v>
      </c>
      <c r="AO44" s="11">
        <v>1297</v>
      </c>
      <c r="AP44" s="11">
        <v>2954</v>
      </c>
      <c r="AQ44" s="11">
        <v>2204</v>
      </c>
      <c r="AR44" s="11">
        <v>2186</v>
      </c>
      <c r="AS44" s="11">
        <v>664</v>
      </c>
      <c r="AT44" s="11">
        <v>205</v>
      </c>
      <c r="AU44" s="11">
        <v>5013</v>
      </c>
      <c r="AV44" s="11">
        <v>1756</v>
      </c>
      <c r="AW44" s="11">
        <v>119</v>
      </c>
      <c r="AX44" s="11">
        <v>1009</v>
      </c>
      <c r="AY44" s="11">
        <v>587</v>
      </c>
      <c r="AZ44" s="11">
        <v>351</v>
      </c>
      <c r="BA44" s="11">
        <v>3640</v>
      </c>
      <c r="BB44" s="11">
        <v>2576</v>
      </c>
      <c r="BC44" s="11">
        <v>7</v>
      </c>
    </row>
    <row r="45" spans="1:55" s="11" customFormat="1" ht="33.950000000000003">
      <c r="A45" s="9">
        <v>1154</v>
      </c>
      <c r="B45" s="10" t="s">
        <v>83</v>
      </c>
      <c r="C45" s="11" t="s">
        <v>208</v>
      </c>
      <c r="D45" s="11">
        <v>105939</v>
      </c>
      <c r="E45" s="11">
        <v>97892</v>
      </c>
      <c r="F45" s="11">
        <v>91684</v>
      </c>
      <c r="G45" s="11">
        <v>60528</v>
      </c>
      <c r="H45" s="11">
        <v>335</v>
      </c>
      <c r="I45" s="11">
        <v>321</v>
      </c>
      <c r="J45" s="11">
        <v>308</v>
      </c>
      <c r="K45" s="11">
        <v>303</v>
      </c>
      <c r="L45" s="11">
        <v>302</v>
      </c>
      <c r="M45" s="11">
        <v>106</v>
      </c>
      <c r="N45" s="11">
        <v>134</v>
      </c>
      <c r="O45" s="11">
        <v>2</v>
      </c>
      <c r="P45" s="11">
        <v>3</v>
      </c>
      <c r="Q45" s="11">
        <v>32196</v>
      </c>
      <c r="R45" s="11">
        <v>7484</v>
      </c>
      <c r="S45" s="11">
        <v>23914</v>
      </c>
      <c r="T45" s="11">
        <v>1421</v>
      </c>
      <c r="U45" s="11">
        <v>1744</v>
      </c>
      <c r="V45" s="11">
        <v>3775</v>
      </c>
      <c r="W45" s="11">
        <v>8938</v>
      </c>
      <c r="X45" s="11">
        <v>1834</v>
      </c>
      <c r="Y45" s="11">
        <v>1801</v>
      </c>
      <c r="Z45" s="11">
        <v>4384</v>
      </c>
      <c r="AA45" s="11">
        <v>399</v>
      </c>
      <c r="AB45" s="11">
        <v>2854</v>
      </c>
      <c r="AC45" s="11">
        <v>568</v>
      </c>
      <c r="AD45" s="11">
        <v>1902</v>
      </c>
      <c r="AE45" s="11">
        <v>8792</v>
      </c>
      <c r="AF45" s="11">
        <v>45</v>
      </c>
      <c r="AG45" s="11">
        <v>27484</v>
      </c>
      <c r="AH45" s="11">
        <v>25403</v>
      </c>
      <c r="AI45" s="11">
        <v>396</v>
      </c>
      <c r="AJ45" s="11">
        <v>217</v>
      </c>
      <c r="AK45" s="11">
        <v>23782</v>
      </c>
      <c r="AL45" s="11">
        <v>16705</v>
      </c>
      <c r="AM45" s="11">
        <v>228</v>
      </c>
      <c r="AN45" s="11">
        <v>6381</v>
      </c>
      <c r="AO45" s="11">
        <v>1479</v>
      </c>
      <c r="AP45" s="11">
        <v>4704</v>
      </c>
      <c r="AQ45" s="11">
        <v>9085</v>
      </c>
      <c r="AR45" s="11">
        <v>8302</v>
      </c>
      <c r="AS45" s="11">
        <v>3522</v>
      </c>
      <c r="AT45" s="11">
        <v>1031</v>
      </c>
      <c r="AU45" s="11">
        <v>6384</v>
      </c>
      <c r="AV45" s="11">
        <v>1591</v>
      </c>
      <c r="AW45" s="11">
        <v>223</v>
      </c>
      <c r="AX45" s="11">
        <v>1200</v>
      </c>
      <c r="AY45" s="11">
        <v>419</v>
      </c>
      <c r="AZ45" s="11">
        <v>718</v>
      </c>
      <c r="BA45" s="11">
        <v>4897</v>
      </c>
      <c r="BB45" s="11">
        <v>2190</v>
      </c>
      <c r="BC45" s="11">
        <v>87</v>
      </c>
    </row>
    <row r="46" spans="1:55" s="11" customFormat="1" ht="17.100000000000001">
      <c r="A46" s="9">
        <v>1046</v>
      </c>
      <c r="B46" s="10" t="s">
        <v>56</v>
      </c>
      <c r="C46" s="11" t="s">
        <v>184</v>
      </c>
      <c r="D46" s="11">
        <v>56307</v>
      </c>
      <c r="E46" s="11">
        <v>54235</v>
      </c>
      <c r="F46" s="11">
        <v>51105</v>
      </c>
      <c r="G46" s="11">
        <v>22098</v>
      </c>
      <c r="H46" s="11">
        <v>517</v>
      </c>
      <c r="I46" s="11">
        <v>514</v>
      </c>
      <c r="J46" s="11">
        <v>504</v>
      </c>
      <c r="K46" s="11">
        <v>504</v>
      </c>
      <c r="L46" s="11">
        <v>504</v>
      </c>
      <c r="M46" s="11">
        <v>189</v>
      </c>
      <c r="N46" s="11">
        <v>227</v>
      </c>
      <c r="O46" s="11">
        <v>0</v>
      </c>
      <c r="P46" s="11">
        <v>3</v>
      </c>
      <c r="Q46" s="11">
        <v>12597</v>
      </c>
      <c r="R46" s="11">
        <v>2186</v>
      </c>
      <c r="S46" s="11">
        <v>10164</v>
      </c>
      <c r="T46" s="11">
        <v>291</v>
      </c>
      <c r="U46" s="11">
        <v>61</v>
      </c>
      <c r="V46" s="11">
        <v>282</v>
      </c>
      <c r="W46" s="11">
        <v>3959</v>
      </c>
      <c r="X46" s="11">
        <v>933</v>
      </c>
      <c r="Y46" s="11">
        <v>881</v>
      </c>
      <c r="Z46" s="11">
        <v>3178</v>
      </c>
      <c r="AA46" s="11">
        <v>335</v>
      </c>
      <c r="AB46" s="11">
        <v>2062</v>
      </c>
      <c r="AC46" s="11">
        <v>35</v>
      </c>
      <c r="AD46" s="11">
        <v>1962</v>
      </c>
      <c r="AE46" s="11">
        <v>2148</v>
      </c>
      <c r="AF46" s="11">
        <v>14</v>
      </c>
      <c r="AG46" s="11">
        <v>8581</v>
      </c>
      <c r="AH46" s="11">
        <v>8229</v>
      </c>
      <c r="AI46" s="11">
        <v>43</v>
      </c>
      <c r="AJ46" s="11">
        <v>38</v>
      </c>
      <c r="AK46" s="11">
        <v>7908</v>
      </c>
      <c r="AL46" s="11">
        <v>2686</v>
      </c>
      <c r="AM46" s="11">
        <v>17</v>
      </c>
      <c r="AN46" s="11">
        <v>1511</v>
      </c>
      <c r="AO46" s="11">
        <v>151</v>
      </c>
      <c r="AP46" s="11">
        <v>1271</v>
      </c>
      <c r="AQ46" s="11">
        <v>1026</v>
      </c>
      <c r="AR46" s="11">
        <v>1019</v>
      </c>
      <c r="AS46" s="11">
        <v>314</v>
      </c>
      <c r="AT46" s="11">
        <v>115</v>
      </c>
      <c r="AU46" s="11">
        <v>4848</v>
      </c>
      <c r="AV46" s="11">
        <v>1584</v>
      </c>
      <c r="AW46" s="11">
        <v>153</v>
      </c>
      <c r="AX46" s="11">
        <v>1063</v>
      </c>
      <c r="AY46" s="11">
        <v>433</v>
      </c>
      <c r="AZ46" s="11">
        <v>543</v>
      </c>
      <c r="BA46" s="11">
        <v>3560</v>
      </c>
      <c r="BB46" s="11">
        <v>3103</v>
      </c>
      <c r="BC46" s="11">
        <v>9</v>
      </c>
    </row>
    <row r="47" spans="1:55" s="11" customFormat="1" ht="33.950000000000003">
      <c r="A47" s="9">
        <v>1033</v>
      </c>
      <c r="B47" s="10" t="s">
        <v>51</v>
      </c>
      <c r="C47" s="11" t="s">
        <v>181</v>
      </c>
      <c r="D47" s="11">
        <v>128942</v>
      </c>
      <c r="E47" s="11">
        <v>125796</v>
      </c>
      <c r="F47" s="11">
        <v>122517</v>
      </c>
      <c r="G47" s="11">
        <v>55016</v>
      </c>
      <c r="H47" s="11">
        <v>301</v>
      </c>
      <c r="I47" s="11">
        <v>298</v>
      </c>
      <c r="J47" s="11">
        <v>283</v>
      </c>
      <c r="K47" s="11">
        <v>281</v>
      </c>
      <c r="L47" s="11">
        <v>280</v>
      </c>
      <c r="M47" s="11">
        <v>108</v>
      </c>
      <c r="N47" s="11">
        <v>26</v>
      </c>
      <c r="O47" s="11">
        <v>0</v>
      </c>
      <c r="P47" s="11">
        <v>0</v>
      </c>
      <c r="Q47" s="11">
        <v>39045</v>
      </c>
      <c r="R47" s="11">
        <v>4140</v>
      </c>
      <c r="S47" s="11">
        <v>33986</v>
      </c>
      <c r="T47" s="11">
        <v>1626</v>
      </c>
      <c r="U47" s="11">
        <v>2000</v>
      </c>
      <c r="V47" s="11">
        <v>4095</v>
      </c>
      <c r="W47" s="11">
        <v>14520</v>
      </c>
      <c r="X47" s="11">
        <v>1992</v>
      </c>
      <c r="Y47" s="11">
        <v>1773</v>
      </c>
      <c r="Z47" s="11">
        <v>6444</v>
      </c>
      <c r="AA47" s="11">
        <v>629</v>
      </c>
      <c r="AB47" s="11">
        <v>4481</v>
      </c>
      <c r="AC47" s="11">
        <v>135</v>
      </c>
      <c r="AD47" s="11">
        <v>4076</v>
      </c>
      <c r="AE47" s="11">
        <v>10491</v>
      </c>
      <c r="AF47" s="11">
        <v>85</v>
      </c>
      <c r="AG47" s="11">
        <v>15102</v>
      </c>
      <c r="AH47" s="11">
        <v>13977</v>
      </c>
      <c r="AI47" s="11">
        <v>190</v>
      </c>
      <c r="AJ47" s="11">
        <v>90</v>
      </c>
      <c r="AK47" s="11">
        <v>13318</v>
      </c>
      <c r="AL47" s="11">
        <v>7793</v>
      </c>
      <c r="AM47" s="11">
        <v>38</v>
      </c>
      <c r="AN47" s="11">
        <v>1699</v>
      </c>
      <c r="AO47" s="11">
        <v>286</v>
      </c>
      <c r="AP47" s="11">
        <v>1342</v>
      </c>
      <c r="AQ47" s="11">
        <v>5530</v>
      </c>
      <c r="AR47" s="11">
        <v>5493</v>
      </c>
      <c r="AS47" s="11">
        <v>1408</v>
      </c>
      <c r="AT47" s="11">
        <v>199</v>
      </c>
      <c r="AU47" s="11">
        <v>5054</v>
      </c>
      <c r="AV47" s="11">
        <v>2254</v>
      </c>
      <c r="AW47" s="11">
        <v>122</v>
      </c>
      <c r="AX47" s="11">
        <v>345</v>
      </c>
      <c r="AY47" s="11">
        <v>241</v>
      </c>
      <c r="AZ47" s="11">
        <v>81</v>
      </c>
      <c r="BA47" s="11">
        <v>4510</v>
      </c>
      <c r="BB47" s="11">
        <v>3052</v>
      </c>
      <c r="BC47" s="11">
        <v>68</v>
      </c>
    </row>
    <row r="48" spans="1:55" s="11" customFormat="1" ht="51">
      <c r="A48" s="9">
        <v>1103</v>
      </c>
      <c r="B48" s="10" t="s">
        <v>72</v>
      </c>
      <c r="C48" s="11" t="s">
        <v>199</v>
      </c>
      <c r="D48" s="11">
        <v>247391</v>
      </c>
      <c r="E48" s="11">
        <v>242168</v>
      </c>
      <c r="F48" s="11">
        <v>230207</v>
      </c>
      <c r="G48" s="11">
        <v>70991</v>
      </c>
      <c r="H48" s="11">
        <v>676</v>
      </c>
      <c r="I48" s="11">
        <v>667</v>
      </c>
      <c r="J48" s="11">
        <v>646</v>
      </c>
      <c r="K48" s="11">
        <v>641</v>
      </c>
      <c r="L48" s="11">
        <v>640</v>
      </c>
      <c r="M48" s="11">
        <v>333</v>
      </c>
      <c r="N48" s="11">
        <v>54</v>
      </c>
      <c r="O48" s="11">
        <v>1</v>
      </c>
      <c r="P48" s="11">
        <v>0</v>
      </c>
      <c r="Q48" s="11">
        <v>48230</v>
      </c>
      <c r="R48" s="11">
        <v>10275</v>
      </c>
      <c r="S48" s="11">
        <v>36279</v>
      </c>
      <c r="T48" s="11">
        <v>483</v>
      </c>
      <c r="U48" s="11">
        <v>982</v>
      </c>
      <c r="V48" s="11">
        <v>5163</v>
      </c>
      <c r="W48" s="11">
        <v>18338</v>
      </c>
      <c r="X48" s="11">
        <v>7129</v>
      </c>
      <c r="Y48" s="11">
        <v>6591</v>
      </c>
      <c r="Z48" s="11">
        <v>6108</v>
      </c>
      <c r="AA48" s="11">
        <v>1259</v>
      </c>
      <c r="AB48" s="11">
        <v>3676</v>
      </c>
      <c r="AC48" s="11">
        <v>246</v>
      </c>
      <c r="AD48" s="11">
        <v>3013</v>
      </c>
      <c r="AE48" s="11">
        <v>9052</v>
      </c>
      <c r="AF48" s="11">
        <v>67</v>
      </c>
      <c r="AG48" s="11">
        <v>21111</v>
      </c>
      <c r="AH48" s="11">
        <v>18991</v>
      </c>
      <c r="AI48" s="11">
        <v>106</v>
      </c>
      <c r="AJ48" s="11">
        <v>341</v>
      </c>
      <c r="AK48" s="11">
        <v>18080</v>
      </c>
      <c r="AL48" s="11">
        <v>8542</v>
      </c>
      <c r="AM48" s="11">
        <v>57</v>
      </c>
      <c r="AN48" s="11">
        <v>2952</v>
      </c>
      <c r="AO48" s="11">
        <v>1678</v>
      </c>
      <c r="AP48" s="11">
        <v>1019</v>
      </c>
      <c r="AQ48" s="11">
        <v>4583</v>
      </c>
      <c r="AR48" s="11">
        <v>4241</v>
      </c>
      <c r="AS48" s="11">
        <v>1066</v>
      </c>
      <c r="AT48" s="11">
        <v>114</v>
      </c>
      <c r="AU48" s="11">
        <v>9039</v>
      </c>
      <c r="AV48" s="11">
        <v>3324</v>
      </c>
      <c r="AW48" s="11">
        <v>166</v>
      </c>
      <c r="AX48" s="11">
        <v>406</v>
      </c>
      <c r="AY48" s="11">
        <v>172</v>
      </c>
      <c r="AZ48" s="11">
        <v>196</v>
      </c>
      <c r="BA48" s="11">
        <v>8250</v>
      </c>
      <c r="BB48" s="11">
        <v>5610</v>
      </c>
      <c r="BC48" s="11">
        <v>55</v>
      </c>
    </row>
    <row r="49" spans="1:55" s="11" customFormat="1" ht="17.100000000000001">
      <c r="A49" s="9">
        <v>1205</v>
      </c>
      <c r="B49" s="10" t="s">
        <v>77</v>
      </c>
      <c r="C49" s="11" t="s">
        <v>226</v>
      </c>
      <c r="D49" s="11">
        <v>35601</v>
      </c>
      <c r="E49" s="11">
        <v>32502</v>
      </c>
      <c r="F49" s="11">
        <v>31893</v>
      </c>
      <c r="G49" s="11">
        <v>12529</v>
      </c>
      <c r="H49" s="11">
        <v>139</v>
      </c>
      <c r="I49" s="11">
        <v>132</v>
      </c>
      <c r="J49" s="11">
        <v>121</v>
      </c>
      <c r="K49" s="11">
        <v>121</v>
      </c>
      <c r="L49" s="11">
        <v>121</v>
      </c>
      <c r="M49" s="11">
        <v>26</v>
      </c>
      <c r="N49" s="11">
        <v>73</v>
      </c>
      <c r="O49" s="11">
        <v>2</v>
      </c>
      <c r="P49" s="11">
        <v>0</v>
      </c>
      <c r="Q49" s="11">
        <v>3066</v>
      </c>
      <c r="R49" s="11">
        <v>600</v>
      </c>
      <c r="S49" s="11">
        <v>2325</v>
      </c>
      <c r="T49" s="11">
        <v>60</v>
      </c>
      <c r="U49" s="11">
        <v>13</v>
      </c>
      <c r="V49" s="11">
        <v>225</v>
      </c>
      <c r="W49" s="11">
        <v>692</v>
      </c>
      <c r="X49" s="11">
        <v>66</v>
      </c>
      <c r="Y49" s="11">
        <v>26</v>
      </c>
      <c r="Z49" s="11">
        <v>491</v>
      </c>
      <c r="AA49" s="11">
        <v>133</v>
      </c>
      <c r="AB49" s="11">
        <v>314</v>
      </c>
      <c r="AC49" s="11">
        <v>7</v>
      </c>
      <c r="AD49" s="11">
        <v>301</v>
      </c>
      <c r="AE49" s="11">
        <v>1048</v>
      </c>
      <c r="AF49" s="11">
        <v>33</v>
      </c>
      <c r="AG49" s="11">
        <v>9216</v>
      </c>
      <c r="AH49" s="11">
        <v>8684</v>
      </c>
      <c r="AI49" s="11">
        <v>41</v>
      </c>
      <c r="AJ49" s="11">
        <v>5</v>
      </c>
      <c r="AK49" s="11">
        <v>8442</v>
      </c>
      <c r="AL49" s="11">
        <v>6202</v>
      </c>
      <c r="AM49" s="11">
        <v>45</v>
      </c>
      <c r="AN49" s="11">
        <v>3116</v>
      </c>
      <c r="AO49" s="11">
        <v>1051</v>
      </c>
      <c r="AP49" s="11">
        <v>1760</v>
      </c>
      <c r="AQ49" s="11">
        <v>2621</v>
      </c>
      <c r="AR49" s="11">
        <v>2583</v>
      </c>
      <c r="AS49" s="11">
        <v>413</v>
      </c>
      <c r="AT49" s="11">
        <v>225</v>
      </c>
      <c r="AU49" s="11">
        <v>1915</v>
      </c>
      <c r="AV49" s="11">
        <v>285</v>
      </c>
      <c r="AW49" s="11">
        <v>47</v>
      </c>
      <c r="AX49" s="11">
        <v>542</v>
      </c>
      <c r="AY49" s="11">
        <v>216</v>
      </c>
      <c r="AZ49" s="11">
        <v>297</v>
      </c>
      <c r="BA49" s="11">
        <v>1252</v>
      </c>
      <c r="BB49" s="11">
        <v>1053</v>
      </c>
      <c r="BC49" s="11">
        <v>12</v>
      </c>
    </row>
    <row r="50" spans="1:55" s="11" customFormat="1" ht="17.100000000000001">
      <c r="A50" s="9">
        <v>1145</v>
      </c>
      <c r="B50" s="10" t="s">
        <v>77</v>
      </c>
      <c r="C50" s="11" t="s">
        <v>203</v>
      </c>
      <c r="D50" s="11">
        <v>90582</v>
      </c>
      <c r="E50" s="11">
        <v>82483</v>
      </c>
      <c r="F50" s="11">
        <v>79796</v>
      </c>
      <c r="G50" s="11">
        <v>41808</v>
      </c>
      <c r="H50" s="11">
        <v>360</v>
      </c>
      <c r="I50" s="11">
        <v>356</v>
      </c>
      <c r="J50" s="11">
        <v>327</v>
      </c>
      <c r="K50" s="11">
        <v>325</v>
      </c>
      <c r="L50" s="11">
        <v>324</v>
      </c>
      <c r="M50" s="11">
        <v>105</v>
      </c>
      <c r="N50" s="11">
        <v>168</v>
      </c>
      <c r="O50" s="11">
        <v>7</v>
      </c>
      <c r="P50" s="11">
        <v>5</v>
      </c>
      <c r="Q50" s="11">
        <v>21382</v>
      </c>
      <c r="R50" s="11">
        <v>655</v>
      </c>
      <c r="S50" s="11">
        <v>20282</v>
      </c>
      <c r="T50" s="11">
        <v>1243</v>
      </c>
      <c r="U50" s="11">
        <v>1850</v>
      </c>
      <c r="V50" s="11">
        <v>2233</v>
      </c>
      <c r="W50" s="11">
        <v>8801</v>
      </c>
      <c r="X50" s="11">
        <v>2020</v>
      </c>
      <c r="Y50" s="11">
        <v>1965</v>
      </c>
      <c r="Z50" s="11">
        <v>3350</v>
      </c>
      <c r="AA50" s="11">
        <v>368</v>
      </c>
      <c r="AB50" s="11">
        <v>2141</v>
      </c>
      <c r="AC50" s="11">
        <v>184</v>
      </c>
      <c r="AD50" s="11">
        <v>1796</v>
      </c>
      <c r="AE50" s="11">
        <v>6732</v>
      </c>
      <c r="AF50" s="11">
        <v>25</v>
      </c>
      <c r="AG50" s="11">
        <v>19550</v>
      </c>
      <c r="AH50" s="11">
        <v>18764</v>
      </c>
      <c r="AI50" s="11">
        <v>2169</v>
      </c>
      <c r="AJ50" s="11">
        <v>1103</v>
      </c>
      <c r="AK50" s="11">
        <v>13674</v>
      </c>
      <c r="AL50" s="11">
        <v>7822</v>
      </c>
      <c r="AM50" s="11">
        <v>40</v>
      </c>
      <c r="AN50" s="11">
        <v>1092</v>
      </c>
      <c r="AO50" s="11">
        <v>282</v>
      </c>
      <c r="AP50" s="11">
        <v>732</v>
      </c>
      <c r="AQ50" s="11">
        <v>6469</v>
      </c>
      <c r="AR50" s="11">
        <v>6263</v>
      </c>
      <c r="AS50" s="11">
        <v>1062</v>
      </c>
      <c r="AT50" s="11">
        <v>89</v>
      </c>
      <c r="AU50" s="11">
        <v>4874</v>
      </c>
      <c r="AV50" s="11">
        <v>926</v>
      </c>
      <c r="AW50" s="11">
        <v>59</v>
      </c>
      <c r="AX50" s="11">
        <v>190</v>
      </c>
      <c r="AY50" s="11">
        <v>112</v>
      </c>
      <c r="AZ50" s="11">
        <v>68</v>
      </c>
      <c r="BA50" s="11">
        <v>4603</v>
      </c>
      <c r="BB50" s="11">
        <v>3288</v>
      </c>
      <c r="BC50" s="11">
        <v>35</v>
      </c>
    </row>
    <row r="51" spans="1:55" s="11" customFormat="1" ht="33.950000000000003">
      <c r="A51" s="9">
        <v>1226</v>
      </c>
      <c r="B51" s="10" t="s">
        <v>102</v>
      </c>
      <c r="C51" s="11" t="s">
        <v>229</v>
      </c>
      <c r="D51" s="11">
        <v>38823</v>
      </c>
      <c r="E51" s="11">
        <v>36155</v>
      </c>
      <c r="F51" s="11">
        <v>35289</v>
      </c>
      <c r="G51" s="11">
        <v>18899</v>
      </c>
      <c r="H51" s="11">
        <v>114</v>
      </c>
      <c r="I51" s="11">
        <v>111</v>
      </c>
      <c r="J51" s="11">
        <v>103</v>
      </c>
      <c r="K51" s="11">
        <v>103</v>
      </c>
      <c r="L51" s="11">
        <v>102</v>
      </c>
      <c r="M51" s="11">
        <v>27</v>
      </c>
      <c r="N51" s="11">
        <v>67</v>
      </c>
      <c r="O51" s="11">
        <v>1</v>
      </c>
      <c r="P51" s="11">
        <v>2</v>
      </c>
      <c r="Q51" s="11">
        <v>5934</v>
      </c>
      <c r="R51" s="11">
        <v>1447</v>
      </c>
      <c r="S51" s="11">
        <v>3828</v>
      </c>
      <c r="T51" s="11">
        <v>1287</v>
      </c>
      <c r="U51" s="11">
        <v>59</v>
      </c>
      <c r="V51" s="11">
        <v>56</v>
      </c>
      <c r="W51" s="11">
        <v>315</v>
      </c>
      <c r="X51" s="11">
        <v>65</v>
      </c>
      <c r="Y51" s="11">
        <v>57</v>
      </c>
      <c r="Z51" s="11">
        <v>909</v>
      </c>
      <c r="AA51" s="11">
        <v>270</v>
      </c>
      <c r="AB51" s="11">
        <v>323</v>
      </c>
      <c r="AC51" s="11">
        <v>10</v>
      </c>
      <c r="AD51" s="11">
        <v>295</v>
      </c>
      <c r="AE51" s="11">
        <v>2324</v>
      </c>
      <c r="AF51" s="11">
        <v>29</v>
      </c>
      <c r="AG51" s="11">
        <v>12539</v>
      </c>
      <c r="AH51" s="11">
        <v>11702</v>
      </c>
      <c r="AI51" s="11">
        <v>71</v>
      </c>
      <c r="AJ51" s="11">
        <v>32</v>
      </c>
      <c r="AK51" s="11">
        <v>11296</v>
      </c>
      <c r="AL51" s="11">
        <v>8903</v>
      </c>
      <c r="AM51" s="11">
        <v>27</v>
      </c>
      <c r="AN51" s="11">
        <v>3823</v>
      </c>
      <c r="AO51" s="11">
        <v>1252</v>
      </c>
      <c r="AP51" s="11">
        <v>2170</v>
      </c>
      <c r="AQ51" s="11">
        <v>3963</v>
      </c>
      <c r="AR51" s="11">
        <v>3563</v>
      </c>
      <c r="AS51" s="11">
        <v>519</v>
      </c>
      <c r="AT51" s="11">
        <v>224</v>
      </c>
      <c r="AU51" s="11">
        <v>2022</v>
      </c>
      <c r="AV51" s="11">
        <v>292</v>
      </c>
      <c r="AW51" s="11">
        <v>73</v>
      </c>
      <c r="AX51" s="11">
        <v>621</v>
      </c>
      <c r="AY51" s="11">
        <v>98</v>
      </c>
      <c r="AZ51" s="11">
        <v>487</v>
      </c>
      <c r="BA51" s="11">
        <v>1258</v>
      </c>
      <c r="BB51" s="11">
        <v>745</v>
      </c>
      <c r="BC51" s="11">
        <v>4</v>
      </c>
    </row>
    <row r="52" spans="1:55" ht="68.099999999999994">
      <c r="A52" s="5">
        <v>1107</v>
      </c>
      <c r="B52" s="6" t="s">
        <v>73</v>
      </c>
      <c r="C52" s="8" t="s">
        <v>200</v>
      </c>
      <c r="D52" s="8">
        <v>19490</v>
      </c>
      <c r="E52" s="8">
        <v>18962</v>
      </c>
      <c r="F52" s="8">
        <v>18555</v>
      </c>
      <c r="G52" s="8">
        <v>10768</v>
      </c>
      <c r="H52" s="8">
        <v>213</v>
      </c>
      <c r="I52" s="8">
        <v>213</v>
      </c>
      <c r="J52" s="8">
        <v>203</v>
      </c>
      <c r="K52" s="8">
        <v>203</v>
      </c>
      <c r="L52" s="8">
        <v>201</v>
      </c>
      <c r="M52" s="8">
        <v>88</v>
      </c>
      <c r="N52" s="8">
        <v>66</v>
      </c>
      <c r="O52" s="8">
        <v>2</v>
      </c>
      <c r="P52" s="8">
        <v>1</v>
      </c>
      <c r="Q52" s="8">
        <v>6545</v>
      </c>
      <c r="R52" s="8">
        <v>1565</v>
      </c>
      <c r="S52" s="8">
        <v>4632</v>
      </c>
      <c r="T52" s="8">
        <v>133</v>
      </c>
      <c r="U52" s="8">
        <v>83</v>
      </c>
      <c r="V52" s="8">
        <v>162</v>
      </c>
      <c r="W52" s="8">
        <v>1795</v>
      </c>
      <c r="X52" s="8">
        <v>1116</v>
      </c>
      <c r="Y52" s="8">
        <v>1099</v>
      </c>
      <c r="Z52" s="8">
        <v>725</v>
      </c>
      <c r="AA52" s="8">
        <v>33</v>
      </c>
      <c r="AB52" s="8">
        <v>594</v>
      </c>
      <c r="AC52" s="8">
        <v>34</v>
      </c>
      <c r="AD52" s="8">
        <v>500</v>
      </c>
      <c r="AE52" s="8">
        <v>1551</v>
      </c>
      <c r="AF52" s="8">
        <v>24</v>
      </c>
      <c r="AG52" s="8">
        <v>3766</v>
      </c>
      <c r="AH52" s="8">
        <v>3534</v>
      </c>
      <c r="AI52" s="8">
        <v>15</v>
      </c>
      <c r="AJ52" s="8">
        <v>112</v>
      </c>
      <c r="AK52" s="8">
        <v>3213</v>
      </c>
      <c r="AL52" s="8">
        <v>1457</v>
      </c>
      <c r="AM52" s="8">
        <v>23</v>
      </c>
      <c r="AN52" s="8">
        <v>500</v>
      </c>
      <c r="AO52" s="8">
        <v>40</v>
      </c>
      <c r="AP52" s="8">
        <v>450</v>
      </c>
      <c r="AQ52" s="8">
        <v>811</v>
      </c>
      <c r="AR52" s="8">
        <v>808</v>
      </c>
      <c r="AS52" s="8">
        <v>163</v>
      </c>
      <c r="AT52" s="8">
        <v>37</v>
      </c>
      <c r="AU52" s="8">
        <v>1547</v>
      </c>
      <c r="AV52" s="8">
        <v>346</v>
      </c>
      <c r="AW52" s="8">
        <v>27</v>
      </c>
      <c r="AX52" s="8">
        <v>240</v>
      </c>
      <c r="AY52" s="8">
        <v>190</v>
      </c>
      <c r="AZ52" s="8">
        <v>40</v>
      </c>
      <c r="BA52" s="8">
        <v>1162</v>
      </c>
      <c r="BB52" s="8">
        <v>1009</v>
      </c>
      <c r="BC52" s="8">
        <v>7</v>
      </c>
    </row>
    <row r="53" spans="1:55" ht="17.100000000000001">
      <c r="A53" s="5">
        <v>1013</v>
      </c>
      <c r="B53" s="6" t="s">
        <v>38</v>
      </c>
      <c r="C53" s="8" t="s">
        <v>171</v>
      </c>
      <c r="D53" s="8">
        <v>36817</v>
      </c>
      <c r="E53" s="8">
        <v>34554</v>
      </c>
      <c r="F53" s="8">
        <v>33806</v>
      </c>
      <c r="G53" s="8">
        <v>10634</v>
      </c>
      <c r="H53" s="8">
        <v>215</v>
      </c>
      <c r="I53" s="8">
        <v>215</v>
      </c>
      <c r="J53" s="8">
        <v>203</v>
      </c>
      <c r="K53" s="8">
        <v>203</v>
      </c>
      <c r="L53" s="8">
        <v>203</v>
      </c>
      <c r="M53" s="8">
        <v>119</v>
      </c>
      <c r="N53" s="8">
        <v>60</v>
      </c>
      <c r="O53" s="8">
        <v>8</v>
      </c>
      <c r="P53" s="8">
        <v>4</v>
      </c>
      <c r="Q53" s="8">
        <v>5790</v>
      </c>
      <c r="R53" s="8">
        <v>1094</v>
      </c>
      <c r="S53" s="8">
        <v>4532</v>
      </c>
      <c r="T53" s="8">
        <v>435</v>
      </c>
      <c r="U53" s="8">
        <v>813</v>
      </c>
      <c r="V53" s="8">
        <v>923</v>
      </c>
      <c r="W53" s="8">
        <v>785</v>
      </c>
      <c r="X53" s="8">
        <v>219</v>
      </c>
      <c r="Y53" s="8">
        <v>182</v>
      </c>
      <c r="Z53" s="8">
        <v>892</v>
      </c>
      <c r="AA53" s="8">
        <v>130</v>
      </c>
      <c r="AB53" s="8">
        <v>596</v>
      </c>
      <c r="AC53" s="8">
        <v>59</v>
      </c>
      <c r="AD53" s="8">
        <v>458</v>
      </c>
      <c r="AE53" s="8">
        <v>2512</v>
      </c>
      <c r="AF53" s="8">
        <v>10</v>
      </c>
      <c r="AG53" s="8">
        <v>4397</v>
      </c>
      <c r="AH53" s="8">
        <v>4172</v>
      </c>
      <c r="AI53" s="8">
        <v>68</v>
      </c>
      <c r="AJ53" s="8">
        <v>103</v>
      </c>
      <c r="AK53" s="8">
        <v>3741</v>
      </c>
      <c r="AL53" s="8">
        <v>2651</v>
      </c>
      <c r="AM53" s="8">
        <v>12</v>
      </c>
      <c r="AN53" s="8">
        <v>1277</v>
      </c>
      <c r="AO53" s="8">
        <v>241</v>
      </c>
      <c r="AP53" s="8">
        <v>956</v>
      </c>
      <c r="AQ53" s="8">
        <v>1103</v>
      </c>
      <c r="AR53" s="8">
        <v>1096</v>
      </c>
      <c r="AS53" s="8">
        <v>206</v>
      </c>
      <c r="AT53" s="8">
        <v>74</v>
      </c>
      <c r="AU53" s="8">
        <v>939</v>
      </c>
      <c r="AV53" s="8">
        <v>227</v>
      </c>
      <c r="AW53" s="8">
        <v>66</v>
      </c>
      <c r="AX53" s="8">
        <v>190</v>
      </c>
      <c r="AY53" s="8">
        <v>75</v>
      </c>
      <c r="AZ53" s="8">
        <v>105</v>
      </c>
      <c r="BA53" s="8">
        <v>693</v>
      </c>
      <c r="BB53" s="8">
        <v>438</v>
      </c>
      <c r="BC53" s="8">
        <v>3</v>
      </c>
    </row>
    <row r="54" spans="1:55" ht="17.100000000000001">
      <c r="A54" s="5">
        <v>1149</v>
      </c>
      <c r="B54" s="6" t="s">
        <v>80</v>
      </c>
      <c r="C54" s="8" t="s">
        <v>205</v>
      </c>
      <c r="D54" s="8">
        <v>26524</v>
      </c>
      <c r="E54" s="8">
        <v>24333</v>
      </c>
      <c r="F54" s="8">
        <v>22879</v>
      </c>
      <c r="G54" s="8">
        <v>15586</v>
      </c>
      <c r="H54" s="8">
        <v>55</v>
      </c>
      <c r="I54" s="8">
        <v>55</v>
      </c>
      <c r="J54" s="8">
        <v>55</v>
      </c>
      <c r="K54" s="8">
        <v>55</v>
      </c>
      <c r="L54" s="8">
        <v>55</v>
      </c>
      <c r="M54" s="8">
        <v>30</v>
      </c>
      <c r="N54" s="8">
        <v>22</v>
      </c>
      <c r="O54" s="8">
        <v>0</v>
      </c>
      <c r="P54" s="8">
        <v>0</v>
      </c>
      <c r="Q54" s="8">
        <v>7863</v>
      </c>
      <c r="R54" s="8">
        <v>1231</v>
      </c>
      <c r="S54" s="8">
        <v>6394</v>
      </c>
      <c r="T54" s="8">
        <v>531</v>
      </c>
      <c r="U54" s="8">
        <v>432</v>
      </c>
      <c r="V54" s="8">
        <v>725</v>
      </c>
      <c r="W54" s="8">
        <v>2361</v>
      </c>
      <c r="X54" s="8">
        <v>281</v>
      </c>
      <c r="Y54" s="8">
        <v>264</v>
      </c>
      <c r="Z54" s="8">
        <v>554</v>
      </c>
      <c r="AA54" s="8">
        <v>69</v>
      </c>
      <c r="AB54" s="8">
        <v>412</v>
      </c>
      <c r="AC54" s="8">
        <v>81</v>
      </c>
      <c r="AD54" s="8">
        <v>287</v>
      </c>
      <c r="AE54" s="8">
        <v>3249</v>
      </c>
      <c r="AF54" s="8">
        <v>3</v>
      </c>
      <c r="AG54" s="8">
        <v>7567</v>
      </c>
      <c r="AH54" s="8">
        <v>6038</v>
      </c>
      <c r="AI54" s="8">
        <v>168</v>
      </c>
      <c r="AJ54" s="8">
        <v>114</v>
      </c>
      <c r="AK54" s="8">
        <v>5395</v>
      </c>
      <c r="AL54" s="8">
        <v>3229</v>
      </c>
      <c r="AM54" s="8">
        <v>44</v>
      </c>
      <c r="AN54" s="8">
        <v>1796</v>
      </c>
      <c r="AO54" s="8">
        <v>649</v>
      </c>
      <c r="AP54" s="8">
        <v>999</v>
      </c>
      <c r="AQ54" s="8">
        <v>1253</v>
      </c>
      <c r="AR54" s="8">
        <v>1228</v>
      </c>
      <c r="AS54" s="8">
        <v>427</v>
      </c>
      <c r="AT54" s="8">
        <v>125</v>
      </c>
      <c r="AU54" s="8">
        <v>1459</v>
      </c>
      <c r="AV54" s="8">
        <v>301</v>
      </c>
      <c r="AW54" s="8">
        <v>19</v>
      </c>
      <c r="AX54" s="8">
        <v>101</v>
      </c>
      <c r="AY54" s="8">
        <v>61</v>
      </c>
      <c r="AZ54" s="8">
        <v>33</v>
      </c>
      <c r="BA54" s="8">
        <v>1321</v>
      </c>
      <c r="BB54" s="8">
        <v>906</v>
      </c>
      <c r="BC54" s="8">
        <v>55</v>
      </c>
    </row>
    <row r="55" spans="1:55" ht="17.100000000000001">
      <c r="A55" s="5">
        <v>1155</v>
      </c>
      <c r="B55" s="6" t="s">
        <v>80</v>
      </c>
      <c r="C55" s="8" t="s">
        <v>209</v>
      </c>
      <c r="D55" s="8">
        <v>348111</v>
      </c>
      <c r="E55" s="8">
        <v>320999</v>
      </c>
      <c r="F55" s="8">
        <v>317961</v>
      </c>
      <c r="G55" s="8">
        <v>189871</v>
      </c>
      <c r="H55" s="8">
        <v>681</v>
      </c>
      <c r="I55" s="8">
        <v>661</v>
      </c>
      <c r="J55" s="8">
        <v>641</v>
      </c>
      <c r="K55" s="8">
        <v>635</v>
      </c>
      <c r="L55" s="8">
        <v>632</v>
      </c>
      <c r="M55" s="8">
        <v>223</v>
      </c>
      <c r="N55" s="8">
        <v>292</v>
      </c>
      <c r="O55" s="8">
        <v>1</v>
      </c>
      <c r="P55" s="8">
        <v>2</v>
      </c>
      <c r="Q55" s="8">
        <v>74044</v>
      </c>
      <c r="R55" s="8">
        <v>13874</v>
      </c>
      <c r="S55" s="8">
        <v>59298</v>
      </c>
      <c r="T55" s="8">
        <v>2902</v>
      </c>
      <c r="U55" s="8">
        <v>3767</v>
      </c>
      <c r="V55" s="8">
        <v>4702</v>
      </c>
      <c r="W55" s="8">
        <v>34939</v>
      </c>
      <c r="X55" s="8">
        <v>4768</v>
      </c>
      <c r="Y55" s="8">
        <v>686</v>
      </c>
      <c r="Z55" s="8">
        <v>6655</v>
      </c>
      <c r="AA55" s="8">
        <v>2254</v>
      </c>
      <c r="AB55" s="8">
        <v>3526</v>
      </c>
      <c r="AC55" s="8">
        <v>361</v>
      </c>
      <c r="AD55" s="8">
        <v>2871</v>
      </c>
      <c r="AE55" s="8">
        <v>15353</v>
      </c>
      <c r="AF55" s="8">
        <v>125</v>
      </c>
      <c r="AG55" s="8">
        <v>113906</v>
      </c>
      <c r="AH55" s="8">
        <v>104450</v>
      </c>
      <c r="AI55" s="8">
        <v>943</v>
      </c>
      <c r="AJ55" s="8">
        <v>1434</v>
      </c>
      <c r="AK55" s="8">
        <v>98560</v>
      </c>
      <c r="AL55" s="8">
        <v>71002</v>
      </c>
      <c r="AM55" s="8">
        <v>163</v>
      </c>
      <c r="AN55" s="8">
        <v>41835</v>
      </c>
      <c r="AO55" s="8">
        <v>10625</v>
      </c>
      <c r="AP55" s="8">
        <v>27403</v>
      </c>
      <c r="AQ55" s="8">
        <v>22552</v>
      </c>
      <c r="AR55" s="8">
        <v>21350</v>
      </c>
      <c r="AS55" s="8">
        <v>3133</v>
      </c>
      <c r="AT55" s="8">
        <v>453</v>
      </c>
      <c r="AU55" s="8">
        <v>24339</v>
      </c>
      <c r="AV55" s="8">
        <v>2576</v>
      </c>
      <c r="AW55" s="8">
        <v>143</v>
      </c>
      <c r="AX55" s="8">
        <v>2919</v>
      </c>
      <c r="AY55" s="8">
        <v>874</v>
      </c>
      <c r="AZ55" s="8">
        <v>1808</v>
      </c>
      <c r="BA55" s="8">
        <v>20550</v>
      </c>
      <c r="BB55" s="8">
        <v>9545</v>
      </c>
      <c r="BC55" s="8">
        <v>535</v>
      </c>
    </row>
    <row r="56" spans="1:55" ht="17.100000000000001">
      <c r="A56" s="5">
        <v>1159</v>
      </c>
      <c r="B56" s="6" t="s">
        <v>88</v>
      </c>
      <c r="C56" s="8" t="s">
        <v>213</v>
      </c>
      <c r="D56" s="8">
        <v>152950</v>
      </c>
      <c r="E56" s="8">
        <v>139335</v>
      </c>
      <c r="F56" s="8">
        <v>134934</v>
      </c>
      <c r="G56" s="8">
        <v>86737</v>
      </c>
      <c r="H56" s="8">
        <v>781</v>
      </c>
      <c r="I56" s="8">
        <v>765</v>
      </c>
      <c r="J56" s="8">
        <v>725</v>
      </c>
      <c r="K56" s="8">
        <v>717</v>
      </c>
      <c r="L56" s="8">
        <v>714</v>
      </c>
      <c r="M56" s="8">
        <v>115</v>
      </c>
      <c r="N56" s="8">
        <v>490</v>
      </c>
      <c r="O56" s="8">
        <v>14</v>
      </c>
      <c r="P56" s="8">
        <v>10</v>
      </c>
      <c r="Q56" s="8">
        <v>38718</v>
      </c>
      <c r="R56" s="8">
        <v>8069</v>
      </c>
      <c r="S56" s="8">
        <v>29938</v>
      </c>
      <c r="T56" s="8">
        <v>850</v>
      </c>
      <c r="U56" s="8">
        <v>875</v>
      </c>
      <c r="V56" s="8">
        <v>3349</v>
      </c>
      <c r="W56" s="8">
        <v>13222</v>
      </c>
      <c r="X56" s="8">
        <v>1737</v>
      </c>
      <c r="Y56" s="8">
        <v>738</v>
      </c>
      <c r="Z56" s="8">
        <v>5667</v>
      </c>
      <c r="AA56" s="8">
        <v>932</v>
      </c>
      <c r="AB56" s="8">
        <v>3188</v>
      </c>
      <c r="AC56" s="8">
        <v>39</v>
      </c>
      <c r="AD56" s="8">
        <v>3071</v>
      </c>
      <c r="AE56" s="8">
        <v>9911</v>
      </c>
      <c r="AF56" s="8">
        <v>107</v>
      </c>
      <c r="AG56" s="8">
        <v>46362</v>
      </c>
      <c r="AH56" s="8">
        <v>43958</v>
      </c>
      <c r="AI56" s="8">
        <v>244</v>
      </c>
      <c r="AJ56" s="8">
        <v>814</v>
      </c>
      <c r="AK56" s="8">
        <v>41117</v>
      </c>
      <c r="AL56" s="8">
        <v>23748</v>
      </c>
      <c r="AM56" s="8">
        <v>247</v>
      </c>
      <c r="AN56" s="8">
        <v>9778</v>
      </c>
      <c r="AO56" s="8">
        <v>2655</v>
      </c>
      <c r="AP56" s="8">
        <v>6816</v>
      </c>
      <c r="AQ56" s="8">
        <v>10709</v>
      </c>
      <c r="AR56" s="8">
        <v>10638</v>
      </c>
      <c r="AS56" s="8">
        <v>2148</v>
      </c>
      <c r="AT56" s="8">
        <v>305</v>
      </c>
      <c r="AU56" s="8">
        <v>13853</v>
      </c>
      <c r="AV56" s="8">
        <v>3698</v>
      </c>
      <c r="AW56" s="8">
        <v>162</v>
      </c>
      <c r="AX56" s="8">
        <v>1581</v>
      </c>
      <c r="AY56" s="8">
        <v>688</v>
      </c>
      <c r="AZ56" s="8">
        <v>845</v>
      </c>
      <c r="BA56" s="8">
        <v>11634</v>
      </c>
      <c r="BB56" s="8">
        <v>8984</v>
      </c>
      <c r="BC56" s="8">
        <v>59</v>
      </c>
    </row>
    <row r="57" spans="1:55" ht="17.100000000000001">
      <c r="A57" s="5">
        <v>1162</v>
      </c>
      <c r="B57" s="6" t="s">
        <v>91</v>
      </c>
      <c r="C57" s="8" t="s">
        <v>215</v>
      </c>
      <c r="D57" s="8">
        <v>135286</v>
      </c>
      <c r="E57" s="8">
        <v>129503</v>
      </c>
      <c r="F57" s="8">
        <v>117499</v>
      </c>
      <c r="G57" s="8">
        <v>71413</v>
      </c>
      <c r="H57" s="8">
        <v>640</v>
      </c>
      <c r="I57" s="8">
        <v>632</v>
      </c>
      <c r="J57" s="8">
        <v>601</v>
      </c>
      <c r="K57" s="8">
        <v>600</v>
      </c>
      <c r="L57" s="8">
        <v>599</v>
      </c>
      <c r="M57" s="8">
        <v>260</v>
      </c>
      <c r="N57" s="8">
        <v>255</v>
      </c>
      <c r="O57" s="8">
        <v>5</v>
      </c>
      <c r="P57" s="8">
        <v>2</v>
      </c>
      <c r="Q57" s="8">
        <v>42949</v>
      </c>
      <c r="R57" s="8">
        <v>5080</v>
      </c>
      <c r="S57" s="8">
        <v>36468</v>
      </c>
      <c r="T57" s="8">
        <v>982</v>
      </c>
      <c r="U57" s="8">
        <v>871</v>
      </c>
      <c r="V57" s="8">
        <v>2221</v>
      </c>
      <c r="W57" s="8">
        <v>16155</v>
      </c>
      <c r="X57" s="8">
        <v>6379</v>
      </c>
      <c r="Y57" s="8">
        <v>6188</v>
      </c>
      <c r="Z57" s="8">
        <v>6344</v>
      </c>
      <c r="AA57" s="8">
        <v>829</v>
      </c>
      <c r="AB57" s="8">
        <v>4552</v>
      </c>
      <c r="AC57" s="8">
        <v>20</v>
      </c>
      <c r="AD57" s="8">
        <v>4315</v>
      </c>
      <c r="AE57" s="8">
        <v>11021</v>
      </c>
      <c r="AF57" s="8">
        <v>148</v>
      </c>
      <c r="AG57" s="8">
        <v>26899</v>
      </c>
      <c r="AH57" s="8">
        <v>24696</v>
      </c>
      <c r="AI57" s="8">
        <v>424</v>
      </c>
      <c r="AJ57" s="8">
        <v>141</v>
      </c>
      <c r="AK57" s="8">
        <v>22934</v>
      </c>
      <c r="AL57" s="8">
        <v>11778</v>
      </c>
      <c r="AM57" s="8">
        <v>115</v>
      </c>
      <c r="AN57" s="8">
        <v>5611</v>
      </c>
      <c r="AO57" s="8">
        <v>1616</v>
      </c>
      <c r="AP57" s="8">
        <v>3757</v>
      </c>
      <c r="AQ57" s="8">
        <v>5308</v>
      </c>
      <c r="AR57" s="8">
        <v>5280</v>
      </c>
      <c r="AS57" s="8">
        <v>1356</v>
      </c>
      <c r="AT57" s="8">
        <v>692</v>
      </c>
      <c r="AU57" s="8">
        <v>9307</v>
      </c>
      <c r="AV57" s="8">
        <v>3025</v>
      </c>
      <c r="AW57" s="8">
        <v>406</v>
      </c>
      <c r="AX57" s="8">
        <v>2138</v>
      </c>
      <c r="AY57" s="8">
        <v>799</v>
      </c>
      <c r="AZ57" s="8">
        <v>1300</v>
      </c>
      <c r="BA57" s="8">
        <v>6817</v>
      </c>
      <c r="BB57" s="8">
        <v>5862</v>
      </c>
      <c r="BC57" s="8">
        <v>20</v>
      </c>
    </row>
    <row r="58" spans="1:55" ht="17.100000000000001">
      <c r="A58" s="5">
        <v>1169</v>
      </c>
      <c r="B58" s="6" t="s">
        <v>80</v>
      </c>
      <c r="C58" s="8" t="s">
        <v>220</v>
      </c>
      <c r="D58" s="8">
        <v>123596</v>
      </c>
      <c r="E58" s="8">
        <v>120354</v>
      </c>
      <c r="F58" s="8">
        <v>110696</v>
      </c>
      <c r="G58" s="8">
        <v>48343</v>
      </c>
      <c r="H58" s="8">
        <v>310</v>
      </c>
      <c r="I58" s="8">
        <v>246</v>
      </c>
      <c r="J58" s="8">
        <v>238</v>
      </c>
      <c r="K58" s="8">
        <v>238</v>
      </c>
      <c r="L58" s="8">
        <v>238</v>
      </c>
      <c r="M58" s="8">
        <v>50</v>
      </c>
      <c r="N58" s="8">
        <v>152</v>
      </c>
      <c r="O58" s="8">
        <v>5</v>
      </c>
      <c r="P58" s="8">
        <v>1</v>
      </c>
      <c r="Q58" s="8">
        <v>23706</v>
      </c>
      <c r="R58" s="8">
        <v>6770</v>
      </c>
      <c r="S58" s="8">
        <v>16594</v>
      </c>
      <c r="T58" s="8">
        <v>673</v>
      </c>
      <c r="U58" s="8">
        <v>994</v>
      </c>
      <c r="V58" s="8">
        <v>4092</v>
      </c>
      <c r="W58" s="8">
        <v>1450</v>
      </c>
      <c r="X58" s="8">
        <v>885</v>
      </c>
      <c r="Y58" s="8">
        <v>857</v>
      </c>
      <c r="Z58" s="8">
        <v>2518</v>
      </c>
      <c r="AA58" s="8">
        <v>321</v>
      </c>
      <c r="AB58" s="8">
        <v>1404</v>
      </c>
      <c r="AC58" s="8">
        <v>513</v>
      </c>
      <c r="AD58" s="8">
        <v>376</v>
      </c>
      <c r="AE58" s="8">
        <v>9823</v>
      </c>
      <c r="AF58" s="8">
        <v>72</v>
      </c>
      <c r="AG58" s="8">
        <v>23327</v>
      </c>
      <c r="AH58" s="8">
        <v>13636</v>
      </c>
      <c r="AI58" s="8">
        <v>86</v>
      </c>
      <c r="AJ58" s="8">
        <v>40</v>
      </c>
      <c r="AK58" s="8">
        <v>13287</v>
      </c>
      <c r="AL58" s="8">
        <v>8815</v>
      </c>
      <c r="AM58" s="8">
        <v>24</v>
      </c>
      <c r="AN58" s="8">
        <v>2173</v>
      </c>
      <c r="AO58" s="8">
        <v>593</v>
      </c>
      <c r="AP58" s="8">
        <v>1431</v>
      </c>
      <c r="AQ58" s="8">
        <v>6023</v>
      </c>
      <c r="AR58" s="8">
        <v>5504</v>
      </c>
      <c r="AS58" s="8">
        <v>291</v>
      </c>
      <c r="AT58" s="8">
        <v>70</v>
      </c>
      <c r="AU58" s="8">
        <v>3987</v>
      </c>
      <c r="AV58" s="8">
        <v>335</v>
      </c>
      <c r="AW58" s="8">
        <v>43</v>
      </c>
      <c r="AX58" s="8">
        <v>1291</v>
      </c>
      <c r="AY58" s="8">
        <v>211</v>
      </c>
      <c r="AZ58" s="8">
        <v>1000</v>
      </c>
      <c r="BA58" s="8">
        <v>2493</v>
      </c>
      <c r="BB58" s="8">
        <v>1487</v>
      </c>
      <c r="BC58" s="8">
        <v>11</v>
      </c>
    </row>
    <row r="59" spans="1:55" ht="17.100000000000001">
      <c r="A59" s="5">
        <v>1168</v>
      </c>
      <c r="B59" s="6" t="s">
        <v>80</v>
      </c>
      <c r="C59" s="8" t="s">
        <v>219</v>
      </c>
      <c r="D59" s="8">
        <v>85258</v>
      </c>
      <c r="E59" s="8">
        <v>80830</v>
      </c>
      <c r="F59" s="8">
        <v>71821</v>
      </c>
      <c r="G59" s="8">
        <v>19519</v>
      </c>
      <c r="H59" s="8">
        <v>315</v>
      </c>
      <c r="I59" s="8">
        <v>310</v>
      </c>
      <c r="J59" s="8">
        <v>284</v>
      </c>
      <c r="K59" s="8">
        <v>283</v>
      </c>
      <c r="L59" s="8">
        <v>283</v>
      </c>
      <c r="M59" s="8">
        <v>53</v>
      </c>
      <c r="N59" s="8">
        <v>180</v>
      </c>
      <c r="O59" s="8">
        <v>1</v>
      </c>
      <c r="P59" s="8">
        <v>4</v>
      </c>
      <c r="Q59" s="8">
        <v>12052</v>
      </c>
      <c r="R59" s="8">
        <v>380</v>
      </c>
      <c r="S59" s="8">
        <v>11234</v>
      </c>
      <c r="T59" s="8">
        <v>307</v>
      </c>
      <c r="U59" s="8">
        <v>521</v>
      </c>
      <c r="V59" s="8">
        <v>901</v>
      </c>
      <c r="W59" s="8">
        <v>3398</v>
      </c>
      <c r="X59" s="8">
        <v>1551</v>
      </c>
      <c r="Y59" s="8">
        <v>1454</v>
      </c>
      <c r="Z59" s="8">
        <v>2445</v>
      </c>
      <c r="AA59" s="8">
        <v>210</v>
      </c>
      <c r="AB59" s="8">
        <v>1446</v>
      </c>
      <c r="AC59" s="8">
        <v>65</v>
      </c>
      <c r="AD59" s="8">
        <v>1208</v>
      </c>
      <c r="AE59" s="8">
        <v>4080</v>
      </c>
      <c r="AF59" s="8">
        <v>52</v>
      </c>
      <c r="AG59" s="8">
        <v>6580</v>
      </c>
      <c r="AH59" s="8">
        <v>5899</v>
      </c>
      <c r="AI59" s="8">
        <v>51</v>
      </c>
      <c r="AJ59" s="8">
        <v>95</v>
      </c>
      <c r="AK59" s="8">
        <v>5583</v>
      </c>
      <c r="AL59" s="8">
        <v>1250</v>
      </c>
      <c r="AM59" s="8">
        <v>24</v>
      </c>
      <c r="AN59" s="8">
        <v>355</v>
      </c>
      <c r="AO59" s="8">
        <v>8</v>
      </c>
      <c r="AP59" s="8">
        <v>340</v>
      </c>
      <c r="AQ59" s="8">
        <v>800</v>
      </c>
      <c r="AR59" s="8">
        <v>800</v>
      </c>
      <c r="AS59" s="8">
        <v>263</v>
      </c>
      <c r="AT59" s="8">
        <v>32</v>
      </c>
      <c r="AU59" s="8">
        <v>3914</v>
      </c>
      <c r="AV59" s="8">
        <v>1101</v>
      </c>
      <c r="AW59" s="8">
        <v>60</v>
      </c>
      <c r="AX59" s="8">
        <v>239</v>
      </c>
      <c r="AY59" s="8">
        <v>222</v>
      </c>
      <c r="AZ59" s="8">
        <v>13</v>
      </c>
      <c r="BA59" s="8">
        <v>3578</v>
      </c>
      <c r="BB59" s="8">
        <v>3336</v>
      </c>
      <c r="BC59" s="8">
        <v>34</v>
      </c>
    </row>
    <row r="60" spans="1:55" ht="17.100000000000001">
      <c r="A60" s="5">
        <v>1210</v>
      </c>
      <c r="B60" s="6" t="s">
        <v>80</v>
      </c>
      <c r="C60" s="8" t="s">
        <v>228</v>
      </c>
      <c r="D60" s="8">
        <v>66184</v>
      </c>
      <c r="E60" s="8">
        <v>59940</v>
      </c>
      <c r="F60" s="8">
        <v>58794</v>
      </c>
      <c r="G60" s="8">
        <v>20753</v>
      </c>
      <c r="H60" s="8">
        <v>432</v>
      </c>
      <c r="I60" s="8">
        <v>422</v>
      </c>
      <c r="J60" s="8">
        <v>396</v>
      </c>
      <c r="K60" s="8">
        <v>395</v>
      </c>
      <c r="L60" s="8">
        <v>393</v>
      </c>
      <c r="M60" s="8">
        <v>147</v>
      </c>
      <c r="N60" s="8">
        <v>186</v>
      </c>
      <c r="O60" s="8">
        <v>2</v>
      </c>
      <c r="P60" s="8">
        <v>4</v>
      </c>
      <c r="Q60" s="8">
        <v>10268</v>
      </c>
      <c r="R60" s="8">
        <v>4359</v>
      </c>
      <c r="S60" s="8">
        <v>5368</v>
      </c>
      <c r="T60" s="8">
        <v>203</v>
      </c>
      <c r="U60" s="8">
        <v>30</v>
      </c>
      <c r="V60" s="8">
        <v>123</v>
      </c>
      <c r="W60" s="8">
        <v>1915</v>
      </c>
      <c r="X60" s="8">
        <v>605</v>
      </c>
      <c r="Y60" s="8">
        <v>560</v>
      </c>
      <c r="Z60" s="8">
        <v>1231</v>
      </c>
      <c r="AA60" s="8">
        <v>279</v>
      </c>
      <c r="AB60" s="8">
        <v>661</v>
      </c>
      <c r="AC60" s="8">
        <v>40</v>
      </c>
      <c r="AD60" s="8">
        <v>594</v>
      </c>
      <c r="AE60" s="8">
        <v>1435</v>
      </c>
      <c r="AF60" s="8">
        <v>20</v>
      </c>
      <c r="AG60" s="8">
        <v>9664</v>
      </c>
      <c r="AH60" s="8">
        <v>9186</v>
      </c>
      <c r="AI60" s="8">
        <v>30</v>
      </c>
      <c r="AJ60" s="8">
        <v>45</v>
      </c>
      <c r="AK60" s="8">
        <v>8927</v>
      </c>
      <c r="AL60" s="8">
        <v>5747</v>
      </c>
      <c r="AM60" s="8">
        <v>30</v>
      </c>
      <c r="AN60" s="8">
        <v>3604</v>
      </c>
      <c r="AO60" s="8">
        <v>701</v>
      </c>
      <c r="AP60" s="8">
        <v>2546</v>
      </c>
      <c r="AQ60" s="8">
        <v>1653</v>
      </c>
      <c r="AR60" s="8">
        <v>1594</v>
      </c>
      <c r="AS60" s="8">
        <v>416</v>
      </c>
      <c r="AT60" s="8">
        <v>103</v>
      </c>
      <c r="AU60" s="8">
        <v>2729</v>
      </c>
      <c r="AV60" s="8">
        <v>1005</v>
      </c>
      <c r="AW60" s="8">
        <v>79</v>
      </c>
      <c r="AX60" s="8">
        <v>765</v>
      </c>
      <c r="AY60" s="8">
        <v>259</v>
      </c>
      <c r="AZ60" s="8">
        <v>427</v>
      </c>
      <c r="BA60" s="8">
        <v>1883</v>
      </c>
      <c r="BB60" s="8">
        <v>1577</v>
      </c>
      <c r="BC60" s="8">
        <v>5</v>
      </c>
    </row>
    <row r="61" spans="1:55" ht="35.1" customHeight="1">
      <c r="A61" s="5">
        <v>1258</v>
      </c>
      <c r="B61" s="6" t="s">
        <v>80</v>
      </c>
      <c r="C61" s="8" t="s">
        <v>233</v>
      </c>
      <c r="D61" s="8">
        <v>284351</v>
      </c>
      <c r="E61" s="8">
        <v>257365</v>
      </c>
      <c r="F61" s="8">
        <v>244867</v>
      </c>
      <c r="G61" s="8">
        <v>125873</v>
      </c>
      <c r="H61" s="8">
        <v>654</v>
      </c>
      <c r="I61" s="8">
        <v>651</v>
      </c>
      <c r="J61" s="8">
        <v>612</v>
      </c>
      <c r="K61" s="8">
        <v>608</v>
      </c>
      <c r="L61" s="8">
        <v>607</v>
      </c>
      <c r="M61" s="8">
        <v>107</v>
      </c>
      <c r="N61" s="8">
        <v>377</v>
      </c>
      <c r="O61" s="8">
        <v>9</v>
      </c>
      <c r="P61" s="8">
        <v>22</v>
      </c>
      <c r="Q61" s="8">
        <v>80189</v>
      </c>
      <c r="R61" s="8">
        <v>22269</v>
      </c>
      <c r="S61" s="8">
        <v>55458</v>
      </c>
      <c r="T61" s="8">
        <v>2003</v>
      </c>
      <c r="U61" s="8">
        <v>5426</v>
      </c>
      <c r="V61" s="8">
        <v>6784</v>
      </c>
      <c r="W61" s="8">
        <v>23128</v>
      </c>
      <c r="X61" s="8">
        <v>8107</v>
      </c>
      <c r="Y61" s="8">
        <v>8010</v>
      </c>
      <c r="Z61" s="8">
        <v>8088</v>
      </c>
      <c r="AA61" s="8">
        <v>884</v>
      </c>
      <c r="AB61" s="8">
        <v>6142</v>
      </c>
      <c r="AC61" s="8">
        <v>712</v>
      </c>
      <c r="AD61" s="8">
        <v>5160</v>
      </c>
      <c r="AE61" s="8">
        <v>20229</v>
      </c>
      <c r="AF61" s="8">
        <v>136</v>
      </c>
      <c r="AG61" s="8">
        <v>43882</v>
      </c>
      <c r="AH61" s="8">
        <v>41370</v>
      </c>
      <c r="AI61" s="8">
        <v>228</v>
      </c>
      <c r="AJ61" s="8">
        <v>154</v>
      </c>
      <c r="AK61" s="8">
        <v>40179</v>
      </c>
      <c r="AL61" s="8">
        <v>29171</v>
      </c>
      <c r="AM61" s="8">
        <v>127</v>
      </c>
      <c r="AN61" s="8">
        <v>7243</v>
      </c>
      <c r="AO61" s="8">
        <v>1948</v>
      </c>
      <c r="AP61" s="8">
        <v>4680</v>
      </c>
      <c r="AQ61" s="8">
        <v>19336</v>
      </c>
      <c r="AR61" s="8">
        <v>19055</v>
      </c>
      <c r="AS61" s="8">
        <v>2222</v>
      </c>
      <c r="AT61" s="8">
        <v>377</v>
      </c>
      <c r="AU61" s="8">
        <v>9452</v>
      </c>
      <c r="AV61" s="8">
        <v>1833</v>
      </c>
      <c r="AW61" s="8">
        <v>77</v>
      </c>
      <c r="AX61" s="8">
        <v>1173</v>
      </c>
      <c r="AY61" s="8">
        <v>329</v>
      </c>
      <c r="AZ61" s="8">
        <v>776</v>
      </c>
      <c r="BA61" s="8">
        <v>7848</v>
      </c>
      <c r="BB61" s="8">
        <v>6177</v>
      </c>
      <c r="BC61" s="8">
        <v>16</v>
      </c>
    </row>
    <row r="62" spans="1:55" ht="17.100000000000001">
      <c r="A62" s="5">
        <v>1021</v>
      </c>
      <c r="B62" s="6" t="s">
        <v>44</v>
      </c>
      <c r="C62" s="8" t="s">
        <v>176</v>
      </c>
      <c r="D62" s="8">
        <v>36221</v>
      </c>
      <c r="E62" s="8">
        <v>34723</v>
      </c>
      <c r="F62" s="8">
        <v>34052</v>
      </c>
      <c r="G62" s="8">
        <v>25348</v>
      </c>
      <c r="H62" s="8">
        <v>1</v>
      </c>
      <c r="I62" s="8">
        <v>1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8936</v>
      </c>
      <c r="R62" s="8">
        <v>2132</v>
      </c>
      <c r="S62" s="8">
        <v>6627</v>
      </c>
      <c r="T62" s="8">
        <v>753</v>
      </c>
      <c r="U62" s="8">
        <v>2379</v>
      </c>
      <c r="V62" s="8">
        <v>3468</v>
      </c>
      <c r="W62" s="8">
        <v>552</v>
      </c>
      <c r="X62" s="8">
        <v>116</v>
      </c>
      <c r="Y62" s="8">
        <v>85</v>
      </c>
      <c r="Z62" s="8">
        <v>1790</v>
      </c>
      <c r="AA62" s="8">
        <v>25</v>
      </c>
      <c r="AB62" s="8">
        <v>263</v>
      </c>
      <c r="AC62" s="8">
        <v>83</v>
      </c>
      <c r="AD62" s="8">
        <v>154</v>
      </c>
      <c r="AE62" s="8">
        <v>3893</v>
      </c>
      <c r="AF62" s="8">
        <v>49</v>
      </c>
      <c r="AG62" s="8">
        <v>16346</v>
      </c>
      <c r="AH62" s="8">
        <v>14272</v>
      </c>
      <c r="AI62" s="8">
        <v>499</v>
      </c>
      <c r="AJ62" s="8">
        <v>99</v>
      </c>
      <c r="AK62" s="8">
        <v>12810</v>
      </c>
      <c r="AL62" s="8">
        <v>10079</v>
      </c>
      <c r="AM62" s="8">
        <v>45</v>
      </c>
      <c r="AN62" s="8">
        <v>4337</v>
      </c>
      <c r="AO62" s="8">
        <v>1711</v>
      </c>
      <c r="AP62" s="8">
        <v>2272</v>
      </c>
      <c r="AQ62" s="8">
        <v>4664</v>
      </c>
      <c r="AR62" s="8">
        <v>4636</v>
      </c>
      <c r="AS62" s="8">
        <v>835</v>
      </c>
      <c r="AT62" s="8">
        <v>582</v>
      </c>
      <c r="AU62" s="8">
        <v>2184</v>
      </c>
      <c r="AV62" s="8">
        <v>136</v>
      </c>
      <c r="AW62" s="8">
        <v>122</v>
      </c>
      <c r="AX62" s="8">
        <v>605</v>
      </c>
      <c r="AY62" s="8">
        <v>217</v>
      </c>
      <c r="AZ62" s="8">
        <v>365</v>
      </c>
      <c r="BA62" s="8">
        <v>1283</v>
      </c>
      <c r="BB62" s="8">
        <v>1030</v>
      </c>
      <c r="BC62" s="8">
        <v>15</v>
      </c>
    </row>
    <row r="63" spans="1:55" ht="33.950000000000003">
      <c r="A63" s="5">
        <v>1023</v>
      </c>
      <c r="B63" s="6" t="s">
        <v>47</v>
      </c>
      <c r="C63" s="8" t="s">
        <v>178</v>
      </c>
      <c r="D63" s="8">
        <v>28053</v>
      </c>
      <c r="E63" s="8">
        <v>26751</v>
      </c>
      <c r="F63" s="8">
        <v>26457</v>
      </c>
      <c r="G63" s="8">
        <v>19753</v>
      </c>
      <c r="H63" s="8">
        <v>110</v>
      </c>
      <c r="I63" s="8">
        <v>109</v>
      </c>
      <c r="J63" s="8">
        <v>102</v>
      </c>
      <c r="K63" s="8">
        <v>102</v>
      </c>
      <c r="L63" s="8">
        <v>100</v>
      </c>
      <c r="M63" s="8">
        <v>13</v>
      </c>
      <c r="N63" s="8">
        <v>72</v>
      </c>
      <c r="O63" s="8">
        <v>0</v>
      </c>
      <c r="P63" s="8">
        <v>3</v>
      </c>
      <c r="Q63" s="8">
        <v>5381</v>
      </c>
      <c r="R63" s="8">
        <v>2032</v>
      </c>
      <c r="S63" s="8">
        <v>2813</v>
      </c>
      <c r="T63" s="8">
        <v>177</v>
      </c>
      <c r="U63" s="8">
        <v>127</v>
      </c>
      <c r="V63" s="8">
        <v>251</v>
      </c>
      <c r="W63" s="8">
        <v>1466</v>
      </c>
      <c r="X63" s="8">
        <v>634</v>
      </c>
      <c r="Y63" s="8">
        <v>581</v>
      </c>
      <c r="Z63" s="8">
        <v>219</v>
      </c>
      <c r="AA63" s="8">
        <v>30</v>
      </c>
      <c r="AB63" s="8">
        <v>147</v>
      </c>
      <c r="AC63" s="8">
        <v>40</v>
      </c>
      <c r="AD63" s="8">
        <v>92</v>
      </c>
      <c r="AE63" s="8">
        <v>950</v>
      </c>
      <c r="AF63" s="8">
        <v>16</v>
      </c>
      <c r="AG63" s="8">
        <v>14066</v>
      </c>
      <c r="AH63" s="8">
        <v>13023</v>
      </c>
      <c r="AI63" s="8">
        <v>169</v>
      </c>
      <c r="AJ63" s="8">
        <v>36</v>
      </c>
      <c r="AK63" s="8">
        <v>12502</v>
      </c>
      <c r="AL63" s="8">
        <v>9631</v>
      </c>
      <c r="AM63" s="8">
        <v>34</v>
      </c>
      <c r="AN63" s="8">
        <v>6550</v>
      </c>
      <c r="AO63" s="8">
        <v>1496</v>
      </c>
      <c r="AP63" s="8">
        <v>4677</v>
      </c>
      <c r="AQ63" s="8">
        <v>2236</v>
      </c>
      <c r="AR63" s="8">
        <v>2205</v>
      </c>
      <c r="AS63" s="8">
        <v>1214</v>
      </c>
      <c r="AT63" s="8">
        <v>880</v>
      </c>
      <c r="AU63" s="8">
        <v>2419</v>
      </c>
      <c r="AV63" s="8">
        <v>587</v>
      </c>
      <c r="AW63" s="8">
        <v>255</v>
      </c>
      <c r="AX63" s="8">
        <v>847</v>
      </c>
      <c r="AY63" s="8">
        <v>471</v>
      </c>
      <c r="AZ63" s="8">
        <v>342</v>
      </c>
      <c r="BA63" s="8">
        <v>1371</v>
      </c>
      <c r="BB63" s="8">
        <v>1113</v>
      </c>
      <c r="BC63" s="8">
        <v>44</v>
      </c>
    </row>
    <row r="64" spans="1:55" ht="68.099999999999994">
      <c r="A64" s="5">
        <v>1121</v>
      </c>
      <c r="B64" s="6" t="s">
        <v>75</v>
      </c>
      <c r="C64" s="8" t="s">
        <v>202</v>
      </c>
      <c r="D64" s="8">
        <v>205943</v>
      </c>
      <c r="E64" s="8">
        <v>200135</v>
      </c>
      <c r="F64" s="8">
        <v>194780</v>
      </c>
      <c r="G64" s="8">
        <v>141444</v>
      </c>
      <c r="H64" s="8">
        <v>200</v>
      </c>
      <c r="I64" s="8">
        <v>200</v>
      </c>
      <c r="J64" s="8">
        <v>182</v>
      </c>
      <c r="K64" s="8">
        <v>181</v>
      </c>
      <c r="L64" s="8">
        <v>179</v>
      </c>
      <c r="M64" s="8">
        <v>74</v>
      </c>
      <c r="N64" s="8">
        <v>68</v>
      </c>
      <c r="O64" s="8">
        <v>0</v>
      </c>
      <c r="P64" s="8">
        <v>6</v>
      </c>
      <c r="Q64" s="8">
        <v>73229</v>
      </c>
      <c r="R64" s="8">
        <v>14299</v>
      </c>
      <c r="S64" s="8">
        <v>57956</v>
      </c>
      <c r="T64" s="8">
        <v>2701</v>
      </c>
      <c r="U64" s="8">
        <v>1530</v>
      </c>
      <c r="V64" s="8">
        <v>5493</v>
      </c>
      <c r="W64" s="8">
        <v>27346</v>
      </c>
      <c r="X64" s="8">
        <v>8684</v>
      </c>
      <c r="Y64" s="8">
        <v>8235</v>
      </c>
      <c r="Z64" s="8">
        <v>5591</v>
      </c>
      <c r="AA64" s="8">
        <v>631</v>
      </c>
      <c r="AB64" s="8">
        <v>4571</v>
      </c>
      <c r="AC64" s="8">
        <v>1610</v>
      </c>
      <c r="AD64" s="8">
        <v>2299</v>
      </c>
      <c r="AE64" s="8">
        <v>22117</v>
      </c>
      <c r="AF64" s="8">
        <v>169</v>
      </c>
      <c r="AG64" s="8">
        <v>66838</v>
      </c>
      <c r="AH64" s="8">
        <v>63745</v>
      </c>
      <c r="AI64" s="8">
        <v>75</v>
      </c>
      <c r="AJ64" s="8">
        <v>135</v>
      </c>
      <c r="AK64" s="8">
        <v>63066</v>
      </c>
      <c r="AL64" s="8">
        <v>29342</v>
      </c>
      <c r="AM64" s="8">
        <v>372</v>
      </c>
      <c r="AN64" s="8">
        <v>10885</v>
      </c>
      <c r="AO64" s="8">
        <v>2168</v>
      </c>
      <c r="AP64" s="8">
        <v>8169</v>
      </c>
      <c r="AQ64" s="8">
        <v>15483</v>
      </c>
      <c r="AR64" s="8">
        <v>14999</v>
      </c>
      <c r="AS64" s="8">
        <v>5073</v>
      </c>
      <c r="AT64" s="8">
        <v>703</v>
      </c>
      <c r="AU64" s="8">
        <v>30667</v>
      </c>
      <c r="AV64" s="8">
        <v>6092</v>
      </c>
      <c r="AW64" s="8">
        <v>646</v>
      </c>
      <c r="AX64" s="8">
        <v>1683</v>
      </c>
      <c r="AY64" s="8">
        <v>1236</v>
      </c>
      <c r="AZ64" s="8">
        <v>402</v>
      </c>
      <c r="BA64" s="8">
        <v>27892</v>
      </c>
      <c r="BB64" s="8">
        <v>15173</v>
      </c>
      <c r="BC64" s="8">
        <v>32</v>
      </c>
    </row>
    <row r="65" spans="1:55" ht="33.950000000000003">
      <c r="A65" s="5">
        <v>1014</v>
      </c>
      <c r="B65" s="6" t="s">
        <v>40</v>
      </c>
      <c r="C65" s="8" t="s">
        <v>172</v>
      </c>
      <c r="D65" s="8">
        <v>112228</v>
      </c>
      <c r="E65" s="8">
        <v>110574</v>
      </c>
      <c r="F65" s="8">
        <v>108857</v>
      </c>
      <c r="G65" s="8">
        <v>49789</v>
      </c>
      <c r="H65" s="8">
        <v>975</v>
      </c>
      <c r="I65" s="8">
        <v>936</v>
      </c>
      <c r="J65" s="8">
        <v>914</v>
      </c>
      <c r="K65" s="8">
        <v>908</v>
      </c>
      <c r="L65" s="8">
        <v>907</v>
      </c>
      <c r="M65" s="8">
        <v>749</v>
      </c>
      <c r="N65" s="8">
        <v>26</v>
      </c>
      <c r="O65" s="8">
        <v>0</v>
      </c>
      <c r="P65" s="8">
        <v>0</v>
      </c>
      <c r="Q65" s="8">
        <v>20845</v>
      </c>
      <c r="R65" s="8">
        <v>3782</v>
      </c>
      <c r="S65" s="8">
        <v>16514</v>
      </c>
      <c r="T65" s="8">
        <v>2447</v>
      </c>
      <c r="U65" s="8">
        <v>1124</v>
      </c>
      <c r="V65" s="8">
        <v>1219</v>
      </c>
      <c r="W65" s="8">
        <v>6527</v>
      </c>
      <c r="X65" s="8">
        <v>4609</v>
      </c>
      <c r="Y65" s="8">
        <v>4424</v>
      </c>
      <c r="Z65" s="8">
        <v>2183</v>
      </c>
      <c r="AA65" s="8">
        <v>369</v>
      </c>
      <c r="AB65" s="8">
        <v>955</v>
      </c>
      <c r="AC65" s="8">
        <v>167</v>
      </c>
      <c r="AD65" s="8">
        <v>646</v>
      </c>
      <c r="AE65" s="8">
        <v>6180</v>
      </c>
      <c r="AF65" s="8">
        <v>94</v>
      </c>
      <c r="AG65" s="8">
        <v>27126</v>
      </c>
      <c r="AH65" s="8">
        <v>25648</v>
      </c>
      <c r="AI65" s="8">
        <v>195</v>
      </c>
      <c r="AJ65" s="8">
        <v>1019</v>
      </c>
      <c r="AK65" s="8">
        <v>23619</v>
      </c>
      <c r="AL65" s="8">
        <v>17982</v>
      </c>
      <c r="AM65" s="8">
        <v>56</v>
      </c>
      <c r="AN65" s="8">
        <v>13351</v>
      </c>
      <c r="AO65" s="8">
        <v>6052</v>
      </c>
      <c r="AP65" s="8">
        <v>5873</v>
      </c>
      <c r="AQ65" s="8">
        <v>3827</v>
      </c>
      <c r="AR65" s="8">
        <v>3768</v>
      </c>
      <c r="AS65" s="8">
        <v>1661</v>
      </c>
      <c r="AT65" s="8">
        <v>438</v>
      </c>
      <c r="AU65" s="8">
        <v>5083</v>
      </c>
      <c r="AV65" s="8">
        <v>1141</v>
      </c>
      <c r="AW65" s="8">
        <v>231</v>
      </c>
      <c r="AX65" s="8">
        <v>409</v>
      </c>
      <c r="AY65" s="8">
        <v>127</v>
      </c>
      <c r="AZ65" s="8">
        <v>257</v>
      </c>
      <c r="BA65" s="8">
        <v>4579</v>
      </c>
      <c r="BB65" s="8">
        <v>3318</v>
      </c>
      <c r="BC65" s="8">
        <v>7</v>
      </c>
    </row>
    <row r="66" spans="1:55" ht="17.100000000000001">
      <c r="A66" s="5">
        <v>1050</v>
      </c>
      <c r="B66" s="6" t="s">
        <v>59</v>
      </c>
      <c r="C66" s="8" t="s">
        <v>187</v>
      </c>
      <c r="D66" s="8">
        <v>237179</v>
      </c>
      <c r="E66" s="8">
        <v>231914</v>
      </c>
      <c r="F66" s="8">
        <v>230665</v>
      </c>
      <c r="G66" s="8">
        <v>209161</v>
      </c>
      <c r="H66" s="8">
        <v>3077</v>
      </c>
      <c r="I66" s="8">
        <v>3064</v>
      </c>
      <c r="J66" s="8">
        <v>2986</v>
      </c>
      <c r="K66" s="8">
        <v>2983</v>
      </c>
      <c r="L66" s="8">
        <v>2980</v>
      </c>
      <c r="M66" s="8">
        <v>2256</v>
      </c>
      <c r="N66" s="8">
        <v>362</v>
      </c>
      <c r="O66" s="8">
        <v>7</v>
      </c>
      <c r="P66" s="8">
        <v>9</v>
      </c>
      <c r="Q66" s="8">
        <v>127011</v>
      </c>
      <c r="R66" s="8">
        <v>18926</v>
      </c>
      <c r="S66" s="8">
        <v>105764</v>
      </c>
      <c r="T66" s="8">
        <v>2370</v>
      </c>
      <c r="U66" s="8">
        <v>13138</v>
      </c>
      <c r="V66" s="8">
        <v>32213</v>
      </c>
      <c r="W66" s="8">
        <v>36972</v>
      </c>
      <c r="X66" s="8">
        <v>13681</v>
      </c>
      <c r="Y66" s="8">
        <v>13401</v>
      </c>
      <c r="Z66" s="8">
        <v>10738</v>
      </c>
      <c r="AA66" s="8">
        <v>1116</v>
      </c>
      <c r="AB66" s="8">
        <v>5687</v>
      </c>
      <c r="AC66" s="8">
        <v>739</v>
      </c>
      <c r="AD66" s="8">
        <v>4547</v>
      </c>
      <c r="AE66" s="8">
        <v>51864</v>
      </c>
      <c r="AF66" s="8">
        <v>237</v>
      </c>
      <c r="AG66" s="8">
        <v>77456</v>
      </c>
      <c r="AH66" s="8">
        <v>75151</v>
      </c>
      <c r="AI66" s="8">
        <v>1121</v>
      </c>
      <c r="AJ66" s="8">
        <v>307</v>
      </c>
      <c r="AK66" s="8">
        <v>69637</v>
      </c>
      <c r="AL66" s="8">
        <v>50709</v>
      </c>
      <c r="AM66" s="8">
        <v>521</v>
      </c>
      <c r="AN66" s="8">
        <v>36379</v>
      </c>
      <c r="AO66" s="8">
        <v>8695</v>
      </c>
      <c r="AP66" s="8">
        <v>25200</v>
      </c>
      <c r="AQ66" s="8">
        <v>9572</v>
      </c>
      <c r="AR66" s="8">
        <v>9516</v>
      </c>
      <c r="AS66" s="8">
        <v>2422</v>
      </c>
      <c r="AT66" s="8">
        <v>763</v>
      </c>
      <c r="AU66" s="8">
        <v>15914</v>
      </c>
      <c r="AV66" s="8">
        <v>4566</v>
      </c>
      <c r="AW66" s="8">
        <v>334</v>
      </c>
      <c r="AX66" s="8">
        <v>5439</v>
      </c>
      <c r="AY66" s="8">
        <v>1891</v>
      </c>
      <c r="AZ66" s="8">
        <v>3289</v>
      </c>
      <c r="BA66" s="8">
        <v>9250</v>
      </c>
      <c r="BB66" s="8">
        <v>7752</v>
      </c>
      <c r="BC66" s="8">
        <v>15</v>
      </c>
    </row>
    <row r="67" spans="1:55" ht="33.950000000000003">
      <c r="A67" s="5">
        <v>1066</v>
      </c>
      <c r="B67" s="6" t="s">
        <v>62</v>
      </c>
      <c r="C67" s="8" t="s">
        <v>190</v>
      </c>
      <c r="D67" s="8">
        <v>137438</v>
      </c>
      <c r="E67" s="8">
        <v>134002</v>
      </c>
      <c r="F67" s="8">
        <v>128884</v>
      </c>
      <c r="G67" s="8">
        <v>106643</v>
      </c>
      <c r="H67" s="8">
        <v>61</v>
      </c>
      <c r="I67" s="8">
        <v>60</v>
      </c>
      <c r="J67" s="8">
        <v>57</v>
      </c>
      <c r="K67" s="8">
        <v>56</v>
      </c>
      <c r="L67" s="8">
        <v>53</v>
      </c>
      <c r="M67" s="8">
        <v>19</v>
      </c>
      <c r="N67" s="8">
        <v>28</v>
      </c>
      <c r="O67" s="8">
        <v>0</v>
      </c>
      <c r="P67" s="8">
        <v>1</v>
      </c>
      <c r="Q67" s="8">
        <v>45445</v>
      </c>
      <c r="R67" s="8">
        <v>10135</v>
      </c>
      <c r="S67" s="8">
        <v>34601</v>
      </c>
      <c r="T67" s="8">
        <v>614</v>
      </c>
      <c r="U67" s="8">
        <v>216</v>
      </c>
      <c r="V67" s="8">
        <v>2254</v>
      </c>
      <c r="W67" s="8">
        <v>24333</v>
      </c>
      <c r="X67" s="8">
        <v>13588</v>
      </c>
      <c r="Y67" s="8">
        <v>12140</v>
      </c>
      <c r="Z67" s="8">
        <v>2310</v>
      </c>
      <c r="AA67" s="8">
        <v>100</v>
      </c>
      <c r="AB67" s="8">
        <v>1349</v>
      </c>
      <c r="AC67" s="8">
        <v>19</v>
      </c>
      <c r="AD67" s="8">
        <v>1281</v>
      </c>
      <c r="AE67" s="8">
        <v>5553</v>
      </c>
      <c r="AF67" s="8">
        <v>239</v>
      </c>
      <c r="AG67" s="8">
        <v>60081</v>
      </c>
      <c r="AH67" s="8">
        <v>58737</v>
      </c>
      <c r="AI67" s="8">
        <v>3124</v>
      </c>
      <c r="AJ67" s="8">
        <v>425</v>
      </c>
      <c r="AK67" s="8">
        <v>47576</v>
      </c>
      <c r="AL67" s="8">
        <v>27536</v>
      </c>
      <c r="AM67" s="8">
        <v>307</v>
      </c>
      <c r="AN67" s="8">
        <v>8699</v>
      </c>
      <c r="AO67" s="8">
        <v>219</v>
      </c>
      <c r="AP67" s="8">
        <v>8348</v>
      </c>
      <c r="AQ67" s="8">
        <v>16660</v>
      </c>
      <c r="AR67" s="8">
        <v>16637</v>
      </c>
      <c r="AS67" s="8">
        <v>9363</v>
      </c>
      <c r="AT67" s="8">
        <v>6646</v>
      </c>
      <c r="AU67" s="8">
        <v>14814</v>
      </c>
      <c r="AV67" s="8">
        <v>8343</v>
      </c>
      <c r="AW67" s="8">
        <v>5066</v>
      </c>
      <c r="AX67" s="8">
        <v>3378</v>
      </c>
      <c r="AY67" s="8">
        <v>2715</v>
      </c>
      <c r="AZ67" s="8">
        <v>495</v>
      </c>
      <c r="BA67" s="8">
        <v>10383</v>
      </c>
      <c r="BB67" s="8">
        <v>10165</v>
      </c>
      <c r="BC67" s="8">
        <v>15</v>
      </c>
    </row>
    <row r="68" spans="1:55" ht="17.100000000000001">
      <c r="A68" s="5">
        <v>1026</v>
      </c>
      <c r="B68" s="6" t="s">
        <v>48</v>
      </c>
      <c r="C68" s="8" t="s">
        <v>179</v>
      </c>
      <c r="D68" s="8">
        <v>259455</v>
      </c>
      <c r="E68" s="8">
        <v>252631</v>
      </c>
      <c r="F68" s="8">
        <v>242041</v>
      </c>
      <c r="G68" s="8">
        <v>173053</v>
      </c>
      <c r="H68" s="8">
        <v>348</v>
      </c>
      <c r="I68" s="8">
        <v>337</v>
      </c>
      <c r="J68" s="8">
        <v>316</v>
      </c>
      <c r="K68" s="8">
        <v>313</v>
      </c>
      <c r="L68" s="8">
        <v>311</v>
      </c>
      <c r="M68" s="8">
        <v>145</v>
      </c>
      <c r="N68" s="8">
        <v>142</v>
      </c>
      <c r="O68" s="8">
        <v>16</v>
      </c>
      <c r="P68" s="8">
        <v>1</v>
      </c>
      <c r="Q68" s="8">
        <v>91092</v>
      </c>
      <c r="R68" s="8">
        <v>35108</v>
      </c>
      <c r="S68" s="8">
        <v>53897</v>
      </c>
      <c r="T68" s="8">
        <v>4116</v>
      </c>
      <c r="U68" s="8">
        <v>2535</v>
      </c>
      <c r="V68" s="8">
        <v>3082</v>
      </c>
      <c r="W68" s="8">
        <v>18819</v>
      </c>
      <c r="X68" s="8">
        <v>2263</v>
      </c>
      <c r="Y68" s="8">
        <v>2165</v>
      </c>
      <c r="Z68" s="8">
        <v>14814</v>
      </c>
      <c r="AA68" s="8">
        <v>2109</v>
      </c>
      <c r="AB68" s="8">
        <v>11865</v>
      </c>
      <c r="AC68" s="8">
        <v>800</v>
      </c>
      <c r="AD68" s="8">
        <v>10253</v>
      </c>
      <c r="AE68" s="8">
        <v>16059</v>
      </c>
      <c r="AF68" s="8">
        <v>180</v>
      </c>
      <c r="AG68" s="8">
        <v>80290</v>
      </c>
      <c r="AH68" s="8">
        <v>72422</v>
      </c>
      <c r="AI68" s="8">
        <v>658</v>
      </c>
      <c r="AJ68" s="8">
        <v>475</v>
      </c>
      <c r="AK68" s="8">
        <v>69674</v>
      </c>
      <c r="AL68" s="8">
        <v>47233</v>
      </c>
      <c r="AM68" s="8">
        <v>60</v>
      </c>
      <c r="AN68" s="8">
        <v>12537</v>
      </c>
      <c r="AO68" s="8">
        <v>1468</v>
      </c>
      <c r="AP68" s="8">
        <v>10548</v>
      </c>
      <c r="AQ68" s="8">
        <v>29598</v>
      </c>
      <c r="AR68" s="8">
        <v>29371</v>
      </c>
      <c r="AS68" s="8">
        <v>4043</v>
      </c>
      <c r="AT68" s="8">
        <v>788</v>
      </c>
      <c r="AU68" s="8">
        <v>19847</v>
      </c>
      <c r="AV68" s="8">
        <v>3939</v>
      </c>
      <c r="AW68" s="8">
        <v>434</v>
      </c>
      <c r="AX68" s="8">
        <v>2247</v>
      </c>
      <c r="AY68" s="8">
        <v>1386</v>
      </c>
      <c r="AZ68" s="8">
        <v>708</v>
      </c>
      <c r="BA68" s="8">
        <v>16317</v>
      </c>
      <c r="BB68" s="8">
        <v>12098</v>
      </c>
      <c r="BC68" s="8">
        <v>257</v>
      </c>
    </row>
    <row r="69" spans="1:55" ht="33.950000000000003">
      <c r="A69" s="5">
        <v>1016</v>
      </c>
      <c r="B69" s="6" t="s">
        <v>42</v>
      </c>
      <c r="C69" s="8" t="s">
        <v>174</v>
      </c>
      <c r="D69" s="8">
        <v>68990</v>
      </c>
      <c r="E69" s="8">
        <v>66382</v>
      </c>
      <c r="F69" s="8">
        <v>62287</v>
      </c>
      <c r="G69" s="8">
        <v>24096</v>
      </c>
      <c r="H69" s="8">
        <v>2069</v>
      </c>
      <c r="I69" s="8">
        <v>2063</v>
      </c>
      <c r="J69" s="8">
        <v>2052</v>
      </c>
      <c r="K69" s="8">
        <v>2051</v>
      </c>
      <c r="L69" s="8">
        <v>2051</v>
      </c>
      <c r="M69" s="8">
        <v>1541</v>
      </c>
      <c r="N69" s="8">
        <v>330</v>
      </c>
      <c r="O69" s="8">
        <v>0</v>
      </c>
      <c r="P69" s="8">
        <v>3</v>
      </c>
      <c r="Q69" s="8">
        <v>9198</v>
      </c>
      <c r="R69" s="8">
        <v>1354</v>
      </c>
      <c r="S69" s="8">
        <v>7746</v>
      </c>
      <c r="T69" s="8">
        <v>485</v>
      </c>
      <c r="U69" s="8">
        <v>230</v>
      </c>
      <c r="V69" s="8">
        <v>662</v>
      </c>
      <c r="W69" s="8">
        <v>2203</v>
      </c>
      <c r="X69" s="8">
        <v>566</v>
      </c>
      <c r="Y69" s="8">
        <v>491</v>
      </c>
      <c r="Z69" s="8">
        <v>1667</v>
      </c>
      <c r="AA69" s="8">
        <v>720</v>
      </c>
      <c r="AB69" s="8">
        <v>660</v>
      </c>
      <c r="AC69" s="8">
        <v>262</v>
      </c>
      <c r="AD69" s="8">
        <v>369</v>
      </c>
      <c r="AE69" s="8">
        <v>3017</v>
      </c>
      <c r="AF69" s="8">
        <v>35</v>
      </c>
      <c r="AG69" s="8">
        <v>12328</v>
      </c>
      <c r="AH69" s="8">
        <v>11598</v>
      </c>
      <c r="AI69" s="8">
        <v>134</v>
      </c>
      <c r="AJ69" s="8">
        <v>524</v>
      </c>
      <c r="AK69" s="8">
        <v>10499</v>
      </c>
      <c r="AL69" s="8">
        <v>6185</v>
      </c>
      <c r="AM69" s="8">
        <v>10</v>
      </c>
      <c r="AN69" s="8">
        <v>4949</v>
      </c>
      <c r="AO69" s="8">
        <v>711</v>
      </c>
      <c r="AP69" s="8">
        <v>3833</v>
      </c>
      <c r="AQ69" s="8">
        <v>1000</v>
      </c>
      <c r="AR69" s="8">
        <v>984</v>
      </c>
      <c r="AS69" s="8">
        <v>741</v>
      </c>
      <c r="AT69" s="8">
        <v>395</v>
      </c>
      <c r="AU69" s="8">
        <v>3931</v>
      </c>
      <c r="AV69" s="8">
        <v>1005</v>
      </c>
      <c r="AW69" s="8">
        <v>184</v>
      </c>
      <c r="AX69" s="8">
        <v>594</v>
      </c>
      <c r="AY69" s="8">
        <v>386</v>
      </c>
      <c r="AZ69" s="8">
        <v>164</v>
      </c>
      <c r="BA69" s="8">
        <v>3159</v>
      </c>
      <c r="BB69" s="8">
        <v>2169</v>
      </c>
      <c r="BC69" s="8">
        <v>14</v>
      </c>
    </row>
    <row r="70" spans="1:55" ht="17.100000000000001">
      <c r="A70" s="5">
        <v>1069</v>
      </c>
      <c r="B70" s="6" t="s">
        <v>63</v>
      </c>
      <c r="C70" s="8" t="s">
        <v>191</v>
      </c>
      <c r="D70" s="8">
        <v>195514</v>
      </c>
      <c r="E70" s="8">
        <v>191326</v>
      </c>
      <c r="F70" s="8">
        <v>189278</v>
      </c>
      <c r="G70" s="8">
        <v>151871</v>
      </c>
      <c r="H70" s="8">
        <v>4779</v>
      </c>
      <c r="I70" s="8">
        <v>4746</v>
      </c>
      <c r="J70" s="8">
        <v>4568</v>
      </c>
      <c r="K70" s="8">
        <v>4557</v>
      </c>
      <c r="L70" s="8">
        <v>4547</v>
      </c>
      <c r="M70" s="8">
        <v>1025</v>
      </c>
      <c r="N70" s="8">
        <v>3020</v>
      </c>
      <c r="O70" s="8">
        <v>4</v>
      </c>
      <c r="P70" s="8">
        <v>36</v>
      </c>
      <c r="Q70" s="8">
        <v>90157</v>
      </c>
      <c r="R70" s="8">
        <v>23770</v>
      </c>
      <c r="S70" s="8">
        <v>63914</v>
      </c>
      <c r="T70" s="8">
        <v>1166</v>
      </c>
      <c r="U70" s="8">
        <v>311</v>
      </c>
      <c r="V70" s="8">
        <v>1218</v>
      </c>
      <c r="W70" s="8">
        <v>31700</v>
      </c>
      <c r="X70" s="8">
        <v>7782</v>
      </c>
      <c r="Y70" s="8">
        <v>7581</v>
      </c>
      <c r="Z70" s="8">
        <v>18229</v>
      </c>
      <c r="AA70" s="8">
        <v>3851</v>
      </c>
      <c r="AB70" s="8">
        <v>11044</v>
      </c>
      <c r="AC70" s="8">
        <v>173</v>
      </c>
      <c r="AD70" s="8">
        <v>9862</v>
      </c>
      <c r="AE70" s="8">
        <v>7980</v>
      </c>
      <c r="AF70" s="8">
        <v>122</v>
      </c>
      <c r="AG70" s="8">
        <v>53447</v>
      </c>
      <c r="AH70" s="8">
        <v>50207</v>
      </c>
      <c r="AI70" s="8">
        <v>275</v>
      </c>
      <c r="AJ70" s="8">
        <v>290</v>
      </c>
      <c r="AK70" s="8">
        <v>48822</v>
      </c>
      <c r="AL70" s="8">
        <v>32990</v>
      </c>
      <c r="AM70" s="8">
        <v>108</v>
      </c>
      <c r="AN70" s="8">
        <v>26767</v>
      </c>
      <c r="AO70" s="8">
        <v>7187</v>
      </c>
      <c r="AP70" s="8">
        <v>16646</v>
      </c>
      <c r="AQ70" s="8">
        <v>5246</v>
      </c>
      <c r="AR70" s="8">
        <v>5064</v>
      </c>
      <c r="AS70" s="8">
        <v>3693</v>
      </c>
      <c r="AT70" s="8">
        <v>2360</v>
      </c>
      <c r="AU70" s="8">
        <v>14257</v>
      </c>
      <c r="AV70" s="8">
        <v>2877</v>
      </c>
      <c r="AW70" s="8">
        <v>733</v>
      </c>
      <c r="AX70" s="8">
        <v>8560</v>
      </c>
      <c r="AY70" s="8">
        <v>1374</v>
      </c>
      <c r="AZ70" s="8">
        <v>6395</v>
      </c>
      <c r="BA70" s="8">
        <v>5420</v>
      </c>
      <c r="BB70" s="8">
        <v>4024</v>
      </c>
      <c r="BC70" s="8">
        <v>204</v>
      </c>
    </row>
    <row r="71" spans="1:55" ht="33.950000000000003">
      <c r="A71" s="5">
        <v>1337</v>
      </c>
      <c r="B71" s="6" t="s">
        <v>111</v>
      </c>
      <c r="C71" s="8" t="s">
        <v>239</v>
      </c>
      <c r="D71" s="8">
        <v>50067</v>
      </c>
      <c r="E71" s="8">
        <v>47421</v>
      </c>
      <c r="F71" s="8">
        <v>43820</v>
      </c>
      <c r="G71" s="8">
        <v>22368</v>
      </c>
      <c r="H71" s="8">
        <v>361</v>
      </c>
      <c r="I71" s="8">
        <v>358</v>
      </c>
      <c r="J71" s="8">
        <v>335</v>
      </c>
      <c r="K71" s="8">
        <v>335</v>
      </c>
      <c r="L71" s="8">
        <v>332</v>
      </c>
      <c r="M71" s="8">
        <v>190</v>
      </c>
      <c r="N71" s="8">
        <v>75</v>
      </c>
      <c r="O71" s="8">
        <v>0</v>
      </c>
      <c r="P71" s="8">
        <v>2</v>
      </c>
      <c r="Q71" s="8">
        <v>11444</v>
      </c>
      <c r="R71" s="8">
        <v>1689</v>
      </c>
      <c r="S71" s="8">
        <v>9435</v>
      </c>
      <c r="T71" s="8">
        <v>314</v>
      </c>
      <c r="U71" s="8">
        <v>58</v>
      </c>
      <c r="V71" s="8">
        <v>203</v>
      </c>
      <c r="W71" s="8">
        <v>3044</v>
      </c>
      <c r="X71" s="8">
        <v>537</v>
      </c>
      <c r="Y71" s="8">
        <v>424</v>
      </c>
      <c r="Z71" s="8">
        <v>3699</v>
      </c>
      <c r="AA71" s="8">
        <v>365</v>
      </c>
      <c r="AB71" s="8">
        <v>2831</v>
      </c>
      <c r="AC71" s="8">
        <v>45</v>
      </c>
      <c r="AD71" s="8">
        <v>2686</v>
      </c>
      <c r="AE71" s="8">
        <v>1665</v>
      </c>
      <c r="AF71" s="8">
        <v>54</v>
      </c>
      <c r="AG71" s="8">
        <v>10116</v>
      </c>
      <c r="AH71" s="8">
        <v>9168</v>
      </c>
      <c r="AI71" s="8">
        <v>86</v>
      </c>
      <c r="AJ71" s="8">
        <v>28</v>
      </c>
      <c r="AK71" s="8">
        <v>8623</v>
      </c>
      <c r="AL71" s="8">
        <v>4259</v>
      </c>
      <c r="AM71" s="8">
        <v>11</v>
      </c>
      <c r="AN71" s="8">
        <v>1376</v>
      </c>
      <c r="AO71" s="8">
        <v>475</v>
      </c>
      <c r="AP71" s="8">
        <v>770</v>
      </c>
      <c r="AQ71" s="8">
        <v>2608</v>
      </c>
      <c r="AR71" s="8">
        <v>2580</v>
      </c>
      <c r="AS71" s="8">
        <v>261</v>
      </c>
      <c r="AT71" s="8">
        <v>107</v>
      </c>
      <c r="AU71" s="8">
        <v>3537</v>
      </c>
      <c r="AV71" s="8">
        <v>1024</v>
      </c>
      <c r="AW71" s="8">
        <v>148</v>
      </c>
      <c r="AX71" s="8">
        <v>1250</v>
      </c>
      <c r="AY71" s="8">
        <v>215</v>
      </c>
      <c r="AZ71" s="8">
        <v>947</v>
      </c>
      <c r="BA71" s="8">
        <v>2143</v>
      </c>
      <c r="BB71" s="8">
        <v>1339</v>
      </c>
      <c r="BC71" s="8">
        <v>2</v>
      </c>
    </row>
    <row r="72" spans="1:55" ht="33.950000000000003">
      <c r="A72" s="5">
        <v>1010</v>
      </c>
      <c r="B72" s="6" t="s">
        <v>35</v>
      </c>
      <c r="C72" s="8" t="s">
        <v>169</v>
      </c>
      <c r="D72" s="8">
        <v>284997</v>
      </c>
      <c r="E72" s="8">
        <v>278506</v>
      </c>
      <c r="F72" s="8">
        <v>276399</v>
      </c>
      <c r="G72" s="8">
        <v>216305</v>
      </c>
      <c r="H72" s="8">
        <v>548</v>
      </c>
      <c r="I72" s="8">
        <v>536</v>
      </c>
      <c r="J72" s="8">
        <v>501</v>
      </c>
      <c r="K72" s="8">
        <v>496</v>
      </c>
      <c r="L72" s="8">
        <v>491</v>
      </c>
      <c r="M72" s="8">
        <v>114</v>
      </c>
      <c r="N72" s="8">
        <v>272</v>
      </c>
      <c r="O72" s="8">
        <v>3</v>
      </c>
      <c r="P72" s="8">
        <v>0</v>
      </c>
      <c r="Q72" s="8">
        <v>124747</v>
      </c>
      <c r="R72" s="8">
        <v>20381</v>
      </c>
      <c r="S72" s="8">
        <v>102697</v>
      </c>
      <c r="T72" s="8">
        <v>3254</v>
      </c>
      <c r="U72" s="8">
        <v>8529</v>
      </c>
      <c r="V72" s="8">
        <v>16692</v>
      </c>
      <c r="W72" s="8">
        <v>57126</v>
      </c>
      <c r="X72" s="8">
        <v>23217</v>
      </c>
      <c r="Y72" s="8">
        <v>23059</v>
      </c>
      <c r="Z72" s="8">
        <v>10814</v>
      </c>
      <c r="AA72" s="8">
        <v>1135</v>
      </c>
      <c r="AB72" s="8">
        <v>8786</v>
      </c>
      <c r="AC72" s="8">
        <v>3198</v>
      </c>
      <c r="AD72" s="8">
        <v>4026</v>
      </c>
      <c r="AE72" s="8">
        <v>28333</v>
      </c>
      <c r="AF72" s="8">
        <v>165</v>
      </c>
      <c r="AG72" s="8">
        <v>88203</v>
      </c>
      <c r="AH72" s="8">
        <v>84921</v>
      </c>
      <c r="AI72" s="8">
        <v>1050</v>
      </c>
      <c r="AJ72" s="8">
        <v>568</v>
      </c>
      <c r="AK72" s="8">
        <v>79921</v>
      </c>
      <c r="AL72" s="8">
        <v>35897</v>
      </c>
      <c r="AM72" s="8">
        <v>330</v>
      </c>
      <c r="AN72" s="8">
        <v>18789</v>
      </c>
      <c r="AO72" s="8">
        <v>6577</v>
      </c>
      <c r="AP72" s="8">
        <v>10997</v>
      </c>
      <c r="AQ72" s="8">
        <v>15251</v>
      </c>
      <c r="AR72" s="8">
        <v>14633</v>
      </c>
      <c r="AS72" s="8">
        <v>5380</v>
      </c>
      <c r="AT72" s="8">
        <v>1510</v>
      </c>
      <c r="AU72" s="8">
        <v>40007</v>
      </c>
      <c r="AV72" s="8">
        <v>7521</v>
      </c>
      <c r="AW72" s="8">
        <v>1434</v>
      </c>
      <c r="AX72" s="8">
        <v>7200</v>
      </c>
      <c r="AY72" s="8">
        <v>1680</v>
      </c>
      <c r="AZ72" s="8">
        <v>5258</v>
      </c>
      <c r="BA72" s="8">
        <v>31488</v>
      </c>
      <c r="BB72" s="8">
        <v>14743</v>
      </c>
      <c r="BC72" s="8">
        <v>49</v>
      </c>
    </row>
    <row r="73" spans="1:55" ht="33.950000000000003">
      <c r="A73" s="5">
        <v>1096</v>
      </c>
      <c r="B73" s="6" t="s">
        <v>68</v>
      </c>
      <c r="C73" s="8" t="s">
        <v>196</v>
      </c>
      <c r="D73" s="8">
        <v>140014</v>
      </c>
      <c r="E73" s="8">
        <v>136628</v>
      </c>
      <c r="F73" s="8">
        <v>130636</v>
      </c>
      <c r="G73" s="8">
        <v>82533</v>
      </c>
      <c r="H73" s="8">
        <v>339</v>
      </c>
      <c r="I73" s="8">
        <v>329</v>
      </c>
      <c r="J73" s="8">
        <v>322</v>
      </c>
      <c r="K73" s="8">
        <v>322</v>
      </c>
      <c r="L73" s="8">
        <v>322</v>
      </c>
      <c r="M73" s="8">
        <v>73</v>
      </c>
      <c r="N73" s="8">
        <v>228</v>
      </c>
      <c r="O73" s="8">
        <v>0</v>
      </c>
      <c r="P73" s="8">
        <v>0</v>
      </c>
      <c r="Q73" s="8">
        <v>23516</v>
      </c>
      <c r="R73" s="8">
        <v>6520</v>
      </c>
      <c r="S73" s="8">
        <v>16266</v>
      </c>
      <c r="T73" s="8">
        <v>1973</v>
      </c>
      <c r="U73" s="8">
        <v>863</v>
      </c>
      <c r="V73" s="8">
        <v>977</v>
      </c>
      <c r="W73" s="8">
        <v>5758</v>
      </c>
      <c r="X73" s="8">
        <v>937</v>
      </c>
      <c r="Y73" s="8">
        <v>837</v>
      </c>
      <c r="Z73" s="8">
        <v>2712</v>
      </c>
      <c r="AA73" s="8">
        <v>509</v>
      </c>
      <c r="AB73" s="8">
        <v>1770</v>
      </c>
      <c r="AC73" s="8">
        <v>18</v>
      </c>
      <c r="AD73" s="8">
        <v>1740</v>
      </c>
      <c r="AE73" s="8">
        <v>6761</v>
      </c>
      <c r="AF73" s="8">
        <v>275</v>
      </c>
      <c r="AG73" s="8">
        <v>57683</v>
      </c>
      <c r="AH73" s="8">
        <v>52269</v>
      </c>
      <c r="AI73" s="8">
        <v>130</v>
      </c>
      <c r="AJ73" s="8">
        <v>1611</v>
      </c>
      <c r="AK73" s="8">
        <v>49046</v>
      </c>
      <c r="AL73" s="8">
        <v>12970</v>
      </c>
      <c r="AM73" s="8">
        <v>13</v>
      </c>
      <c r="AN73" s="8">
        <v>3871</v>
      </c>
      <c r="AO73" s="8">
        <v>1049</v>
      </c>
      <c r="AP73" s="8">
        <v>2647</v>
      </c>
      <c r="AQ73" s="8">
        <v>7888</v>
      </c>
      <c r="AR73" s="8">
        <v>7795</v>
      </c>
      <c r="AS73" s="8">
        <v>883</v>
      </c>
      <c r="AT73" s="8">
        <v>137</v>
      </c>
      <c r="AU73" s="8">
        <v>34269</v>
      </c>
      <c r="AV73" s="8">
        <v>3056</v>
      </c>
      <c r="AW73" s="8">
        <v>385</v>
      </c>
      <c r="AX73" s="8">
        <v>3845</v>
      </c>
      <c r="AY73" s="8">
        <v>1948</v>
      </c>
      <c r="AZ73" s="8">
        <v>1646</v>
      </c>
      <c r="BA73" s="8">
        <v>29139</v>
      </c>
      <c r="BB73" s="8">
        <v>18363</v>
      </c>
      <c r="BC73" s="8">
        <v>94</v>
      </c>
    </row>
    <row r="74" spans="1:55" ht="33.950000000000003">
      <c r="A74" s="5">
        <v>1245</v>
      </c>
      <c r="B74" s="6" t="s">
        <v>105</v>
      </c>
      <c r="C74" s="8" t="s">
        <v>232</v>
      </c>
      <c r="D74" s="8">
        <v>41053</v>
      </c>
      <c r="E74" s="8">
        <v>38077</v>
      </c>
      <c r="F74" s="8">
        <v>36555</v>
      </c>
      <c r="G74" s="8">
        <v>27594</v>
      </c>
      <c r="H74" s="8">
        <v>67</v>
      </c>
      <c r="I74" s="8">
        <v>65</v>
      </c>
      <c r="J74" s="8">
        <v>58</v>
      </c>
      <c r="K74" s="8">
        <v>57</v>
      </c>
      <c r="L74" s="8">
        <v>56</v>
      </c>
      <c r="M74" s="8">
        <v>14</v>
      </c>
      <c r="N74" s="8">
        <v>36</v>
      </c>
      <c r="O74" s="8">
        <v>0</v>
      </c>
      <c r="P74" s="8">
        <v>0</v>
      </c>
      <c r="Q74" s="8">
        <v>14794</v>
      </c>
      <c r="R74" s="8">
        <v>3140</v>
      </c>
      <c r="S74" s="8">
        <v>11321</v>
      </c>
      <c r="T74" s="8">
        <v>315</v>
      </c>
      <c r="U74" s="8">
        <v>55</v>
      </c>
      <c r="V74" s="8">
        <v>474</v>
      </c>
      <c r="W74" s="8">
        <v>6847</v>
      </c>
      <c r="X74" s="8">
        <v>1390</v>
      </c>
      <c r="Y74" s="8">
        <v>1356</v>
      </c>
      <c r="Z74" s="8">
        <v>1393</v>
      </c>
      <c r="AA74" s="8">
        <v>161</v>
      </c>
      <c r="AB74" s="8">
        <v>1141</v>
      </c>
      <c r="AC74" s="8">
        <v>199</v>
      </c>
      <c r="AD74" s="8">
        <v>886</v>
      </c>
      <c r="AE74" s="8">
        <v>2198</v>
      </c>
      <c r="AF74" s="8">
        <v>99</v>
      </c>
      <c r="AG74" s="8">
        <v>12479</v>
      </c>
      <c r="AH74" s="8">
        <v>11532</v>
      </c>
      <c r="AI74" s="8">
        <v>62</v>
      </c>
      <c r="AJ74" s="8">
        <v>15</v>
      </c>
      <c r="AK74" s="8">
        <v>11230</v>
      </c>
      <c r="AL74" s="8">
        <v>8824</v>
      </c>
      <c r="AM74" s="8">
        <v>18</v>
      </c>
      <c r="AN74" s="8">
        <v>4814</v>
      </c>
      <c r="AO74" s="8">
        <v>2045</v>
      </c>
      <c r="AP74" s="8">
        <v>2356</v>
      </c>
      <c r="AQ74" s="8">
        <v>3463</v>
      </c>
      <c r="AR74" s="8">
        <v>3405</v>
      </c>
      <c r="AS74" s="8">
        <v>411</v>
      </c>
      <c r="AT74" s="8">
        <v>187</v>
      </c>
      <c r="AU74" s="8">
        <v>2059</v>
      </c>
      <c r="AV74" s="8">
        <v>298</v>
      </c>
      <c r="AW74" s="8">
        <v>91</v>
      </c>
      <c r="AX74" s="8">
        <v>932</v>
      </c>
      <c r="AY74" s="8">
        <v>206</v>
      </c>
      <c r="AZ74" s="8">
        <v>676</v>
      </c>
      <c r="BA74" s="8">
        <v>1034</v>
      </c>
      <c r="BB74" s="8">
        <v>662</v>
      </c>
      <c r="BC74" s="8">
        <v>7</v>
      </c>
    </row>
    <row r="75" spans="1:55" ht="33.950000000000003">
      <c r="A75" s="5">
        <v>1031</v>
      </c>
      <c r="B75" s="6" t="s">
        <v>50</v>
      </c>
      <c r="C75" s="8" t="s">
        <v>180</v>
      </c>
      <c r="D75" s="8">
        <v>74917</v>
      </c>
      <c r="E75" s="8">
        <v>72976</v>
      </c>
      <c r="F75" s="8">
        <v>71165</v>
      </c>
      <c r="G75" s="8">
        <v>40842</v>
      </c>
      <c r="H75" s="8">
        <v>711</v>
      </c>
      <c r="I75" s="8">
        <v>707</v>
      </c>
      <c r="J75" s="8">
        <v>681</v>
      </c>
      <c r="K75" s="8">
        <v>680</v>
      </c>
      <c r="L75" s="8">
        <v>680</v>
      </c>
      <c r="M75" s="8">
        <v>268</v>
      </c>
      <c r="N75" s="8">
        <v>299</v>
      </c>
      <c r="O75" s="8">
        <v>7</v>
      </c>
      <c r="P75" s="8">
        <v>7</v>
      </c>
      <c r="Q75" s="8">
        <v>16327</v>
      </c>
      <c r="R75" s="8">
        <v>4786</v>
      </c>
      <c r="S75" s="8">
        <v>10782</v>
      </c>
      <c r="T75" s="8">
        <v>402</v>
      </c>
      <c r="U75" s="8">
        <v>279</v>
      </c>
      <c r="V75" s="8">
        <v>723</v>
      </c>
      <c r="W75" s="8">
        <v>3362</v>
      </c>
      <c r="X75" s="8">
        <v>970</v>
      </c>
      <c r="Y75" s="8">
        <v>920</v>
      </c>
      <c r="Z75" s="8">
        <v>2007</v>
      </c>
      <c r="AA75" s="8">
        <v>411</v>
      </c>
      <c r="AB75" s="8">
        <v>1361</v>
      </c>
      <c r="AC75" s="8">
        <v>42</v>
      </c>
      <c r="AD75" s="8">
        <v>1185</v>
      </c>
      <c r="AE75" s="8">
        <v>4631</v>
      </c>
      <c r="AF75" s="8">
        <v>32</v>
      </c>
      <c r="AG75" s="8">
        <v>23429</v>
      </c>
      <c r="AH75" s="8">
        <v>22711</v>
      </c>
      <c r="AI75" s="8">
        <v>159</v>
      </c>
      <c r="AJ75" s="8">
        <v>25</v>
      </c>
      <c r="AK75" s="8">
        <v>21878</v>
      </c>
      <c r="AL75" s="8">
        <v>11267</v>
      </c>
      <c r="AM75" s="8">
        <v>51</v>
      </c>
      <c r="AN75" s="8">
        <v>8299</v>
      </c>
      <c r="AO75" s="8">
        <v>1106</v>
      </c>
      <c r="AP75" s="8">
        <v>6642</v>
      </c>
      <c r="AQ75" s="8">
        <v>2226</v>
      </c>
      <c r="AR75" s="8">
        <v>2217</v>
      </c>
      <c r="AS75" s="8">
        <v>1184</v>
      </c>
      <c r="AT75" s="8">
        <v>483</v>
      </c>
      <c r="AU75" s="8">
        <v>9826</v>
      </c>
      <c r="AV75" s="8">
        <v>2509</v>
      </c>
      <c r="AW75" s="8">
        <v>278</v>
      </c>
      <c r="AX75" s="8">
        <v>3117</v>
      </c>
      <c r="AY75" s="8">
        <v>1572</v>
      </c>
      <c r="AZ75" s="8">
        <v>1232</v>
      </c>
      <c r="BA75" s="8">
        <v>6037</v>
      </c>
      <c r="BB75" s="8">
        <v>5498</v>
      </c>
      <c r="BC75" s="8">
        <v>3</v>
      </c>
    </row>
    <row r="76" spans="1:55" ht="33.950000000000003">
      <c r="A76" s="5">
        <v>1300</v>
      </c>
      <c r="B76" s="6" t="s">
        <v>106</v>
      </c>
      <c r="C76" s="8" t="s">
        <v>234</v>
      </c>
      <c r="D76" s="8">
        <v>93789</v>
      </c>
      <c r="E76" s="8">
        <v>90800</v>
      </c>
      <c r="F76" s="8">
        <v>89845</v>
      </c>
      <c r="G76" s="8">
        <v>82551</v>
      </c>
      <c r="H76" s="8">
        <v>135</v>
      </c>
      <c r="I76" s="8">
        <v>134</v>
      </c>
      <c r="J76" s="8">
        <v>125</v>
      </c>
      <c r="K76" s="8">
        <v>124</v>
      </c>
      <c r="L76" s="8">
        <v>123</v>
      </c>
      <c r="M76" s="8">
        <v>36</v>
      </c>
      <c r="N76" s="8">
        <v>62</v>
      </c>
      <c r="O76" s="8">
        <v>0</v>
      </c>
      <c r="P76" s="8">
        <v>4</v>
      </c>
      <c r="Q76" s="8">
        <v>48721</v>
      </c>
      <c r="R76" s="8">
        <v>9631</v>
      </c>
      <c r="S76" s="8">
        <v>36839</v>
      </c>
      <c r="T76" s="8">
        <v>602</v>
      </c>
      <c r="U76" s="8">
        <v>328</v>
      </c>
      <c r="V76" s="8">
        <v>1375</v>
      </c>
      <c r="W76" s="8">
        <v>21825</v>
      </c>
      <c r="X76" s="8">
        <v>6608</v>
      </c>
      <c r="Y76" s="8">
        <v>6507</v>
      </c>
      <c r="Z76" s="8">
        <v>5880</v>
      </c>
      <c r="AA76" s="8">
        <v>908</v>
      </c>
      <c r="AB76" s="8">
        <v>1429</v>
      </c>
      <c r="AC76" s="8">
        <v>42</v>
      </c>
      <c r="AD76" s="8">
        <v>1297</v>
      </c>
      <c r="AE76" s="8">
        <v>6632</v>
      </c>
      <c r="AF76" s="8">
        <v>369</v>
      </c>
      <c r="AG76" s="8">
        <v>32949</v>
      </c>
      <c r="AH76" s="8">
        <v>30552</v>
      </c>
      <c r="AI76" s="8">
        <v>265</v>
      </c>
      <c r="AJ76" s="8">
        <v>43</v>
      </c>
      <c r="AK76" s="8">
        <v>29114</v>
      </c>
      <c r="AL76" s="8">
        <v>13414</v>
      </c>
      <c r="AM76" s="8">
        <v>227</v>
      </c>
      <c r="AN76" s="8">
        <v>3595</v>
      </c>
      <c r="AO76" s="8">
        <v>835</v>
      </c>
      <c r="AP76" s="8">
        <v>2579</v>
      </c>
      <c r="AQ76" s="8">
        <v>8681</v>
      </c>
      <c r="AR76" s="8">
        <v>8624</v>
      </c>
      <c r="AS76" s="8">
        <v>1438</v>
      </c>
      <c r="AT76" s="8">
        <v>462</v>
      </c>
      <c r="AU76" s="8">
        <v>12834</v>
      </c>
      <c r="AV76" s="8">
        <v>1084</v>
      </c>
      <c r="AW76" s="8">
        <v>441</v>
      </c>
      <c r="AX76" s="8">
        <v>2030</v>
      </c>
      <c r="AY76" s="8">
        <v>1089</v>
      </c>
      <c r="AZ76" s="8">
        <v>801</v>
      </c>
      <c r="BA76" s="8">
        <v>9594</v>
      </c>
      <c r="BB76" s="8">
        <v>8427</v>
      </c>
      <c r="BC76" s="8">
        <v>58</v>
      </c>
    </row>
    <row r="77" spans="1:55" ht="17.100000000000001">
      <c r="A77" s="5">
        <v>1118</v>
      </c>
      <c r="B77" s="6" t="s">
        <v>74</v>
      </c>
      <c r="C77" s="8" t="s">
        <v>201</v>
      </c>
      <c r="D77" s="8">
        <v>122549</v>
      </c>
      <c r="E77" s="8">
        <v>120601</v>
      </c>
      <c r="F77" s="8">
        <v>112566</v>
      </c>
      <c r="G77" s="8">
        <v>82654</v>
      </c>
      <c r="H77" s="8">
        <v>337</v>
      </c>
      <c r="I77" s="8">
        <v>336</v>
      </c>
      <c r="J77" s="8">
        <v>313</v>
      </c>
      <c r="K77" s="8">
        <v>310</v>
      </c>
      <c r="L77" s="8">
        <v>310</v>
      </c>
      <c r="M77" s="8">
        <v>92</v>
      </c>
      <c r="N77" s="8">
        <v>146</v>
      </c>
      <c r="O77" s="8">
        <v>4</v>
      </c>
      <c r="P77" s="8">
        <v>1</v>
      </c>
      <c r="Q77" s="8">
        <v>24810</v>
      </c>
      <c r="R77" s="8">
        <v>4293</v>
      </c>
      <c r="S77" s="8">
        <v>19820</v>
      </c>
      <c r="T77" s="8">
        <v>700</v>
      </c>
      <c r="U77" s="8">
        <v>529</v>
      </c>
      <c r="V77" s="8">
        <v>2170</v>
      </c>
      <c r="W77" s="8">
        <v>6115</v>
      </c>
      <c r="X77" s="8">
        <v>1966</v>
      </c>
      <c r="Y77" s="8">
        <v>1867</v>
      </c>
      <c r="Z77" s="8">
        <v>3728</v>
      </c>
      <c r="AA77" s="8">
        <v>572</v>
      </c>
      <c r="AB77" s="8">
        <v>2838</v>
      </c>
      <c r="AC77" s="8">
        <v>278</v>
      </c>
      <c r="AD77" s="8">
        <v>2252</v>
      </c>
      <c r="AE77" s="8">
        <v>8684</v>
      </c>
      <c r="AF77" s="8">
        <v>441</v>
      </c>
      <c r="AG77" s="8">
        <v>56435</v>
      </c>
      <c r="AH77" s="8">
        <v>53241</v>
      </c>
      <c r="AI77" s="8">
        <v>104</v>
      </c>
      <c r="AJ77" s="8">
        <v>56</v>
      </c>
      <c r="AK77" s="8">
        <v>52619</v>
      </c>
      <c r="AL77" s="8">
        <v>32913</v>
      </c>
      <c r="AM77" s="8">
        <v>163</v>
      </c>
      <c r="AN77" s="8">
        <v>15351</v>
      </c>
      <c r="AO77" s="8">
        <v>6801</v>
      </c>
      <c r="AP77" s="8">
        <v>7526</v>
      </c>
      <c r="AQ77" s="8">
        <v>14811</v>
      </c>
      <c r="AR77" s="8">
        <v>14556</v>
      </c>
      <c r="AS77" s="8">
        <v>1260</v>
      </c>
      <c r="AT77" s="8">
        <v>391</v>
      </c>
      <c r="AU77" s="8">
        <v>15668</v>
      </c>
      <c r="AV77" s="8">
        <v>1850</v>
      </c>
      <c r="AW77" s="8">
        <v>254</v>
      </c>
      <c r="AX77" s="8">
        <v>8198</v>
      </c>
      <c r="AY77" s="8">
        <v>934</v>
      </c>
      <c r="AZ77" s="8">
        <v>6844</v>
      </c>
      <c r="BA77" s="8">
        <v>6524</v>
      </c>
      <c r="BB77" s="8">
        <v>5663</v>
      </c>
      <c r="BC77" s="8">
        <v>35</v>
      </c>
    </row>
    <row r="78" spans="1:55" s="12" customFormat="1">
      <c r="A78" s="12" t="s">
        <v>240</v>
      </c>
      <c r="B78" s="14"/>
      <c r="D78" s="12">
        <f>TTEST(D2:D40,D42:D77,2,2)</f>
        <v>9.3447570563727211E-2</v>
      </c>
      <c r="E78" s="12">
        <f>TTEST(E2:E40,E42:E77,2,2)</f>
        <v>8.3935971658253603E-2</v>
      </c>
      <c r="F78" s="12">
        <f t="shared" ref="F78:BC78" si="0">TTEST(F2:F40,F42:F77,2,2)</f>
        <v>9.0269047897179128E-2</v>
      </c>
      <c r="G78" s="12">
        <f t="shared" si="0"/>
        <v>0.10366365046557129</v>
      </c>
      <c r="H78" s="12">
        <f t="shared" si="0"/>
        <v>0.58408189134320931</v>
      </c>
      <c r="I78" s="12">
        <f t="shared" si="0"/>
        <v>0.5618866484483992</v>
      </c>
      <c r="J78" s="12">
        <f t="shared" si="0"/>
        <v>0.53609740475729428</v>
      </c>
      <c r="K78" s="12">
        <f t="shared" si="0"/>
        <v>0.52803370244431536</v>
      </c>
      <c r="L78" s="12">
        <f t="shared" si="0"/>
        <v>0.52195253744107095</v>
      </c>
      <c r="M78" s="12">
        <f t="shared" si="0"/>
        <v>0.31247993254672563</v>
      </c>
      <c r="N78" s="12">
        <f t="shared" si="0"/>
        <v>0.71187742527410713</v>
      </c>
      <c r="O78" s="12">
        <f t="shared" si="0"/>
        <v>0.80338659765357956</v>
      </c>
      <c r="P78" s="12">
        <f t="shared" si="0"/>
        <v>0.40496962071214548</v>
      </c>
      <c r="Q78" s="12">
        <f t="shared" si="0"/>
        <v>0.38425940689747662</v>
      </c>
      <c r="R78" s="12">
        <f t="shared" si="0"/>
        <v>0.33385789057715831</v>
      </c>
      <c r="S78" s="12">
        <f t="shared" si="0"/>
        <v>0.56011695111349868</v>
      </c>
      <c r="T78" s="12">
        <f t="shared" si="0"/>
        <v>0.1492782704042733</v>
      </c>
      <c r="U78" s="12">
        <f t="shared" si="0"/>
        <v>0.73310285240295814</v>
      </c>
      <c r="V78" s="12">
        <f t="shared" si="0"/>
        <v>0.78870255655315014</v>
      </c>
      <c r="W78" s="12">
        <f t="shared" si="0"/>
        <v>0.95408191828792432</v>
      </c>
      <c r="X78" s="12">
        <f t="shared" si="0"/>
        <v>0.90717863867471449</v>
      </c>
      <c r="Y78" s="12">
        <f t="shared" si="0"/>
        <v>0.9023408857328119</v>
      </c>
      <c r="Z78" s="12">
        <f t="shared" si="0"/>
        <v>0.99366637775342515</v>
      </c>
      <c r="AA78" s="12">
        <f t="shared" si="0"/>
        <v>0.6626897790622861</v>
      </c>
      <c r="AB78" s="12">
        <f t="shared" si="0"/>
        <v>0.74023004274666238</v>
      </c>
      <c r="AC78" s="12">
        <f t="shared" si="0"/>
        <v>0.79152300673125009</v>
      </c>
      <c r="AD78" s="12">
        <f t="shared" si="0"/>
        <v>0.83111854294507292</v>
      </c>
      <c r="AE78" s="12">
        <f t="shared" si="0"/>
        <v>0.14523256268147661</v>
      </c>
      <c r="AF78" s="12">
        <f t="shared" si="0"/>
        <v>0.23609895598548417</v>
      </c>
      <c r="AG78" s="13">
        <f t="shared" si="0"/>
        <v>3.7923461642880497E-2</v>
      </c>
      <c r="AH78" s="13">
        <f t="shared" si="0"/>
        <v>3.4488438704897741E-2</v>
      </c>
      <c r="AI78" s="12">
        <f t="shared" si="0"/>
        <v>0.63345090524447456</v>
      </c>
      <c r="AJ78" s="12">
        <f t="shared" si="0"/>
        <v>0.95260587989852419</v>
      </c>
      <c r="AK78" s="13">
        <f t="shared" si="0"/>
        <v>3.0456072673571855E-2</v>
      </c>
      <c r="AL78" s="13">
        <f t="shared" si="0"/>
        <v>3.7103079063014306E-2</v>
      </c>
      <c r="AM78" s="12">
        <f t="shared" si="0"/>
        <v>0.14949393063554495</v>
      </c>
      <c r="AN78" s="12">
        <f t="shared" si="0"/>
        <v>4.0709337025417208E-2</v>
      </c>
      <c r="AO78" s="12">
        <f t="shared" si="0"/>
        <v>1.9636286619384928E-2</v>
      </c>
      <c r="AP78" s="12">
        <f t="shared" si="0"/>
        <v>0.28222604053860223</v>
      </c>
      <c r="AQ78" s="12">
        <f t="shared" si="0"/>
        <v>0.13860445251697187</v>
      </c>
      <c r="AR78" s="12">
        <f t="shared" si="0"/>
        <v>0.1492143701022704</v>
      </c>
      <c r="AS78" s="12">
        <f t="shared" si="0"/>
        <v>0.62776775453984901</v>
      </c>
      <c r="AT78" s="12">
        <f t="shared" si="0"/>
        <v>0.70716388858398582</v>
      </c>
      <c r="AU78" s="12">
        <f t="shared" si="0"/>
        <v>5.3876611027904996E-2</v>
      </c>
      <c r="AV78" s="12">
        <f t="shared" si="0"/>
        <v>0.47055210490027188</v>
      </c>
      <c r="AW78" s="12">
        <f t="shared" si="0"/>
        <v>0.76204699317659008</v>
      </c>
      <c r="AX78" s="12">
        <f t="shared" si="0"/>
        <v>1.4456485905291486E-2</v>
      </c>
      <c r="AY78" s="12">
        <f t="shared" si="0"/>
        <v>0.16128084043834442</v>
      </c>
      <c r="AZ78" s="12">
        <f t="shared" si="0"/>
        <v>1.9432977514766234E-2</v>
      </c>
      <c r="BA78" s="12">
        <f t="shared" si="0"/>
        <v>0.12352080944175557</v>
      </c>
      <c r="BB78" s="12">
        <f t="shared" si="0"/>
        <v>0.18909088519743281</v>
      </c>
      <c r="BC78" s="12">
        <f t="shared" si="0"/>
        <v>0.25234221720159572</v>
      </c>
    </row>
  </sheetData>
  <autoFilter ref="A1:BC1" xr:uid="{DB346A20-A0C9-0248-871F-3C29C07F1981}">
    <sortState xmlns:xlrd2="http://schemas.microsoft.com/office/spreadsheetml/2017/richdata2" ref="A2:BC5">
      <sortCondition ref="B1:B5"/>
    </sortState>
  </autoFilter>
  <sortState xmlns:xlrd2="http://schemas.microsoft.com/office/spreadsheetml/2017/richdata2" ref="A42:BC46">
    <sortCondition ref="B41:B46"/>
  </sortState>
  <conditionalFormatting sqref="A78:XFD78">
    <cfRule type="colorScale" priority="2">
      <colorScale>
        <cfvo type="num" val="0"/>
        <cfvo type="num" val="0.05"/>
        <color rgb="FFF8696B"/>
        <color rgb="FFFCFCF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1920-9B2E-704C-9584-4EE8DF2A28B3}">
  <dimension ref="A1:BC78"/>
  <sheetViews>
    <sheetView workbookViewId="0">
      <pane ySplit="1" topLeftCell="A16" activePane="bottomLeft" state="frozen"/>
      <selection pane="bottomLeft" sqref="A1:XFD1"/>
    </sheetView>
  </sheetViews>
  <sheetFormatPr defaultColWidth="12" defaultRowHeight="15.95"/>
  <cols>
    <col min="1" max="1" width="12" style="8"/>
    <col min="2" max="2" width="109.875" style="7" customWidth="1"/>
    <col min="3" max="16384" width="12" style="8"/>
  </cols>
  <sheetData>
    <row r="1" spans="1:55" ht="255">
      <c r="A1" s="5" t="s">
        <v>0</v>
      </c>
      <c r="B1" s="6" t="s">
        <v>1</v>
      </c>
      <c r="C1" s="7" t="s">
        <v>112</v>
      </c>
      <c r="D1" s="7" t="s">
        <v>113</v>
      </c>
      <c r="E1" s="7" t="s">
        <v>114</v>
      </c>
      <c r="F1" s="7" t="s">
        <v>115</v>
      </c>
      <c r="G1" s="7" t="s">
        <v>116</v>
      </c>
      <c r="H1" s="7" t="s">
        <v>117</v>
      </c>
      <c r="I1" s="7" t="s">
        <v>118</v>
      </c>
      <c r="J1" s="7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7" t="s">
        <v>124</v>
      </c>
      <c r="P1" s="7" t="s">
        <v>125</v>
      </c>
      <c r="Q1" s="7" t="s">
        <v>126</v>
      </c>
      <c r="R1" s="7" t="s">
        <v>127</v>
      </c>
      <c r="S1" s="7" t="s">
        <v>128</v>
      </c>
      <c r="T1" s="7" t="s">
        <v>129</v>
      </c>
      <c r="U1" s="7" t="s">
        <v>130</v>
      </c>
      <c r="V1" s="7" t="s">
        <v>131</v>
      </c>
      <c r="W1" s="7" t="s">
        <v>132</v>
      </c>
      <c r="X1" s="7" t="s">
        <v>133</v>
      </c>
      <c r="Y1" s="7" t="s">
        <v>134</v>
      </c>
      <c r="Z1" s="7" t="s">
        <v>135</v>
      </c>
      <c r="AA1" s="7" t="s">
        <v>136</v>
      </c>
      <c r="AB1" s="7" t="s">
        <v>137</v>
      </c>
      <c r="AC1" s="7" t="s">
        <v>138</v>
      </c>
      <c r="AD1" s="7" t="s">
        <v>139</v>
      </c>
      <c r="AE1" s="7" t="s">
        <v>140</v>
      </c>
      <c r="AF1" s="7" t="s">
        <v>141</v>
      </c>
      <c r="AG1" s="7" t="s">
        <v>142</v>
      </c>
      <c r="AH1" s="7" t="s">
        <v>143</v>
      </c>
      <c r="AI1" s="7" t="s">
        <v>144</v>
      </c>
      <c r="AJ1" s="7" t="s">
        <v>145</v>
      </c>
      <c r="AK1" s="7" t="s">
        <v>146</v>
      </c>
      <c r="AL1" s="7" t="s">
        <v>147</v>
      </c>
      <c r="AM1" s="7" t="s">
        <v>148</v>
      </c>
      <c r="AN1" s="7" t="s">
        <v>149</v>
      </c>
      <c r="AO1" s="7" t="s">
        <v>150</v>
      </c>
      <c r="AP1" s="7" t="s">
        <v>151</v>
      </c>
      <c r="AQ1" s="7" t="s">
        <v>152</v>
      </c>
      <c r="AR1" s="7" t="s">
        <v>153</v>
      </c>
      <c r="AS1" s="7" t="s">
        <v>154</v>
      </c>
      <c r="AT1" s="7" t="s">
        <v>155</v>
      </c>
      <c r="AU1" s="7" t="s">
        <v>156</v>
      </c>
      <c r="AV1" s="7" t="s">
        <v>157</v>
      </c>
      <c r="AW1" s="7" t="s">
        <v>158</v>
      </c>
      <c r="AX1" s="7" t="s">
        <v>159</v>
      </c>
      <c r="AY1" s="7" t="s">
        <v>160</v>
      </c>
      <c r="AZ1" s="7" t="s">
        <v>161</v>
      </c>
      <c r="BA1" s="7" t="s">
        <v>162</v>
      </c>
      <c r="BB1" s="7" t="s">
        <v>163</v>
      </c>
      <c r="BC1" s="7" t="s">
        <v>164</v>
      </c>
    </row>
    <row r="2" spans="1:55" ht="51">
      <c r="A2" s="5">
        <v>1008</v>
      </c>
      <c r="B2" s="6" t="s">
        <v>33</v>
      </c>
      <c r="C2" s="8" t="s">
        <v>168</v>
      </c>
      <c r="D2" s="8">
        <v>47011</v>
      </c>
      <c r="E2" s="8">
        <v>45318</v>
      </c>
      <c r="F2" s="8">
        <v>44254</v>
      </c>
      <c r="G2" s="8">
        <f>athero!G2/athero!$F2</f>
        <v>0.61879152167035745</v>
      </c>
      <c r="H2" s="8">
        <f>athero!H2/athero!$F2</f>
        <v>4.2933972070321328E-3</v>
      </c>
      <c r="I2" s="8">
        <f>athero!I2/athero!$F2</f>
        <v>4.1126225877886743E-3</v>
      </c>
      <c r="J2" s="8">
        <f>athero!J2/athero!$F2</f>
        <v>3.818863831518055E-3</v>
      </c>
      <c r="K2" s="8">
        <f>athero!K2/athero!$F2</f>
        <v>3.7284765218963257E-3</v>
      </c>
      <c r="L2" s="8">
        <f>athero!L2/athero!$F2</f>
        <v>3.6832828670854611E-3</v>
      </c>
      <c r="M2" s="8">
        <f>athero!M2/athero!$F2</f>
        <v>9.9426040583902022E-4</v>
      </c>
      <c r="N2" s="8">
        <f>athero!N2/athero!$F2</f>
        <v>2.3500700501649569E-3</v>
      </c>
      <c r="O2" s="8">
        <f>athero!O2/athero!$F2</f>
        <v>0</v>
      </c>
      <c r="P2" s="8">
        <f>athero!P2/athero!$F2</f>
        <v>0</v>
      </c>
      <c r="Q2" s="8">
        <f>athero!Q2/athero!$F2</f>
        <v>0.30295566502463056</v>
      </c>
      <c r="R2" s="8">
        <f>athero!R2/athero!$F2</f>
        <v>7.0163149093867228E-2</v>
      </c>
      <c r="S2" s="8">
        <f>athero!S2/athero!$F2</f>
        <v>0.22095177837031682</v>
      </c>
      <c r="T2" s="8">
        <f>athero!T2/athero!$F2</f>
        <v>1.4620147331314684E-2</v>
      </c>
      <c r="U2" s="8">
        <f>athero!U2/athero!$F2</f>
        <v>6.0107560898449855E-3</v>
      </c>
      <c r="V2" s="8">
        <f>athero!V2/athero!$F2</f>
        <v>9.8974104035793372E-3</v>
      </c>
      <c r="W2" s="8">
        <f>athero!W2/athero!$F2</f>
        <v>9.6443259366384954E-2</v>
      </c>
      <c r="X2" s="8">
        <f>athero!X2/athero!$F2</f>
        <v>1.2744610656663805E-2</v>
      </c>
      <c r="Y2" s="8">
        <f>athero!Y2/athero!$F2</f>
        <v>1.1659962941203056E-2</v>
      </c>
      <c r="Z2" s="8">
        <f>athero!Z2/athero!$F2</f>
        <v>5.3215528539793014E-2</v>
      </c>
      <c r="AA2" s="8">
        <f>athero!AA2/athero!$F2</f>
        <v>8.4512134496316713E-3</v>
      </c>
      <c r="AB2" s="8">
        <f>athero!AB2/athero!$F2</f>
        <v>3.7103990599719798E-2</v>
      </c>
      <c r="AC2" s="8">
        <f>athero!AC2/athero!$F2</f>
        <v>2.9375875627061962E-4</v>
      </c>
      <c r="AD2" s="8">
        <f>athero!AD2/athero!$F2</f>
        <v>3.6539069914583992E-2</v>
      </c>
      <c r="AE2" s="8">
        <f>athero!AE2/athero!$F2</f>
        <v>5.6198309757310071E-2</v>
      </c>
      <c r="AF2" s="8">
        <f>athero!AF2/athero!$F2</f>
        <v>1.378406471731369E-3</v>
      </c>
      <c r="AG2" s="8">
        <f>athero!AG2/athero!$F2</f>
        <v>0.30098974104035792</v>
      </c>
      <c r="AH2" s="8">
        <f>athero!AH2/athero!$F2</f>
        <v>0.28876485741401908</v>
      </c>
      <c r="AI2" s="8">
        <f>athero!AI2/athero!$F2</f>
        <v>4.9938988566005336E-3</v>
      </c>
      <c r="AJ2" s="8">
        <f>athero!AJ2/athero!$F2</f>
        <v>3.7962670041126224E-3</v>
      </c>
      <c r="AK2" s="8">
        <f>athero!AK2/athero!$F2</f>
        <v>0.26897003660686042</v>
      </c>
      <c r="AL2" s="8">
        <f>athero!AL2/athero!$F2</f>
        <v>0.21636462240701407</v>
      </c>
      <c r="AM2" s="8">
        <f>athero!AM2/athero!$F2</f>
        <v>2.7116192886518731E-4</v>
      </c>
      <c r="AN2" s="8">
        <f>athero!AN2/athero!$F2</f>
        <v>0.16068603968002892</v>
      </c>
      <c r="AO2" s="8">
        <f>athero!AO2/athero!$F2</f>
        <v>4.8357210647625076E-2</v>
      </c>
      <c r="AP2" s="8">
        <f>athero!AP2/athero!$F2</f>
        <v>9.5900935508654583E-2</v>
      </c>
      <c r="AQ2" s="8">
        <f>athero!AQ2/athero!$F2</f>
        <v>4.1781533872644279E-2</v>
      </c>
      <c r="AR2" s="8">
        <f>athero!AR2/athero!$F2</f>
        <v>4.071948298458896E-2</v>
      </c>
      <c r="AS2" s="8">
        <f>athero!AS2/athero!$F2</f>
        <v>1.8664979436887059E-2</v>
      </c>
      <c r="AT2" s="8">
        <f>athero!AT2/athero!$F2</f>
        <v>8.0670673837393223E-3</v>
      </c>
      <c r="AU2" s="8">
        <f>athero!AU2/athero!$F2</f>
        <v>4.591675328783839E-2</v>
      </c>
      <c r="AV2" s="8">
        <f>athero!AV2/athero!$F2</f>
        <v>7.3439689067654901E-3</v>
      </c>
      <c r="AW2" s="8">
        <f>athero!AW2/athero!$F2</f>
        <v>2.0563112938943372E-3</v>
      </c>
      <c r="AX2" s="8">
        <f>athero!AX2/athero!$F2</f>
        <v>2.8946535906358747E-2</v>
      </c>
      <c r="AY2" s="8">
        <f>athero!AY2/athero!$F2</f>
        <v>1.9207303294617435E-3</v>
      </c>
      <c r="AZ2" s="8">
        <f>athero!AZ2/athero!$F2</f>
        <v>2.6189722962896008E-2</v>
      </c>
      <c r="BA2" s="8">
        <f>athero!BA2/athero!$F2</f>
        <v>1.5343245808288516E-2</v>
      </c>
      <c r="BB2" s="8">
        <f>athero!BB2/athero!$F2</f>
        <v>1.1208026393094409E-2</v>
      </c>
      <c r="BC2" s="8">
        <f>athero!BC2/athero!$F2</f>
        <v>6.7790482216296827E-5</v>
      </c>
    </row>
    <row r="3" spans="1:55" ht="17.100000000000001">
      <c r="A3" s="5">
        <v>1001</v>
      </c>
      <c r="B3" s="6" t="s">
        <v>23</v>
      </c>
      <c r="C3" s="8" t="s">
        <v>165</v>
      </c>
      <c r="D3" s="8">
        <v>277764</v>
      </c>
      <c r="E3" s="8">
        <v>265500</v>
      </c>
      <c r="F3" s="8">
        <v>262632</v>
      </c>
      <c r="G3" s="8">
        <f>athero!G3/athero!$F3</f>
        <v>0.3891985744311432</v>
      </c>
      <c r="H3" s="8">
        <f>athero!H3/athero!$F3</f>
        <v>1.027292942215724E-2</v>
      </c>
      <c r="I3" s="8">
        <f>athero!I3/athero!$F3</f>
        <v>1.0086356574979439E-2</v>
      </c>
      <c r="J3" s="8">
        <f>athero!J3/athero!$F3</f>
        <v>9.4504858509244869E-3</v>
      </c>
      <c r="K3" s="8">
        <f>athero!K3/athero!$F3</f>
        <v>9.4124097596637122E-3</v>
      </c>
      <c r="L3" s="8">
        <f>athero!L3/athero!$F3</f>
        <v>9.3781412775290132E-3</v>
      </c>
      <c r="M3" s="8">
        <f>athero!M3/athero!$F3</f>
        <v>2.0827621919644215E-3</v>
      </c>
      <c r="N3" s="8">
        <f>athero!N3/athero!$F3</f>
        <v>5.7761430442596481E-3</v>
      </c>
      <c r="O3" s="8">
        <f>athero!O3/athero!$F3</f>
        <v>2.0180328368211032E-4</v>
      </c>
      <c r="P3" s="8">
        <f>athero!P3/athero!$F3</f>
        <v>3.2745438484266959E-4</v>
      </c>
      <c r="Q3" s="8">
        <f>athero!Q3/athero!$F3</f>
        <v>0.14674906332815499</v>
      </c>
      <c r="R3" s="8">
        <f>athero!R3/athero!$F3</f>
        <v>2.7662280300953426E-2</v>
      </c>
      <c r="S3" s="8">
        <f>athero!S3/athero!$F3</f>
        <v>0.11406454658990527</v>
      </c>
      <c r="T3" s="8">
        <f>athero!T3/athero!$F3</f>
        <v>4.9498918639008195E-3</v>
      </c>
      <c r="U3" s="8">
        <f>athero!U3/athero!$F3</f>
        <v>3.3849645130829449E-3</v>
      </c>
      <c r="V3" s="8">
        <f>athero!V3/athero!$F3</f>
        <v>3.9066069633555698E-3</v>
      </c>
      <c r="W3" s="8">
        <f>athero!W3/athero!$F3</f>
        <v>5.0945810106917663E-2</v>
      </c>
      <c r="X3" s="8">
        <f>athero!X3/athero!$F3</f>
        <v>2.1608181790490115E-2</v>
      </c>
      <c r="Y3" s="8">
        <f>athero!Y3/athero!$F3</f>
        <v>2.141399372506016E-2</v>
      </c>
      <c r="Z3" s="8">
        <f>athero!Z3/athero!$F3</f>
        <v>3.1443236163148439E-2</v>
      </c>
      <c r="AA3" s="8">
        <f>athero!AA3/athero!$F3</f>
        <v>8.6661183709525122E-3</v>
      </c>
      <c r="AB3" s="8">
        <f>athero!AB3/athero!$F3</f>
        <v>1.9399768497365133E-2</v>
      </c>
      <c r="AC3" s="8">
        <f>athero!AC3/athero!$F3</f>
        <v>1.5991958329525724E-4</v>
      </c>
      <c r="AD3" s="8">
        <f>athero!AD3/athero!$F3</f>
        <v>1.8596362971762769E-2</v>
      </c>
      <c r="AE3" s="8">
        <f>athero!AE3/athero!$F3</f>
        <v>2.1889944865819855E-2</v>
      </c>
      <c r="AF3" s="8">
        <f>athero!AF3/athero!$F3</f>
        <v>4.0360656736422064E-4</v>
      </c>
      <c r="AG3" s="8">
        <f>athero!AG3/athero!$F3</f>
        <v>0.22110405434219746</v>
      </c>
      <c r="AH3" s="8">
        <f>athero!AH3/athero!$F3</f>
        <v>0.21136419019769107</v>
      </c>
      <c r="AI3" s="8">
        <f>athero!AI3/athero!$F3</f>
        <v>1.1460903469493436E-3</v>
      </c>
      <c r="AJ3" s="8">
        <f>athero!AJ3/athero!$F3</f>
        <v>6.7013920618964938E-4</v>
      </c>
      <c r="AK3" s="8">
        <f>athero!AK3/athero!$F3</f>
        <v>0.2050816351396631</v>
      </c>
      <c r="AL3" s="8">
        <f>athero!AL3/athero!$F3</f>
        <v>0.12483627280757867</v>
      </c>
      <c r="AM3" s="8">
        <f>athero!AM3/athero!$F3</f>
        <v>4.949891863900819E-4</v>
      </c>
      <c r="AN3" s="8">
        <f>athero!AN3/athero!$F3</f>
        <v>7.5592463980017663E-2</v>
      </c>
      <c r="AO3" s="8">
        <f>athero!AO3/athero!$F3</f>
        <v>5.9611928477870176E-2</v>
      </c>
      <c r="AP3" s="8">
        <f>athero!AP3/athero!$F3</f>
        <v>1.1925431782874897E-2</v>
      </c>
      <c r="AQ3" s="8">
        <f>athero!AQ3/athero!$F3</f>
        <v>2.9109171768862897E-2</v>
      </c>
      <c r="AR3" s="8">
        <f>athero!AR3/athero!$F3</f>
        <v>2.31883395778123E-2</v>
      </c>
      <c r="AS3" s="8">
        <f>athero!AS3/athero!$F3</f>
        <v>4.3559048402327209E-3</v>
      </c>
      <c r="AT3" s="8">
        <f>athero!AT3/athero!$F3</f>
        <v>7.6532943434158823E-4</v>
      </c>
      <c r="AU3" s="8">
        <f>athero!AU3/athero!$F3</f>
        <v>7.4987054128971331E-2</v>
      </c>
      <c r="AV3" s="8">
        <f>athero!AV3/athero!$F3</f>
        <v>6.3015931036583504E-3</v>
      </c>
      <c r="AW3" s="8">
        <f>athero!AW3/athero!$F3</f>
        <v>4.949891863900819E-4</v>
      </c>
      <c r="AX3" s="8">
        <f>athero!AX3/athero!$F3</f>
        <v>2.7544244418045021E-2</v>
      </c>
      <c r="AY3" s="8">
        <f>athero!AY3/athero!$F3</f>
        <v>1.134667519571111E-3</v>
      </c>
      <c r="AZ3" s="8">
        <f>athero!AZ3/athero!$F3</f>
        <v>2.6025008376740079E-2</v>
      </c>
      <c r="BA3" s="8">
        <f>athero!BA3/athero!$F3</f>
        <v>4.3178287489719455E-2</v>
      </c>
      <c r="BB3" s="8">
        <f>athero!BB3/athero!$F3</f>
        <v>2.1764293764659295E-2</v>
      </c>
      <c r="BC3" s="8">
        <f>athero!BC3/athero!$F3</f>
        <v>5.8637180541594317E-4</v>
      </c>
    </row>
    <row r="4" spans="1:55" ht="33.950000000000003">
      <c r="A4" s="5">
        <v>1003</v>
      </c>
      <c r="B4" s="6" t="s">
        <v>30</v>
      </c>
      <c r="C4" s="8" t="s">
        <v>166</v>
      </c>
      <c r="D4" s="8">
        <v>321845</v>
      </c>
      <c r="E4" s="8">
        <v>314310</v>
      </c>
      <c r="F4" s="8">
        <v>309191</v>
      </c>
      <c r="G4" s="8">
        <f>athero!G4/athero!$F4</f>
        <v>0.58793755316293161</v>
      </c>
      <c r="H4" s="8">
        <f>athero!H4/athero!$F4</f>
        <v>1.076680757201859E-2</v>
      </c>
      <c r="I4" s="8">
        <f>athero!I4/athero!$F4</f>
        <v>1.0339886995417073E-2</v>
      </c>
      <c r="J4" s="8">
        <f>athero!J4/athero!$F4</f>
        <v>9.6251184542887735E-3</v>
      </c>
      <c r="K4" s="8">
        <f>athero!K4/athero!$F4</f>
        <v>9.4925143357989083E-3</v>
      </c>
      <c r="L4" s="8">
        <f>athero!L4/athero!$F4</f>
        <v>9.3922526852333998E-3</v>
      </c>
      <c r="M4" s="8">
        <f>athero!M4/athero!$F4</f>
        <v>3.7581947728103342E-3</v>
      </c>
      <c r="N4" s="8">
        <f>athero!N4/athero!$F4</f>
        <v>1.3163384445213477E-3</v>
      </c>
      <c r="O4" s="8">
        <f>athero!O4/athero!$F4</f>
        <v>2.9108221131921693E-5</v>
      </c>
      <c r="P4" s="8">
        <f>athero!P4/athero!$F4</f>
        <v>6.4684935848714867E-5</v>
      </c>
      <c r="Q4" s="8">
        <f>athero!Q4/athero!$F4</f>
        <v>0.29295160596524478</v>
      </c>
      <c r="R4" s="8">
        <f>athero!R4/athero!$F4</f>
        <v>0.11359968433751305</v>
      </c>
      <c r="S4" s="8">
        <f>athero!S4/athero!$F4</f>
        <v>0.1677668496172269</v>
      </c>
      <c r="T4" s="8">
        <f>athero!T4/athero!$F4</f>
        <v>5.3656154286508984E-3</v>
      </c>
      <c r="U4" s="8">
        <f>athero!U4/athero!$F4</f>
        <v>2.9981467765879343E-3</v>
      </c>
      <c r="V4" s="8">
        <f>athero!V4/athero!$F4</f>
        <v>8.1147252022212811E-3</v>
      </c>
      <c r="W4" s="8">
        <f>athero!W4/athero!$F4</f>
        <v>6.9791811533970904E-2</v>
      </c>
      <c r="X4" s="8">
        <f>athero!X4/athero!$F4</f>
        <v>3.6556691494901213E-2</v>
      </c>
      <c r="Y4" s="8">
        <f>athero!Y4/athero!$F4</f>
        <v>3.5127154412644614E-2</v>
      </c>
      <c r="Z4" s="8">
        <f>athero!Z4/athero!$F4</f>
        <v>4.3196600159771795E-2</v>
      </c>
      <c r="AA4" s="8">
        <f>athero!AA4/athero!$F4</f>
        <v>9.2596485667435346E-3</v>
      </c>
      <c r="AB4" s="8">
        <f>athero!AB4/athero!$F4</f>
        <v>2.7934189546267519E-2</v>
      </c>
      <c r="AC4" s="8">
        <f>athero!AC4/athero!$F4</f>
        <v>1.0252562332021308E-3</v>
      </c>
      <c r="AD4" s="8">
        <f>athero!AD4/athero!$F4</f>
        <v>2.0408097260269542E-2</v>
      </c>
      <c r="AE4" s="8">
        <f>athero!AE4/athero!$F4</f>
        <v>3.0906462348515965E-2</v>
      </c>
      <c r="AF4" s="8">
        <f>athero!AF4/athero!$F4</f>
        <v>3.9457810867716072E-4</v>
      </c>
      <c r="AG4" s="8">
        <f>athero!AG4/athero!$F4</f>
        <v>0.26560604933520054</v>
      </c>
      <c r="AH4" s="8">
        <f>athero!AH4/athero!$F4</f>
        <v>0.24500389726738489</v>
      </c>
      <c r="AI4" s="8">
        <f>athero!AI4/athero!$F4</f>
        <v>1.9987645177252894E-3</v>
      </c>
      <c r="AJ4" s="8">
        <f>athero!AJ4/athero!$F4</f>
        <v>2.1054946618756691E-3</v>
      </c>
      <c r="AK4" s="8">
        <f>athero!AK4/athero!$F4</f>
        <v>0.23425326092932847</v>
      </c>
      <c r="AL4" s="8">
        <f>athero!AL4/athero!$F4</f>
        <v>0.14896940725959035</v>
      </c>
      <c r="AM4" s="8">
        <f>athero!AM4/athero!$F4</f>
        <v>4.0428084905446793E-4</v>
      </c>
      <c r="AN4" s="8">
        <f>athero!AN4/athero!$F4</f>
        <v>0.1236387863812336</v>
      </c>
      <c r="AO4" s="8">
        <f>athero!AO4/athero!$F4</f>
        <v>0.11669485851787406</v>
      </c>
      <c r="AP4" s="8">
        <f>athero!AP4/athero!$F4</f>
        <v>4.8060907335595151E-3</v>
      </c>
      <c r="AQ4" s="8">
        <f>athero!AQ4/athero!$F4</f>
        <v>1.8438440963676174E-2</v>
      </c>
      <c r="AR4" s="8">
        <f>athero!AR4/athero!$F4</f>
        <v>7.7718950422230922E-3</v>
      </c>
      <c r="AS4" s="8">
        <f>athero!AS4/athero!$F4</f>
        <v>1.794683545122594E-2</v>
      </c>
      <c r="AT4" s="8">
        <f>athero!AT4/athero!$F4</f>
        <v>9.8773897040987605E-3</v>
      </c>
      <c r="AU4" s="8">
        <f>athero!AU4/athero!$F4</f>
        <v>7.7815977826003996E-2</v>
      </c>
      <c r="AV4" s="8">
        <f>athero!AV4/athero!$F4</f>
        <v>1.2367759734274283E-2</v>
      </c>
      <c r="AW4" s="8">
        <f>athero!AW4/athero!$F4</f>
        <v>2.3804056392327075E-3</v>
      </c>
      <c r="AX4" s="8">
        <f>athero!AX4/athero!$F4</f>
        <v>2.6478778489671433E-2</v>
      </c>
      <c r="AY4" s="8">
        <f>athero!AY4/athero!$F4</f>
        <v>2.8784796452678118E-4</v>
      </c>
      <c r="AZ4" s="8">
        <f>athero!AZ4/athero!$F4</f>
        <v>2.5796352416467491E-2</v>
      </c>
      <c r="BA4" s="8">
        <f>athero!BA4/athero!$F4</f>
        <v>4.9212299193702277E-2</v>
      </c>
      <c r="BB4" s="8">
        <f>athero!BB4/athero!$F4</f>
        <v>2.5485864724393661E-3</v>
      </c>
      <c r="BC4" s="8">
        <f>athero!BC4/athero!$F4</f>
        <v>5.3365072075189771E-4</v>
      </c>
    </row>
    <row r="5" spans="1:55" ht="51">
      <c r="A5" s="5">
        <v>1004</v>
      </c>
      <c r="B5" s="6" t="s">
        <v>31</v>
      </c>
      <c r="C5" s="8" t="s">
        <v>167</v>
      </c>
      <c r="D5" s="8">
        <v>303378</v>
      </c>
      <c r="E5" s="8">
        <v>294206</v>
      </c>
      <c r="F5" s="8">
        <v>293104</v>
      </c>
      <c r="G5" s="8">
        <f>athero!G5/athero!$F5</f>
        <v>0.42110991320486924</v>
      </c>
      <c r="H5" s="8">
        <f>athero!H5/athero!$F5</f>
        <v>6.8166930509307279E-3</v>
      </c>
      <c r="I5" s="8">
        <f>athero!I5/athero!$F5</f>
        <v>6.6699874447295159E-3</v>
      </c>
      <c r="J5" s="8">
        <f>athero!J5/athero!$F5</f>
        <v>6.4482231562858231E-3</v>
      </c>
      <c r="K5" s="8">
        <f>athero!K5/athero!$F5</f>
        <v>6.349282166057099E-3</v>
      </c>
      <c r="L5" s="8">
        <f>athero!L5/athero!$F5</f>
        <v>6.3288116163546047E-3</v>
      </c>
      <c r="M5" s="8">
        <f>athero!M5/athero!$F5</f>
        <v>2.0914078279382063E-3</v>
      </c>
      <c r="N5" s="8">
        <f>athero!N5/athero!$F5</f>
        <v>3.1626999290354277E-3</v>
      </c>
      <c r="O5" s="8">
        <f>athero!O5/athero!$F5</f>
        <v>7.5058682242480485E-5</v>
      </c>
      <c r="P5" s="8">
        <f>athero!P5/athero!$F5</f>
        <v>1.0917626507997162E-4</v>
      </c>
      <c r="Q5" s="8">
        <f>athero!Q5/athero!$F5</f>
        <v>0.10085157486762378</v>
      </c>
      <c r="R5" s="8">
        <f>athero!R5/athero!$F5</f>
        <v>8.0585730662154041E-3</v>
      </c>
      <c r="S5" s="8">
        <f>athero!S5/athero!$F5</f>
        <v>9.0998416944156335E-2</v>
      </c>
      <c r="T5" s="8">
        <f>athero!T5/athero!$F5</f>
        <v>6.591517004203286E-3</v>
      </c>
      <c r="U5" s="8">
        <f>athero!U5/athero!$F5</f>
        <v>1.2831622905180414E-2</v>
      </c>
      <c r="V5" s="8">
        <f>athero!V5/athero!$F5</f>
        <v>1.5789617337190896E-2</v>
      </c>
      <c r="W5" s="8">
        <f>athero!W5/athero!$F5</f>
        <v>3.1814645995960476E-2</v>
      </c>
      <c r="X5" s="8">
        <f>athero!X5/athero!$F5</f>
        <v>8.4270429608603091E-4</v>
      </c>
      <c r="Y5" s="8">
        <f>athero!Y5/athero!$F5</f>
        <v>7.9835143839729241E-4</v>
      </c>
      <c r="Z5" s="8">
        <f>athero!Z5/athero!$F5</f>
        <v>1.295785796167913E-2</v>
      </c>
      <c r="AA5" s="8">
        <f>athero!AA5/athero!$F5</f>
        <v>2.8351711337955129E-3</v>
      </c>
      <c r="AB5" s="8">
        <f>athero!AB5/athero!$F5</f>
        <v>7.2192805284131229E-3</v>
      </c>
      <c r="AC5" s="8">
        <f>athero!AC5/athero!$F5</f>
        <v>3.5482286150990776E-4</v>
      </c>
      <c r="AD5" s="8">
        <f>athero!AD5/athero!$F5</f>
        <v>6.4993995305420603E-3</v>
      </c>
      <c r="AE5" s="8">
        <f>athero!AE5/athero!$F5</f>
        <v>4.3735329439379876E-2</v>
      </c>
      <c r="AF5" s="8">
        <f>athero!AF5/athero!$F5</f>
        <v>1.3135269392434085E-3</v>
      </c>
      <c r="AG5" s="8">
        <f>athero!AG5/athero!$F5</f>
        <v>0.30491224957694196</v>
      </c>
      <c r="AH5" s="8">
        <f>athero!AH5/athero!$F5</f>
        <v>0.27848818166930511</v>
      </c>
      <c r="AI5" s="8">
        <f>athero!AI5/athero!$F5</f>
        <v>1.2555270484196736E-3</v>
      </c>
      <c r="AJ5" s="8">
        <f>athero!AJ5/athero!$F5</f>
        <v>5.3632840220536057E-3</v>
      </c>
      <c r="AK5" s="8">
        <f>athero!AK5/athero!$F5</f>
        <v>0.26462620776243245</v>
      </c>
      <c r="AL5" s="8">
        <f>athero!AL5/athero!$F5</f>
        <v>0.12259471040995687</v>
      </c>
      <c r="AM5" s="8">
        <f>athero!AM5/athero!$F5</f>
        <v>2.3643484906381352E-3</v>
      </c>
      <c r="AN5" s="8">
        <f>athero!AN5/athero!$F5</f>
        <v>3.8245810360827553E-2</v>
      </c>
      <c r="AO5" s="8">
        <f>athero!AO5/athero!$F5</f>
        <v>8.6351602161690057E-3</v>
      </c>
      <c r="AP5" s="8">
        <f>athero!AP5/athero!$F5</f>
        <v>2.623300944374693E-2</v>
      </c>
      <c r="AQ5" s="8">
        <f>athero!AQ5/athero!$F5</f>
        <v>7.6027621595065237E-2</v>
      </c>
      <c r="AR5" s="8">
        <f>athero!AR5/athero!$F5</f>
        <v>7.5321387630329167E-2</v>
      </c>
      <c r="AS5" s="8">
        <f>athero!AS5/athero!$F5</f>
        <v>4.1828156558764125E-3</v>
      </c>
      <c r="AT5" s="8">
        <f>athero!AT5/athero!$F5</f>
        <v>8.2905726295103444E-4</v>
      </c>
      <c r="AU5" s="8">
        <f>athero!AU5/athero!$F5</f>
        <v>0.13243080954200556</v>
      </c>
      <c r="AV5" s="8">
        <f>athero!AV5/athero!$F5</f>
        <v>1.8208553960369016E-2</v>
      </c>
      <c r="AW5" s="8">
        <f>athero!AW5/athero!$F5</f>
        <v>1.180468366177193E-3</v>
      </c>
      <c r="AX5" s="8">
        <f>athero!AX5/athero!$F5</f>
        <v>2.6065833287843222E-3</v>
      </c>
      <c r="AY5" s="8">
        <f>athero!AY5/athero!$F5</f>
        <v>1.3681150717833944E-3</v>
      </c>
      <c r="AZ5" s="8">
        <f>athero!AZ5/athero!$F5</f>
        <v>1.0439980348272285E-3</v>
      </c>
      <c r="BA5" s="8">
        <f>athero!BA5/athero!$F5</f>
        <v>0.12762364212020308</v>
      </c>
      <c r="BB5" s="8">
        <f>athero!BB5/athero!$F5</f>
        <v>4.8051203668322509E-2</v>
      </c>
      <c r="BC5" s="8">
        <f>athero!BC5/athero!$F5</f>
        <v>4.2988154375238824E-4</v>
      </c>
    </row>
    <row r="6" spans="1:55" ht="18" customHeight="1">
      <c r="A6" s="5">
        <v>1012</v>
      </c>
      <c r="B6" s="6" t="s">
        <v>36</v>
      </c>
      <c r="C6" s="8" t="s">
        <v>170</v>
      </c>
      <c r="D6" s="8">
        <v>270926</v>
      </c>
      <c r="E6" s="8">
        <v>265202</v>
      </c>
      <c r="F6" s="8">
        <v>261135</v>
      </c>
      <c r="G6" s="8">
        <f>athero!G6/athero!$F6</f>
        <v>0.64270205066344999</v>
      </c>
      <c r="H6" s="8">
        <f>athero!H6/athero!$F6</f>
        <v>5.9241388553813159E-3</v>
      </c>
      <c r="I6" s="8">
        <f>athero!I6/athero!$F6</f>
        <v>5.805426312060811E-3</v>
      </c>
      <c r="J6" s="8">
        <f>athero!J6/athero!$F6</f>
        <v>5.5680012254198021E-3</v>
      </c>
      <c r="K6" s="8">
        <f>athero!K6/athero!$F6</f>
        <v>5.5105596722002026E-3</v>
      </c>
      <c r="L6" s="8">
        <f>athero!L6/athero!$F6</f>
        <v>5.483753614031057E-3</v>
      </c>
      <c r="M6" s="8">
        <f>athero!M6/athero!$F6</f>
        <v>2.44701016715492E-3</v>
      </c>
      <c r="N6" s="8">
        <f>athero!N6/athero!$F6</f>
        <v>2.3436153713596417E-3</v>
      </c>
      <c r="O6" s="8">
        <f>athero!O6/athero!$F6</f>
        <v>6.1270990100905655E-5</v>
      </c>
      <c r="P6" s="8">
        <f>athero!P6/athero!$F6</f>
        <v>7.6588737626132083E-5</v>
      </c>
      <c r="Q6" s="8">
        <f>athero!Q6/athero!$F6</f>
        <v>0.38497328967775291</v>
      </c>
      <c r="R6" s="8">
        <f>athero!R6/athero!$F6</f>
        <v>9.2875332682329059E-2</v>
      </c>
      <c r="S6" s="8">
        <f>athero!S6/athero!$F6</f>
        <v>0.27202021942673332</v>
      </c>
      <c r="T6" s="8">
        <f>athero!T6/athero!$F6</f>
        <v>8.2447776054531182E-3</v>
      </c>
      <c r="U6" s="8">
        <f>athero!U6/athero!$F6</f>
        <v>1.013651942481858E-2</v>
      </c>
      <c r="V6" s="8">
        <f>athero!V6/athero!$F6</f>
        <v>1.6734639171309858E-2</v>
      </c>
      <c r="W6" s="8">
        <f>athero!W6/athero!$F6</f>
        <v>0.10457809179160205</v>
      </c>
      <c r="X6" s="8">
        <f>athero!X6/athero!$F6</f>
        <v>3.6513680663258469E-2</v>
      </c>
      <c r="Y6" s="8">
        <f>athero!Y6/athero!$F6</f>
        <v>3.5544833132287894E-2</v>
      </c>
      <c r="Z6" s="8">
        <f>athero!Z6/athero!$F6</f>
        <v>8.2846037490187069E-2</v>
      </c>
      <c r="AA6" s="8">
        <f>athero!AA6/athero!$F6</f>
        <v>1.7255442587167557E-2</v>
      </c>
      <c r="AB6" s="8">
        <f>athero!AB6/athero!$F6</f>
        <v>5.2260325119191223E-2</v>
      </c>
      <c r="AC6" s="8">
        <f>athero!AC6/athero!$F6</f>
        <v>5.9356271660252358E-4</v>
      </c>
      <c r="AD6" s="8">
        <f>athero!AD6/athero!$F6</f>
        <v>4.7431405211863592E-2</v>
      </c>
      <c r="AE6" s="8">
        <f>athero!AE6/athero!$F6</f>
        <v>5.9379248281540196E-2</v>
      </c>
      <c r="AF6" s="8">
        <f>athero!AF6/athero!$F6</f>
        <v>8.1949949259961324E-4</v>
      </c>
      <c r="AG6" s="8">
        <f>athero!AG6/athero!$F6</f>
        <v>0.2416298083366841</v>
      </c>
      <c r="AH6" s="8">
        <f>athero!AH6/athero!$F6</f>
        <v>0.23252340743293698</v>
      </c>
      <c r="AI6" s="8">
        <f>athero!AI6/athero!$F6</f>
        <v>1.9989660520420473E-3</v>
      </c>
      <c r="AJ6" s="8">
        <f>athero!AJ6/athero!$F6</f>
        <v>1.9874777413981274E-3</v>
      </c>
      <c r="AK6" s="8">
        <f>athero!AK6/athero!$F6</f>
        <v>0.21971394106496639</v>
      </c>
      <c r="AL6" s="8">
        <f>athero!AL6/athero!$F6</f>
        <v>9.6919218028988841E-2</v>
      </c>
      <c r="AM6" s="8">
        <f>athero!AM6/athero!$F6</f>
        <v>7.9652287131177363E-4</v>
      </c>
      <c r="AN6" s="8">
        <f>athero!AN6/athero!$F6</f>
        <v>4.7680318609148523E-2</v>
      </c>
      <c r="AO6" s="8">
        <f>athero!AO6/athero!$F6</f>
        <v>2.8931395638271393E-2</v>
      </c>
      <c r="AP6" s="8">
        <f>athero!AP6/athero!$F6</f>
        <v>1.521052329254983E-2</v>
      </c>
      <c r="AQ6" s="8">
        <f>athero!AQ6/athero!$F6</f>
        <v>4.1905527792138166E-2</v>
      </c>
      <c r="AR6" s="8">
        <f>athero!AR6/athero!$F6</f>
        <v>4.0530759951749096E-2</v>
      </c>
      <c r="AS6" s="8">
        <f>athero!AS6/athero!$F6</f>
        <v>7.7316330633580331E-3</v>
      </c>
      <c r="AT6" s="8">
        <f>athero!AT6/athero!$F6</f>
        <v>1.6619756064870661E-3</v>
      </c>
      <c r="AU6" s="8">
        <f>athero!AU6/athero!$F6</f>
        <v>0.11243226683516189</v>
      </c>
      <c r="AV6" s="8">
        <f>athero!AV6/athero!$F6</f>
        <v>2.0303674344687613E-2</v>
      </c>
      <c r="AW6" s="8">
        <f>athero!AW6/athero!$F6</f>
        <v>2.9103720297930188E-3</v>
      </c>
      <c r="AX6" s="8">
        <f>athero!AX6/athero!$F6</f>
        <v>4.7305033794780481E-2</v>
      </c>
      <c r="AY6" s="8">
        <f>athero!AY6/athero!$F6</f>
        <v>3.400539950600264E-3</v>
      </c>
      <c r="AZ6" s="8">
        <f>athero!AZ6/athero!$F6</f>
        <v>4.241867233423325E-2</v>
      </c>
      <c r="BA6" s="8">
        <f>athero!BA6/athero!$F6</f>
        <v>5.9689432668926033E-2</v>
      </c>
      <c r="BB6" s="8">
        <f>athero!BB6/athero!$F6</f>
        <v>3.8995155762345149E-2</v>
      </c>
      <c r="BC6" s="8">
        <f>athero!BC6/athero!$F6</f>
        <v>8.0418174507438679E-5</v>
      </c>
    </row>
    <row r="7" spans="1:55" ht="33.950000000000003">
      <c r="A7" s="5">
        <v>1015</v>
      </c>
      <c r="B7" s="6" t="s">
        <v>41</v>
      </c>
      <c r="C7" s="8" t="s">
        <v>173</v>
      </c>
      <c r="D7" s="8">
        <v>34385</v>
      </c>
      <c r="E7" s="8">
        <v>33666</v>
      </c>
      <c r="F7" s="8">
        <v>33296</v>
      </c>
      <c r="G7" s="8">
        <f>athero!G7/athero!$F7</f>
        <v>0.83214199903892361</v>
      </c>
      <c r="H7" s="8">
        <f>athero!H7/athero!$F7</f>
        <v>6.307063911580971E-4</v>
      </c>
      <c r="I7" s="8">
        <f>athero!I7/athero!$F7</f>
        <v>6.307063911580971E-4</v>
      </c>
      <c r="J7" s="8">
        <f>athero!J7/athero!$F7</f>
        <v>5.4060547813551175E-4</v>
      </c>
      <c r="K7" s="8">
        <f>athero!K7/athero!$F7</f>
        <v>5.4060547813551175E-4</v>
      </c>
      <c r="L7" s="8">
        <f>athero!L7/athero!$F7</f>
        <v>5.1057184046131667E-4</v>
      </c>
      <c r="M7" s="8">
        <f>athero!M7/athero!$F7</f>
        <v>2.1023546371936569E-4</v>
      </c>
      <c r="N7" s="8">
        <f>athero!N7/athero!$F7</f>
        <v>2.7030273906775588E-4</v>
      </c>
      <c r="O7" s="8">
        <f>athero!O7/athero!$F7</f>
        <v>0</v>
      </c>
      <c r="P7" s="8">
        <f>athero!P7/athero!$F7</f>
        <v>0</v>
      </c>
      <c r="Q7" s="8">
        <f>athero!Q7/athero!$F7</f>
        <v>0.28165545410860165</v>
      </c>
      <c r="R7" s="8">
        <f>athero!R7/athero!$F7</f>
        <v>1.9521864488226813E-2</v>
      </c>
      <c r="S7" s="8">
        <f>athero!S7/athero!$F7</f>
        <v>0.25967083133109081</v>
      </c>
      <c r="T7" s="8">
        <f>athero!T7/athero!$F7</f>
        <v>1.4596347909658818E-2</v>
      </c>
      <c r="U7" s="8">
        <f>athero!U7/athero!$F7</f>
        <v>2.874219125420471E-2</v>
      </c>
      <c r="V7" s="8">
        <f>athero!V7/athero!$F7</f>
        <v>5.1537722248918789E-2</v>
      </c>
      <c r="W7" s="8">
        <f>athero!W7/athero!$F7</f>
        <v>0.13304901489668428</v>
      </c>
      <c r="X7" s="8">
        <f>athero!X7/athero!$F7</f>
        <v>7.1720326765977893E-2</v>
      </c>
      <c r="Y7" s="8">
        <f>athero!Y7/athero!$F7</f>
        <v>7.1119654012493996E-2</v>
      </c>
      <c r="Z7" s="8">
        <f>athero!Z7/athero!$F7</f>
        <v>1.7569678039404131E-2</v>
      </c>
      <c r="AA7" s="8">
        <f>athero!AA7/athero!$F7</f>
        <v>5.7964920711196539E-3</v>
      </c>
      <c r="AB7" s="8">
        <f>athero!AB7/athero!$F7</f>
        <v>1.0722008649687651E-2</v>
      </c>
      <c r="AC7" s="8">
        <f>athero!AC7/athero!$F7</f>
        <v>4.8053820278712162E-3</v>
      </c>
      <c r="AD7" s="8">
        <f>athero!AD7/athero!$F7</f>
        <v>4.9855838539163864E-3</v>
      </c>
      <c r="AE7" s="8">
        <f>athero!AE7/athero!$F7</f>
        <v>9.4846227775108122E-2</v>
      </c>
      <c r="AF7" s="8">
        <f>athero!AF7/athero!$F7</f>
        <v>4.2047092743873138E-4</v>
      </c>
      <c r="AG7" s="8">
        <f>athero!AG7/athero!$F7</f>
        <v>0.54303820278712156</v>
      </c>
      <c r="AH7" s="8">
        <f>athero!AH7/athero!$F7</f>
        <v>0.52982340221047575</v>
      </c>
      <c r="AI7" s="8">
        <f>athero!AI7/athero!$F7</f>
        <v>3.1234983181162904E-3</v>
      </c>
      <c r="AJ7" s="8">
        <f>athero!AJ7/athero!$F7</f>
        <v>4.5050456511292646E-4</v>
      </c>
      <c r="AK7" s="8">
        <f>athero!AK7/athero!$F7</f>
        <v>0.51753964440172995</v>
      </c>
      <c r="AL7" s="8">
        <f>athero!AL7/athero!$F7</f>
        <v>0.3817575684766939</v>
      </c>
      <c r="AM7" s="8">
        <f>athero!AM7/athero!$F7</f>
        <v>1.4115809706871697E-3</v>
      </c>
      <c r="AN7" s="8">
        <f>athero!AN7/athero!$F7</f>
        <v>0.25636713118692939</v>
      </c>
      <c r="AO7" s="8">
        <f>athero!AO7/athero!$F7</f>
        <v>0.12854396924555503</v>
      </c>
      <c r="AP7" s="8">
        <f>athero!AP7/athero!$F7</f>
        <v>0.10667948101874099</v>
      </c>
      <c r="AQ7" s="8">
        <f>athero!AQ7/athero!$F7</f>
        <v>9.2023065833733778E-2</v>
      </c>
      <c r="AR7" s="8">
        <f>athero!AR7/athero!$F7</f>
        <v>8.974050937049495E-2</v>
      </c>
      <c r="AS7" s="8">
        <f>athero!AS7/athero!$F7</f>
        <v>2.009250360403652E-2</v>
      </c>
      <c r="AT7" s="8">
        <f>athero!AT7/athero!$F7</f>
        <v>1.5076886112445939E-2</v>
      </c>
      <c r="AU7" s="8">
        <f>athero!AU7/athero!$F7</f>
        <v>0.12391878904372898</v>
      </c>
      <c r="AV7" s="8">
        <f>athero!AV7/athero!$F7</f>
        <v>4.9555502162421912E-3</v>
      </c>
      <c r="AW7" s="8">
        <f>athero!AW7/athero!$F7</f>
        <v>4.0845747236905334E-3</v>
      </c>
      <c r="AX7" s="8">
        <f>athero!AX7/athero!$F7</f>
        <v>0.11388755406054782</v>
      </c>
      <c r="AY7" s="8">
        <f>athero!AY7/athero!$F7</f>
        <v>2.0122537241710715E-3</v>
      </c>
      <c r="AZ7" s="8">
        <f>athero!AZ7/athero!$F7</f>
        <v>0.10971287842383469</v>
      </c>
      <c r="BA7" s="8">
        <f>athero!BA7/athero!$F7</f>
        <v>6.0067275348390193E-3</v>
      </c>
      <c r="BB7" s="8">
        <f>athero!BB7/athero!$F7</f>
        <v>4.3849111004324844E-3</v>
      </c>
      <c r="BC7" s="8">
        <f>athero!BC7/athero!$F7</f>
        <v>6.0067275348390199E-5</v>
      </c>
    </row>
    <row r="8" spans="1:55" ht="17.100000000000001">
      <c r="A8" s="5">
        <v>1020</v>
      </c>
      <c r="B8" s="6" t="s">
        <v>43</v>
      </c>
      <c r="C8" s="8" t="s">
        <v>175</v>
      </c>
      <c r="D8" s="8">
        <v>120938</v>
      </c>
      <c r="E8" s="8">
        <v>118043</v>
      </c>
      <c r="F8" s="8">
        <v>117453</v>
      </c>
      <c r="G8" s="8">
        <f>athero!G8/athero!$F8</f>
        <v>0.81631801656832947</v>
      </c>
      <c r="H8" s="8">
        <f>athero!H8/athero!$F8</f>
        <v>1.2192110886907954E-2</v>
      </c>
      <c r="I8" s="8">
        <f>athero!I8/athero!$F8</f>
        <v>1.2038858096430061E-2</v>
      </c>
      <c r="J8" s="8">
        <f>athero!J8/athero!$F8</f>
        <v>1.1672754208066205E-2</v>
      </c>
      <c r="K8" s="8">
        <f>athero!K8/athero!$F8</f>
        <v>1.1596127812827258E-2</v>
      </c>
      <c r="L8" s="8">
        <f>athero!L8/athero!$F8</f>
        <v>1.158761376891182E-2</v>
      </c>
      <c r="M8" s="8">
        <f>athero!M8/athero!$F8</f>
        <v>6.8623193958434435E-3</v>
      </c>
      <c r="N8" s="8">
        <f>athero!N8/athero!$F8</f>
        <v>3.2353366878666362E-3</v>
      </c>
      <c r="O8" s="8">
        <f>athero!O8/athero!$F8</f>
        <v>2.2136514180140141E-4</v>
      </c>
      <c r="P8" s="8">
        <f>athero!P8/athero!$F8</f>
        <v>5.1084263492631096E-5</v>
      </c>
      <c r="Q8" s="8">
        <f>athero!Q8/athero!$F8</f>
        <v>0.34669186823665638</v>
      </c>
      <c r="R8" s="8">
        <f>athero!R8/athero!$F8</f>
        <v>4.038211029092488E-2</v>
      </c>
      <c r="S8" s="8">
        <f>athero!S8/athero!$F8</f>
        <v>0.29610141929112072</v>
      </c>
      <c r="T8" s="8">
        <f>athero!T8/athero!$F8</f>
        <v>1.1332192451448665E-2</v>
      </c>
      <c r="U8" s="8">
        <f>athero!U8/athero!$F8</f>
        <v>1.5810579550969324E-2</v>
      </c>
      <c r="V8" s="8">
        <f>athero!V8/athero!$F8</f>
        <v>3.6440107958076846E-2</v>
      </c>
      <c r="W8" s="8">
        <f>athero!W8/athero!$F8</f>
        <v>0.13712719130205273</v>
      </c>
      <c r="X8" s="8">
        <f>athero!X8/athero!$F8</f>
        <v>6.4536452879023945E-2</v>
      </c>
      <c r="Y8" s="8">
        <f>athero!Y8/athero!$F8</f>
        <v>6.355733782874852E-2</v>
      </c>
      <c r="Z8" s="8">
        <f>athero!Z8/athero!$F8</f>
        <v>3.2302282615173726E-2</v>
      </c>
      <c r="AA8" s="8">
        <f>athero!AA8/athero!$F8</f>
        <v>5.1169403931785483E-3</v>
      </c>
      <c r="AB8" s="8">
        <f>athero!AB8/athero!$F8</f>
        <v>2.1881092862676987E-2</v>
      </c>
      <c r="AC8" s="8">
        <f>athero!AC8/athero!$F8</f>
        <v>4.0526849037487338E-3</v>
      </c>
      <c r="AD8" s="8">
        <f>athero!AD8/athero!$F8</f>
        <v>1.5997888517108972E-2</v>
      </c>
      <c r="AE8" s="8">
        <f>athero!AE8/athero!$F8</f>
        <v>0.10518249853132743</v>
      </c>
      <c r="AF8" s="8">
        <f>athero!AF8/athero!$F8</f>
        <v>4.9381454709543392E-4</v>
      </c>
      <c r="AG8" s="8">
        <f>athero!AG8/athero!$F8</f>
        <v>0.44627212587162524</v>
      </c>
      <c r="AH8" s="8">
        <f>athero!AH8/athero!$F8</f>
        <v>0.42652805803172333</v>
      </c>
      <c r="AI8" s="8">
        <f>athero!AI8/athero!$F8</f>
        <v>6.1641677947774851E-3</v>
      </c>
      <c r="AJ8" s="8">
        <f>athero!AJ8/athero!$F8</f>
        <v>4.3677045286199586E-3</v>
      </c>
      <c r="AK8" s="8">
        <f>athero!AK8/athero!$F8</f>
        <v>0.39363830638638436</v>
      </c>
      <c r="AL8" s="8">
        <f>athero!AL8/athero!$F8</f>
        <v>0.21760193439077757</v>
      </c>
      <c r="AM8" s="8">
        <f>athero!AM8/athero!$F8</f>
        <v>5.5766987646122283E-3</v>
      </c>
      <c r="AN8" s="8">
        <f>athero!AN8/athero!$F8</f>
        <v>0.12341106655428129</v>
      </c>
      <c r="AO8" s="8">
        <f>athero!AO8/athero!$F8</f>
        <v>3.3349510016772665E-2</v>
      </c>
      <c r="AP8" s="8">
        <f>athero!AP8/athero!$F8</f>
        <v>8.1181408733706245E-2</v>
      </c>
      <c r="AQ8" s="8">
        <f>athero!AQ8/athero!$F8</f>
        <v>8.2458515321022025E-2</v>
      </c>
      <c r="AR8" s="8">
        <f>athero!AR8/athero!$F8</f>
        <v>8.2100925476573605E-2</v>
      </c>
      <c r="AS8" s="8">
        <f>athero!AS8/athero!$F8</f>
        <v>2.3813780831481529E-2</v>
      </c>
      <c r="AT8" s="8">
        <f>athero!AT8/athero!$F8</f>
        <v>6.1301116191157315E-3</v>
      </c>
      <c r="AU8" s="8">
        <f>athero!AU8/athero!$F8</f>
        <v>0.15571334916945501</v>
      </c>
      <c r="AV8" s="8">
        <f>athero!AV8/athero!$F8</f>
        <v>3.445633572577967E-2</v>
      </c>
      <c r="AW8" s="8">
        <f>athero!AW8/athero!$F8</f>
        <v>8.2330804662290452E-3</v>
      </c>
      <c r="AX8" s="8">
        <f>athero!AX8/athero!$F8</f>
        <v>3.6550790528977549E-2</v>
      </c>
      <c r="AY8" s="8">
        <f>athero!AY8/athero!$F8</f>
        <v>1.0787293640860599E-2</v>
      </c>
      <c r="AZ8" s="8">
        <f>athero!AZ8/athero!$F8</f>
        <v>2.4418277949477662E-2</v>
      </c>
      <c r="BA8" s="8">
        <f>athero!BA8/athero!$F8</f>
        <v>0.10992482099222668</v>
      </c>
      <c r="BB8" s="8">
        <f>athero!BB8/athero!$F8</f>
        <v>7.3033468706631591E-2</v>
      </c>
      <c r="BC8" s="8">
        <f>athero!BC8/athero!$F8</f>
        <v>6.2152520582701163E-4</v>
      </c>
    </row>
    <row r="9" spans="1:55" ht="51">
      <c r="A9" s="5">
        <v>1022</v>
      </c>
      <c r="B9" s="6" t="s">
        <v>46</v>
      </c>
      <c r="C9" s="8" t="s">
        <v>177</v>
      </c>
      <c r="D9" s="8">
        <v>214901</v>
      </c>
      <c r="E9" s="8">
        <v>208043</v>
      </c>
      <c r="F9" s="8">
        <v>204524</v>
      </c>
      <c r="G9" s="8">
        <f>athero!G9/athero!$F9</f>
        <v>0.56602648099978492</v>
      </c>
      <c r="H9" s="8">
        <f>athero!H9/athero!$F9</f>
        <v>5.8819502845631807E-3</v>
      </c>
      <c r="I9" s="8">
        <f>athero!I9/athero!$F9</f>
        <v>5.6081437875261583E-3</v>
      </c>
      <c r="J9" s="8">
        <f>athero!J9/athero!$F9</f>
        <v>5.4467935303436268E-3</v>
      </c>
      <c r="K9" s="8">
        <f>athero!K9/athero!$F9</f>
        <v>5.4076783164811954E-3</v>
      </c>
      <c r="L9" s="8">
        <f>athero!L9/athero!$F9</f>
        <v>5.3930101112827835E-3</v>
      </c>
      <c r="M9" s="8">
        <f>athero!M9/athero!$F9</f>
        <v>1.1294518002777181E-3</v>
      </c>
      <c r="N9" s="8">
        <f>athero!N9/athero!$F9</f>
        <v>3.799065146388688E-3</v>
      </c>
      <c r="O9" s="8">
        <f>athero!O9/athero!$F9</f>
        <v>1.2223504332009935E-4</v>
      </c>
      <c r="P9" s="8">
        <f>athero!P9/athero!$F9</f>
        <v>5.8672820793647693E-5</v>
      </c>
      <c r="Q9" s="8">
        <f>athero!Q9/athero!$F9</f>
        <v>0.33914357239248205</v>
      </c>
      <c r="R9" s="8">
        <f>athero!R9/athero!$F9</f>
        <v>0.1317742661007999</v>
      </c>
      <c r="S9" s="8">
        <f>athero!S9/athero!$F9</f>
        <v>0.17149087637636659</v>
      </c>
      <c r="T9" s="8">
        <f>athero!T9/athero!$F9</f>
        <v>1.2331071170131623E-2</v>
      </c>
      <c r="U9" s="8">
        <f>athero!U9/athero!$F9</f>
        <v>1.4438403316970135E-2</v>
      </c>
      <c r="V9" s="8">
        <f>athero!V9/athero!$F9</f>
        <v>1.6545735463808647E-2</v>
      </c>
      <c r="W9" s="8">
        <f>athero!W9/athero!$F9</f>
        <v>6.5434863390115588E-2</v>
      </c>
      <c r="X9" s="8">
        <f>athero!X9/athero!$F9</f>
        <v>1.5455398877393361E-2</v>
      </c>
      <c r="Y9" s="8">
        <f>athero!Y9/athero!$F9</f>
        <v>1.3949463143689738E-2</v>
      </c>
      <c r="Z9" s="8">
        <f>athero!Z9/athero!$F9</f>
        <v>4.2581799690989811E-2</v>
      </c>
      <c r="AA9" s="8">
        <f>athero!AA9/athero!$F9</f>
        <v>8.1995267059122648E-3</v>
      </c>
      <c r="AB9" s="8">
        <f>athero!AB9/athero!$F9</f>
        <v>2.642721636580548E-2</v>
      </c>
      <c r="AC9" s="8">
        <f>athero!AC9/athero!$F9</f>
        <v>8.4097709804228352E-4</v>
      </c>
      <c r="AD9" s="8">
        <f>athero!AD9/athero!$F9</f>
        <v>2.506307328235317E-2</v>
      </c>
      <c r="AE9" s="8">
        <f>athero!AE9/athero!$F9</f>
        <v>5.0272828616690461E-2</v>
      </c>
      <c r="AF9" s="8">
        <f>athero!AF9/athero!$F9</f>
        <v>8.4097709804228352E-4</v>
      </c>
      <c r="AG9" s="8">
        <f>athero!AG9/athero!$F9</f>
        <v>0.20745731552287261</v>
      </c>
      <c r="AH9" s="8">
        <f>athero!AH9/athero!$F9</f>
        <v>0.20032856779644442</v>
      </c>
      <c r="AI9" s="8">
        <f>athero!AI9/athero!$F9</f>
        <v>7.9208308071424384E-4</v>
      </c>
      <c r="AJ9" s="8">
        <f>athero!AJ9/athero!$F9</f>
        <v>1.6575071874205473E-3</v>
      </c>
      <c r="AK9" s="8">
        <f>athero!AK9/athero!$F9</f>
        <v>0.19277933152099508</v>
      </c>
      <c r="AL9" s="8">
        <f>athero!AL9/athero!$F9</f>
        <v>0.11684692261054937</v>
      </c>
      <c r="AM9" s="8">
        <f>athero!AM9/athero!$F9</f>
        <v>2.6891709530421859E-4</v>
      </c>
      <c r="AN9" s="8">
        <f>athero!AN9/athero!$F9</f>
        <v>8.7725645889968909E-2</v>
      </c>
      <c r="AO9" s="8">
        <f>athero!AO9/athero!$F9</f>
        <v>6.7405292288435587E-2</v>
      </c>
      <c r="AP9" s="8">
        <f>athero!AP9/athero!$F9</f>
        <v>1.5807435802155247E-2</v>
      </c>
      <c r="AQ9" s="8">
        <f>athero!AQ9/athero!$F9</f>
        <v>2.3522911736519918E-2</v>
      </c>
      <c r="AR9" s="8">
        <f>athero!AR9/athero!$F9</f>
        <v>2.245213275703585E-2</v>
      </c>
      <c r="AS9" s="8">
        <f>athero!AS9/athero!$F9</f>
        <v>8.5466742289413474E-3</v>
      </c>
      <c r="AT9" s="8">
        <f>athero!AT9/athero!$F9</f>
        <v>1.9753183000528057E-3</v>
      </c>
      <c r="AU9" s="8">
        <f>athero!AU9/athero!$F9</f>
        <v>6.3968042870274397E-2</v>
      </c>
      <c r="AV9" s="8">
        <f>athero!AV9/athero!$F9</f>
        <v>1.8785081457432868E-2</v>
      </c>
      <c r="AW9" s="8">
        <f>athero!AW9/athero!$F9</f>
        <v>1.6379495804893314E-3</v>
      </c>
      <c r="AX9" s="8">
        <f>athero!AX9/athero!$F9</f>
        <v>9.0551720091529599E-3</v>
      </c>
      <c r="AY9" s="8">
        <f>athero!AY9/athero!$F9</f>
        <v>2.0584381295104732E-3</v>
      </c>
      <c r="AZ9" s="8">
        <f>athero!AZ9/athero!$F9</f>
        <v>6.7327061860710724E-3</v>
      </c>
      <c r="BA9" s="8">
        <f>athero!BA9/athero!$F9</f>
        <v>5.2737087090023664E-2</v>
      </c>
      <c r="BB9" s="8">
        <f>athero!BB9/athero!$F9</f>
        <v>3.3174590757074962E-2</v>
      </c>
      <c r="BC9" s="8">
        <f>athero!BC9/athero!$F9</f>
        <v>1.2712444505290333E-4</v>
      </c>
    </row>
    <row r="10" spans="1:55" ht="17.100000000000001">
      <c r="A10" s="5">
        <v>1039</v>
      </c>
      <c r="B10" s="6" t="s">
        <v>53</v>
      </c>
      <c r="C10" s="8" t="s">
        <v>182</v>
      </c>
      <c r="D10" s="8">
        <v>135493</v>
      </c>
      <c r="E10" s="8">
        <v>133046</v>
      </c>
      <c r="F10" s="8">
        <v>127178</v>
      </c>
      <c r="G10" s="8">
        <f>athero!G10/athero!$F10</f>
        <v>0.57243391152557832</v>
      </c>
      <c r="H10" s="8">
        <f>athero!H10/athero!$F10</f>
        <v>4.8278790356822724E-3</v>
      </c>
      <c r="I10" s="8">
        <f>athero!I10/athero!$F10</f>
        <v>4.7807010646495462E-3</v>
      </c>
      <c r="J10" s="8">
        <f>athero!J10/athero!$F10</f>
        <v>4.3167843494944097E-3</v>
      </c>
      <c r="K10" s="8">
        <f>athero!K10/athero!$F10</f>
        <v>4.3089213543222888E-3</v>
      </c>
      <c r="L10" s="8">
        <f>athero!L10/athero!$F10</f>
        <v>4.3089213543222888E-3</v>
      </c>
      <c r="M10" s="8">
        <f>athero!M10/athero!$F10</f>
        <v>1.108682319269056E-3</v>
      </c>
      <c r="N10" s="8">
        <f>athero!N10/athero!$F10</f>
        <v>2.6341033826605231E-3</v>
      </c>
      <c r="O10" s="8">
        <f>athero!O10/athero!$F10</f>
        <v>5.504096620484675E-5</v>
      </c>
      <c r="P10" s="8">
        <f>athero!P10/athero!$F10</f>
        <v>1.729858937866612E-4</v>
      </c>
      <c r="Q10" s="8">
        <f>athero!Q10/athero!$F10</f>
        <v>0.22996115680384971</v>
      </c>
      <c r="R10" s="8">
        <f>athero!R10/athero!$F10</f>
        <v>9.3844847379263713E-2</v>
      </c>
      <c r="S10" s="8">
        <f>athero!S10/athero!$F10</f>
        <v>0.12761641164352325</v>
      </c>
      <c r="T10" s="8">
        <f>athero!T10/athero!$F10</f>
        <v>1.0434194593404519E-2</v>
      </c>
      <c r="U10" s="8">
        <f>athero!U10/athero!$F10</f>
        <v>1.9578857978581202E-3</v>
      </c>
      <c r="V10" s="8">
        <f>athero!V10/athero!$F10</f>
        <v>5.1109468618786265E-3</v>
      </c>
      <c r="W10" s="8">
        <f>athero!W10/athero!$F10</f>
        <v>3.789963672962305E-2</v>
      </c>
      <c r="X10" s="8">
        <f>athero!X10/athero!$F10</f>
        <v>5.3704257025586188E-3</v>
      </c>
      <c r="Y10" s="8">
        <f>athero!Y10/athero!$F10</f>
        <v>5.0401799053295384E-3</v>
      </c>
      <c r="Z10" s="8">
        <f>athero!Z10/athero!$F10</f>
        <v>4.2302914026010788E-2</v>
      </c>
      <c r="AA10" s="8">
        <f>athero!AA10/athero!$F10</f>
        <v>5.5827265722058848E-3</v>
      </c>
      <c r="AB10" s="8">
        <f>athero!AB10/athero!$F10</f>
        <v>3.2151787258802626E-2</v>
      </c>
      <c r="AC10" s="8">
        <f>athero!AC10/athero!$F10</f>
        <v>1.1165453144411769E-3</v>
      </c>
      <c r="AD10" s="8">
        <f>athero!AD10/athero!$F10</f>
        <v>2.9376149963043923E-2</v>
      </c>
      <c r="AE10" s="8">
        <f>athero!AE10/athero!$F10</f>
        <v>3.6971803299312773E-2</v>
      </c>
      <c r="AF10" s="8">
        <f>athero!AF10/athero!$F10</f>
        <v>1.108682319269056E-3</v>
      </c>
      <c r="AG10" s="8">
        <f>athero!AG10/athero!$F10</f>
        <v>0.33271477771312646</v>
      </c>
      <c r="AH10" s="8">
        <f>athero!AH10/athero!$F10</f>
        <v>0.32051140920599475</v>
      </c>
      <c r="AI10" s="8">
        <f>athero!AI10/athero!$F10</f>
        <v>1.4546541068423784E-3</v>
      </c>
      <c r="AJ10" s="8">
        <f>athero!AJ10/athero!$F10</f>
        <v>5.8972463790907237E-4</v>
      </c>
      <c r="AK10" s="8">
        <f>athero!AK10/athero!$F10</f>
        <v>0.31427605403450282</v>
      </c>
      <c r="AL10" s="8">
        <f>athero!AL10/athero!$F10</f>
        <v>0.17051691330261523</v>
      </c>
      <c r="AM10" s="8">
        <f>athero!AM10/athero!$F10</f>
        <v>4.7177971032725787E-4</v>
      </c>
      <c r="AN10" s="8">
        <f>athero!AN10/athero!$F10</f>
        <v>8.723206843950998E-2</v>
      </c>
      <c r="AO10" s="8">
        <f>athero!AO10/athero!$F10</f>
        <v>1.6032647155954646E-2</v>
      </c>
      <c r="AP10" s="8">
        <f>athero!AP10/athero!$F10</f>
        <v>6.6599569107864562E-2</v>
      </c>
      <c r="AQ10" s="8">
        <f>athero!AQ10/athero!$F10</f>
        <v>6.6222145339602759E-2</v>
      </c>
      <c r="AR10" s="8">
        <f>athero!AR10/athero!$F10</f>
        <v>6.5616694711349441E-2</v>
      </c>
      <c r="AS10" s="8">
        <f>athero!AS10/athero!$F10</f>
        <v>2.6804950541760367E-2</v>
      </c>
      <c r="AT10" s="8">
        <f>athero!AT10/athero!$F10</f>
        <v>9.8366069603233255E-3</v>
      </c>
      <c r="AU10" s="8">
        <f>athero!AU10/athero!$F10</f>
        <v>0.13356083599364671</v>
      </c>
      <c r="AV10" s="8">
        <f>athero!AV10/athero!$F10</f>
        <v>5.4883706301404329E-2</v>
      </c>
      <c r="AW10" s="8">
        <f>athero!AW10/athero!$F10</f>
        <v>6.9430247369828115E-3</v>
      </c>
      <c r="AX10" s="8">
        <f>athero!AX10/athero!$F10</f>
        <v>3.539920426488858E-2</v>
      </c>
      <c r="AY10" s="8">
        <f>athero!AY10/athero!$F10</f>
        <v>1.6205633049741309E-2</v>
      </c>
      <c r="AZ10" s="8">
        <f>athero!AZ10/athero!$F10</f>
        <v>1.656733082765887E-2</v>
      </c>
      <c r="BA10" s="8">
        <f>athero!BA10/athero!$F10</f>
        <v>8.980326786079354E-2</v>
      </c>
      <c r="BB10" s="8">
        <f>athero!BB10/athero!$F10</f>
        <v>7.1081476355973519E-2</v>
      </c>
      <c r="BC10" s="8">
        <f>athero!BC10/athero!$F10</f>
        <v>2.5161584550787087E-4</v>
      </c>
    </row>
    <row r="11" spans="1:55" ht="51">
      <c r="A11" s="5">
        <v>1047</v>
      </c>
      <c r="B11" s="6" t="s">
        <v>57</v>
      </c>
      <c r="C11" s="8" t="s">
        <v>185</v>
      </c>
      <c r="D11" s="8">
        <v>78807</v>
      </c>
      <c r="E11" s="8">
        <v>74432</v>
      </c>
      <c r="F11" s="8">
        <v>72740</v>
      </c>
      <c r="G11" s="8">
        <f>athero!G11/athero!$F11</f>
        <v>0.70380808358537261</v>
      </c>
      <c r="H11" s="8">
        <f>athero!H11/athero!$F11</f>
        <v>7.2999725048116578E-3</v>
      </c>
      <c r="I11" s="8">
        <f>athero!I11/athero!$F11</f>
        <v>7.0800109980753371E-3</v>
      </c>
      <c r="J11" s="8">
        <f>athero!J11/athero!$F11</f>
        <v>6.7500687379708551E-3</v>
      </c>
      <c r="K11" s="8">
        <f>athero!K11/athero!$F11</f>
        <v>6.7088259554577952E-3</v>
      </c>
      <c r="L11" s="8">
        <f>athero!L11/athero!$F11</f>
        <v>6.6950783612867749E-3</v>
      </c>
      <c r="M11" s="8">
        <f>athero!M11/athero!$F11</f>
        <v>2.2958482265603521E-3</v>
      </c>
      <c r="N11" s="8">
        <f>athero!N11/athero!$F11</f>
        <v>3.5193841077811381E-3</v>
      </c>
      <c r="O11" s="8">
        <f>athero!O11/athero!$F11</f>
        <v>1.512235358812208E-4</v>
      </c>
      <c r="P11" s="8">
        <f>athero!P11/athero!$F11</f>
        <v>8.2485565026120436E-5</v>
      </c>
      <c r="Q11" s="8">
        <f>athero!Q11/athero!$F11</f>
        <v>0.45643387407203739</v>
      </c>
      <c r="R11" s="8">
        <f>athero!R11/athero!$F11</f>
        <v>3.9758042342590047E-2</v>
      </c>
      <c r="S11" s="8">
        <f>athero!S11/athero!$F11</f>
        <v>0.39648061589221884</v>
      </c>
      <c r="T11" s="8">
        <f>athero!T11/athero!$F11</f>
        <v>1.4778663733846576E-2</v>
      </c>
      <c r="U11" s="8">
        <f>athero!U11/athero!$F11</f>
        <v>6.7500687379708551E-3</v>
      </c>
      <c r="V11" s="8">
        <f>athero!V11/athero!$F11</f>
        <v>6.2551553478141328E-2</v>
      </c>
      <c r="W11" s="8">
        <f>athero!W11/athero!$F11</f>
        <v>0.18406653835578773</v>
      </c>
      <c r="X11" s="8">
        <f>athero!X11/athero!$F11</f>
        <v>5.5870222711025569E-2</v>
      </c>
      <c r="Y11" s="8">
        <f>athero!Y11/athero!$F11</f>
        <v>5.3051965905966454E-2</v>
      </c>
      <c r="Z11" s="8">
        <f>athero!Z11/athero!$F11</f>
        <v>7.0923838328292549E-2</v>
      </c>
      <c r="AA11" s="8">
        <f>athero!AA11/athero!$F11</f>
        <v>6.6675831729447344E-3</v>
      </c>
      <c r="AB11" s="8">
        <f>athero!AB11/athero!$F11</f>
        <v>5.3959307121253783E-2</v>
      </c>
      <c r="AC11" s="8">
        <f>athero!AC11/athero!$F11</f>
        <v>1.5259829529832279E-3</v>
      </c>
      <c r="AD11" s="8">
        <f>athero!AD11/athero!$F11</f>
        <v>4.7635413802584549E-2</v>
      </c>
      <c r="AE11" s="8">
        <f>athero!AE11/athero!$F11</f>
        <v>0.11077811383007974</v>
      </c>
      <c r="AF11" s="8">
        <f>athero!AF11/athero!$F11</f>
        <v>1.1135551278526259E-3</v>
      </c>
      <c r="AG11" s="8">
        <f>athero!AG11/athero!$F11</f>
        <v>0.22458069837778388</v>
      </c>
      <c r="AH11" s="8">
        <f>athero!AH11/athero!$F11</f>
        <v>0.21326642837503437</v>
      </c>
      <c r="AI11" s="8">
        <f>athero!AI11/athero!$F11</f>
        <v>2.735771240032994E-3</v>
      </c>
      <c r="AJ11" s="8">
        <f>athero!AJ11/athero!$F11</f>
        <v>1.8284300247456695E-3</v>
      </c>
      <c r="AK11" s="8">
        <f>athero!AK11/athero!$F11</f>
        <v>0.19887269727797635</v>
      </c>
      <c r="AL11" s="8">
        <f>athero!AL11/athero!$F11</f>
        <v>0.10206213912565301</v>
      </c>
      <c r="AM11" s="8">
        <f>athero!AM11/athero!$F11</f>
        <v>2.5708001099807535E-3</v>
      </c>
      <c r="AN11" s="8">
        <f>athero!AN11/athero!$F11</f>
        <v>4.7882870497662912E-2</v>
      </c>
      <c r="AO11" s="8">
        <f>athero!AO11/athero!$F11</f>
        <v>9.8157822381083303E-3</v>
      </c>
      <c r="AP11" s="8">
        <f>athero!AP11/athero!$F11</f>
        <v>3.5537530932086885E-2</v>
      </c>
      <c r="AQ11" s="8">
        <f>athero!AQ11/athero!$F11</f>
        <v>4.3524883145449549E-2</v>
      </c>
      <c r="AR11" s="8">
        <f>athero!AR11/athero!$F11</f>
        <v>4.3029969755292823E-2</v>
      </c>
      <c r="AS11" s="8">
        <f>athero!AS11/athero!$F11</f>
        <v>9.4858399780038492E-3</v>
      </c>
      <c r="AT11" s="8">
        <f>athero!AT11/athero!$F11</f>
        <v>1.8696728072587297E-3</v>
      </c>
      <c r="AU11" s="8">
        <f>athero!AU11/athero!$F11</f>
        <v>8.0574649436348636E-2</v>
      </c>
      <c r="AV11" s="8">
        <f>athero!AV11/athero!$F11</f>
        <v>2.2642287599670057E-2</v>
      </c>
      <c r="AW11" s="8">
        <f>athero!AW11/athero!$F11</f>
        <v>2.0071487489689305E-3</v>
      </c>
      <c r="AX11" s="8">
        <f>athero!AX11/athero!$F11</f>
        <v>2.0415177343964808E-2</v>
      </c>
      <c r="AY11" s="8">
        <f>athero!AY11/athero!$F11</f>
        <v>8.5372559802034641E-3</v>
      </c>
      <c r="AZ11" s="8">
        <f>athero!AZ11/athero!$F11</f>
        <v>1.0805609018421777E-2</v>
      </c>
      <c r="BA11" s="8">
        <f>athero!BA11/athero!$F11</f>
        <v>5.2474566950783612E-2</v>
      </c>
      <c r="BB11" s="8">
        <f>athero!BB11/athero!$F11</f>
        <v>4.3552378333791587E-2</v>
      </c>
      <c r="BC11" s="8">
        <f>athero!BC11/athero!$F11</f>
        <v>2.1996150673632113E-4</v>
      </c>
    </row>
    <row r="12" spans="1:55" ht="33.950000000000003">
      <c r="A12" s="5">
        <v>1048</v>
      </c>
      <c r="B12" s="6" t="s">
        <v>58</v>
      </c>
      <c r="C12" s="8" t="s">
        <v>186</v>
      </c>
      <c r="D12" s="8">
        <v>148761</v>
      </c>
      <c r="E12" s="8">
        <v>144702</v>
      </c>
      <c r="F12" s="8">
        <v>136700</v>
      </c>
      <c r="G12" s="8">
        <f>athero!G12/athero!$F12</f>
        <v>0.69349670811997077</v>
      </c>
      <c r="H12" s="8">
        <f>athero!H12/athero!$F12</f>
        <v>5.4133138258961227E-4</v>
      </c>
      <c r="I12" s="8">
        <f>athero!I12/athero!$F12</f>
        <v>4.9012435991221655E-4</v>
      </c>
      <c r="J12" s="8">
        <f>athero!J12/athero!$F12</f>
        <v>4.3160204828090711E-4</v>
      </c>
      <c r="K12" s="8">
        <f>athero!K12/athero!$F12</f>
        <v>4.3160204828090711E-4</v>
      </c>
      <c r="L12" s="8">
        <f>athero!L12/athero!$F12</f>
        <v>4.3160204828090711E-4</v>
      </c>
      <c r="M12" s="8">
        <f>athero!M12/athero!$F12</f>
        <v>8.7783467446964149E-5</v>
      </c>
      <c r="N12" s="8">
        <f>athero!N12/athero!$F12</f>
        <v>2.9261155815654721E-4</v>
      </c>
      <c r="O12" s="8">
        <f>athero!O12/athero!$F12</f>
        <v>0</v>
      </c>
      <c r="P12" s="8">
        <f>athero!P12/athero!$F12</f>
        <v>0</v>
      </c>
      <c r="Q12" s="8">
        <f>athero!Q12/athero!$F12</f>
        <v>0.24074615947329919</v>
      </c>
      <c r="R12" s="8">
        <f>athero!R12/athero!$F12</f>
        <v>5.6803218727139719E-2</v>
      </c>
      <c r="S12" s="8">
        <f>athero!S12/athero!$F12</f>
        <v>0.18006583760058523</v>
      </c>
      <c r="T12" s="8">
        <f>athero!T12/athero!$F12</f>
        <v>1.0124359912216533E-2</v>
      </c>
      <c r="U12" s="8">
        <f>athero!U12/athero!$F12</f>
        <v>1.9363569861009511E-2</v>
      </c>
      <c r="V12" s="8">
        <f>athero!V12/athero!$F12</f>
        <v>3.1602048280907097E-2</v>
      </c>
      <c r="W12" s="8">
        <f>athero!W12/athero!$F12</f>
        <v>7.065837600585223E-2</v>
      </c>
      <c r="X12" s="8">
        <f>athero!X12/athero!$F12</f>
        <v>2.980248719824433E-2</v>
      </c>
      <c r="Y12" s="8">
        <f>athero!Y12/athero!$F12</f>
        <v>2.9209948792977322E-2</v>
      </c>
      <c r="Z12" s="8">
        <f>athero!Z12/athero!$F12</f>
        <v>1.2692026335040234E-2</v>
      </c>
      <c r="AA12" s="8">
        <f>athero!AA12/athero!$F12</f>
        <v>2.670080468178493E-3</v>
      </c>
      <c r="AB12" s="8">
        <f>athero!AB12/athero!$F12</f>
        <v>8.4052670080468177E-3</v>
      </c>
      <c r="AC12" s="8">
        <f>athero!AC12/athero!$F12</f>
        <v>6.9495245062179951E-4</v>
      </c>
      <c r="AD12" s="8">
        <f>athero!AD12/athero!$F12</f>
        <v>7.483540599853694E-3</v>
      </c>
      <c r="AE12" s="8">
        <f>athero!AE12/athero!$F12</f>
        <v>8.9326993416239939E-2</v>
      </c>
      <c r="AF12" s="8">
        <f>athero!AF12/athero!$F12</f>
        <v>1.2874908558888076E-3</v>
      </c>
      <c r="AG12" s="8">
        <f>athero!AG12/athero!$F12</f>
        <v>0.44869787856620336</v>
      </c>
      <c r="AH12" s="8">
        <f>athero!AH12/athero!$F12</f>
        <v>0.40759326993416239</v>
      </c>
      <c r="AI12" s="8">
        <f>athero!AI12/athero!$F12</f>
        <v>3.9136795903438187E-3</v>
      </c>
      <c r="AJ12" s="8">
        <f>athero!AJ12/athero!$F12</f>
        <v>2.7286027798098023E-3</v>
      </c>
      <c r="AK12" s="8">
        <f>athero!AK12/athero!$F12</f>
        <v>0.39136795903438187</v>
      </c>
      <c r="AL12" s="8">
        <f>athero!AL12/athero!$F12</f>
        <v>0.22164594001463059</v>
      </c>
      <c r="AM12" s="8">
        <f>athero!AM12/athero!$F12</f>
        <v>4.6817849305047548E-4</v>
      </c>
      <c r="AN12" s="8">
        <f>athero!AN12/athero!$F12</f>
        <v>0.14292611558156548</v>
      </c>
      <c r="AO12" s="8">
        <f>athero!AO12/athero!$F12</f>
        <v>5.6035113386978787E-2</v>
      </c>
      <c r="AP12" s="8">
        <f>athero!AP12/athero!$F12</f>
        <v>7.4754937820043887E-2</v>
      </c>
      <c r="AQ12" s="8">
        <f>athero!AQ12/athero!$F12</f>
        <v>6.4133138258961234E-2</v>
      </c>
      <c r="AR12" s="8">
        <f>athero!AR12/athero!$F12</f>
        <v>6.3730797366495978E-2</v>
      </c>
      <c r="AS12" s="8">
        <f>athero!AS12/athero!$F12</f>
        <v>1.70592538405267E-2</v>
      </c>
      <c r="AT12" s="8">
        <f>athero!AT12/athero!$F12</f>
        <v>5.0841258229700073E-3</v>
      </c>
      <c r="AU12" s="8">
        <f>athero!AU12/athero!$F12</f>
        <v>0.1496196049743965</v>
      </c>
      <c r="AV12" s="8">
        <f>athero!AV12/athero!$F12</f>
        <v>2.2926115581565473E-2</v>
      </c>
      <c r="AW12" s="8">
        <f>athero!AW12/athero!$F12</f>
        <v>3.4089246525237748E-3</v>
      </c>
      <c r="AX12" s="8">
        <f>athero!AX12/athero!$F12</f>
        <v>8.2304316020482812E-2</v>
      </c>
      <c r="AY12" s="8">
        <f>athero!AY12/athero!$F12</f>
        <v>1.3913679590343819E-2</v>
      </c>
      <c r="AZ12" s="8">
        <f>athero!AZ12/athero!$F12</f>
        <v>6.4374542794440381E-2</v>
      </c>
      <c r="BA12" s="8">
        <f>athero!BA12/athero!$F12</f>
        <v>6.0892465252377466E-2</v>
      </c>
      <c r="BB12" s="8">
        <f>athero!BB12/athero!$F12</f>
        <v>4.9897585954645211E-2</v>
      </c>
      <c r="BC12" s="8">
        <f>athero!BC12/athero!$F12</f>
        <v>1.1923920994879298E-3</v>
      </c>
    </row>
    <row r="13" spans="1:55" ht="33.950000000000003">
      <c r="A13" s="5">
        <v>1059</v>
      </c>
      <c r="B13" s="6" t="s">
        <v>60</v>
      </c>
      <c r="C13" s="8" t="s">
        <v>188</v>
      </c>
      <c r="D13" s="8">
        <v>175293</v>
      </c>
      <c r="E13" s="8">
        <v>171404</v>
      </c>
      <c r="F13" s="8">
        <v>153549</v>
      </c>
      <c r="G13" s="8">
        <f>athero!G13/athero!$F13</f>
        <v>0.52888003178138576</v>
      </c>
      <c r="H13" s="8">
        <f>athero!H13/athero!$F13</f>
        <v>3.6535568450462067E-3</v>
      </c>
      <c r="I13" s="8">
        <f>athero!I13/athero!$F13</f>
        <v>3.6014562126747813E-3</v>
      </c>
      <c r="J13" s="8">
        <f>athero!J13/athero!$F13</f>
        <v>3.4712046317462177E-3</v>
      </c>
      <c r="K13" s="8">
        <f>athero!K13/athero!$F13</f>
        <v>3.4386417365140768E-3</v>
      </c>
      <c r="L13" s="8">
        <f>athero!L13/athero!$F13</f>
        <v>3.4125914203283641E-3</v>
      </c>
      <c r="M13" s="8">
        <f>athero!M13/athero!$F13</f>
        <v>9.5734911982494188E-4</v>
      </c>
      <c r="N13" s="8">
        <f>athero!N13/athero!$F13</f>
        <v>2.1231007691355852E-3</v>
      </c>
      <c r="O13" s="8">
        <f>athero!O13/athero!$F13</f>
        <v>7.1638369510709934E-5</v>
      </c>
      <c r="P13" s="8">
        <f>athero!P13/athero!$F13</f>
        <v>3.2562895232140878E-5</v>
      </c>
      <c r="Q13" s="8">
        <f>athero!Q13/athero!$F13</f>
        <v>0.26400692938410542</v>
      </c>
      <c r="R13" s="8">
        <f>athero!R13/athero!$F13</f>
        <v>4.0117486925997564E-2</v>
      </c>
      <c r="S13" s="8">
        <f>athero!S13/athero!$F13</f>
        <v>0.21895290754091529</v>
      </c>
      <c r="T13" s="8">
        <f>athero!T13/athero!$F13</f>
        <v>2.5073429328748478E-3</v>
      </c>
      <c r="U13" s="8">
        <f>athero!U13/athero!$F13</f>
        <v>1.2634403350070661E-3</v>
      </c>
      <c r="V13" s="8">
        <f>athero!V13/athero!$F13</f>
        <v>1.3624315365127744E-2</v>
      </c>
      <c r="W13" s="8">
        <f>athero!W13/athero!$F13</f>
        <v>9.7317468690776232E-2</v>
      </c>
      <c r="X13" s="8">
        <f>athero!X13/athero!$F13</f>
        <v>1.792261753577034E-2</v>
      </c>
      <c r="Y13" s="8">
        <f>athero!Y13/athero!$F13</f>
        <v>1.7303922526359664E-2</v>
      </c>
      <c r="Z13" s="8">
        <f>athero!Z13/athero!$F13</f>
        <v>5.5070368416596654E-2</v>
      </c>
      <c r="AA13" s="8">
        <f>athero!AA13/athero!$F13</f>
        <v>9.5995415144351313E-3</v>
      </c>
      <c r="AB13" s="8">
        <f>athero!AB13/athero!$F13</f>
        <v>3.9883034080326153E-2</v>
      </c>
      <c r="AC13" s="8">
        <f>athero!AC13/athero!$F13</f>
        <v>9.3781138268565734E-4</v>
      </c>
      <c r="AD13" s="8">
        <f>athero!AD13/athero!$F13</f>
        <v>3.4484106050837189E-2</v>
      </c>
      <c r="AE13" s="8">
        <f>athero!AE13/athero!$F13</f>
        <v>5.0068707708939821E-2</v>
      </c>
      <c r="AF13" s="8">
        <f>athero!AF13/athero!$F13</f>
        <v>6.5777048368924579E-4</v>
      </c>
      <c r="AG13" s="8">
        <f>athero!AG13/athero!$F13</f>
        <v>0.25432272434206671</v>
      </c>
      <c r="AH13" s="8">
        <f>athero!AH13/athero!$F13</f>
        <v>0.2367127106005249</v>
      </c>
      <c r="AI13" s="8">
        <f>athero!AI13/athero!$F13</f>
        <v>9.0524848745351645E-4</v>
      </c>
      <c r="AJ13" s="8">
        <f>athero!AJ13/athero!$F13</f>
        <v>4.298302170642596E-4</v>
      </c>
      <c r="AK13" s="8">
        <f>athero!AK13/athero!$F13</f>
        <v>0.23203016626614306</v>
      </c>
      <c r="AL13" s="8">
        <f>athero!AL13/athero!$F13</f>
        <v>0.14417547492982696</v>
      </c>
      <c r="AM13" s="8">
        <f>athero!AM13/athero!$F13</f>
        <v>3.7772958469283423E-4</v>
      </c>
      <c r="AN13" s="8">
        <f>athero!AN13/athero!$F13</f>
        <v>6.2585884636174774E-2</v>
      </c>
      <c r="AO13" s="8">
        <f>athero!AO13/athero!$F13</f>
        <v>1.9433535874541677E-2</v>
      </c>
      <c r="AP13" s="8">
        <f>athero!AP13/athero!$F13</f>
        <v>3.9062449120476198E-2</v>
      </c>
      <c r="AQ13" s="8">
        <f>athero!AQ13/athero!$F13</f>
        <v>6.8505818989377978E-2</v>
      </c>
      <c r="AR13" s="8">
        <f>athero!AR13/athero!$F13</f>
        <v>6.7216328338185208E-2</v>
      </c>
      <c r="AS13" s="8">
        <f>athero!AS13/athero!$F13</f>
        <v>1.6411699196999002E-2</v>
      </c>
      <c r="AT13" s="8">
        <f>athero!AT13/athero!$F13</f>
        <v>3.1130127841926683E-3</v>
      </c>
      <c r="AU13" s="8">
        <f>athero!AU13/athero!$F13</f>
        <v>6.335436896365329E-2</v>
      </c>
      <c r="AV13" s="8">
        <f>athero!AV13/athero!$F13</f>
        <v>1.4301623585956274E-2</v>
      </c>
      <c r="AW13" s="8">
        <f>athero!AW13/athero!$F13</f>
        <v>1.439279969260627E-3</v>
      </c>
      <c r="AX13" s="8">
        <f>athero!AX13/athero!$F13</f>
        <v>1.296003230239207E-2</v>
      </c>
      <c r="AY13" s="8">
        <f>athero!AY13/athero!$F13</f>
        <v>5.4966167151853807E-3</v>
      </c>
      <c r="AZ13" s="8">
        <f>athero!AZ13/athero!$F13</f>
        <v>6.6884186806817365E-3</v>
      </c>
      <c r="BA13" s="8">
        <f>athero!BA13/athero!$F13</f>
        <v>4.6903594292375721E-2</v>
      </c>
      <c r="BB13" s="8">
        <f>athero!BB13/athero!$F13</f>
        <v>2.7541696787344756E-2</v>
      </c>
      <c r="BC13" s="8">
        <f>athero!BC13/athero!$F13</f>
        <v>3.4516668946069334E-4</v>
      </c>
    </row>
    <row r="14" spans="1:55" ht="33.950000000000003">
      <c r="A14" s="5">
        <v>1061</v>
      </c>
      <c r="B14" s="6" t="s">
        <v>61</v>
      </c>
      <c r="C14" s="8" t="s">
        <v>189</v>
      </c>
      <c r="D14" s="8">
        <v>162753</v>
      </c>
      <c r="E14" s="8">
        <v>158102</v>
      </c>
      <c r="F14" s="8">
        <v>148260</v>
      </c>
      <c r="G14" s="8">
        <f>athero!G14/athero!$F14</f>
        <v>0.77994064481316605</v>
      </c>
      <c r="H14" s="8">
        <f>athero!H14/athero!$F14</f>
        <v>1.2815324430055309E-4</v>
      </c>
      <c r="I14" s="8">
        <f>athero!I14/athero!$F14</f>
        <v>9.4428706326723318E-5</v>
      </c>
      <c r="J14" s="8">
        <f>athero!J14/athero!$F14</f>
        <v>5.3959260758127611E-5</v>
      </c>
      <c r="K14" s="8">
        <f>athero!K14/athero!$F14</f>
        <v>5.3959260758127611E-5</v>
      </c>
      <c r="L14" s="8">
        <f>athero!L14/athero!$F14</f>
        <v>5.3959260758127611E-5</v>
      </c>
      <c r="M14" s="8">
        <f>athero!M14/athero!$F14</f>
        <v>6.7449075947659514E-6</v>
      </c>
      <c r="N14" s="8">
        <f>athero!N14/athero!$F14</f>
        <v>2.6979630379063805E-5</v>
      </c>
      <c r="O14" s="8">
        <f>athero!O14/athero!$F14</f>
        <v>0</v>
      </c>
      <c r="P14" s="8">
        <f>athero!P14/athero!$F14</f>
        <v>0</v>
      </c>
      <c r="Q14" s="8">
        <f>athero!Q14/athero!$F14</f>
        <v>0.35663024416565492</v>
      </c>
      <c r="R14" s="8">
        <f>athero!R14/athero!$F14</f>
        <v>5.9699177121273442E-2</v>
      </c>
      <c r="S14" s="8">
        <f>athero!S14/athero!$F14</f>
        <v>0.28932955618508027</v>
      </c>
      <c r="T14" s="8">
        <f>athero!T14/athero!$F14</f>
        <v>1.4299204100903818E-2</v>
      </c>
      <c r="U14" s="8">
        <f>athero!U14/athero!$F14</f>
        <v>1.1000944287063268E-2</v>
      </c>
      <c r="V14" s="8">
        <f>athero!V14/athero!$F14</f>
        <v>3.52219074598678E-2</v>
      </c>
      <c r="W14" s="8">
        <f>athero!W14/athero!$F14</f>
        <v>0.14674895453932282</v>
      </c>
      <c r="X14" s="8">
        <f>athero!X14/athero!$F14</f>
        <v>4.6114933225414809E-2</v>
      </c>
      <c r="Y14" s="8">
        <f>athero!Y14/athero!$F14</f>
        <v>4.4381491973559964E-2</v>
      </c>
      <c r="Z14" s="8">
        <f>athero!Z14/athero!$F14</f>
        <v>2.2453797382975853E-2</v>
      </c>
      <c r="AA14" s="8">
        <f>athero!AA14/athero!$F14</f>
        <v>3.8108727910427628E-3</v>
      </c>
      <c r="AB14" s="8">
        <f>athero!AB14/athero!$F14</f>
        <v>1.6720625927424793E-2</v>
      </c>
      <c r="AC14" s="8">
        <f>athero!AC14/athero!$F14</f>
        <v>7.0079589909618238E-3</v>
      </c>
      <c r="AD14" s="8">
        <f>athero!AD14/athero!$F14</f>
        <v>8.0938891137191417E-3</v>
      </c>
      <c r="AE14" s="8">
        <f>athero!AE14/athero!$F14</f>
        <v>0.10666396870362876</v>
      </c>
      <c r="AF14" s="8">
        <f>athero!AF14/athero!$F14</f>
        <v>3.7096991771212734E-4</v>
      </c>
      <c r="AG14" s="8">
        <f>athero!AG14/athero!$F14</f>
        <v>0.41995818157291243</v>
      </c>
      <c r="AH14" s="8">
        <f>athero!AH14/athero!$F14</f>
        <v>0.39414542020774318</v>
      </c>
      <c r="AI14" s="8">
        <f>athero!AI14/athero!$F14</f>
        <v>2.360717658168083E-3</v>
      </c>
      <c r="AJ14" s="8">
        <f>athero!AJ14/athero!$F14</f>
        <v>7.6217455820855253E-4</v>
      </c>
      <c r="AK14" s="8">
        <f>athero!AK14/athero!$F14</f>
        <v>0.3830028328611898</v>
      </c>
      <c r="AL14" s="8">
        <f>athero!AL14/athero!$F14</f>
        <v>0.28256441386753001</v>
      </c>
      <c r="AM14" s="8">
        <f>athero!AM14/athero!$F14</f>
        <v>1.0252259544044247E-3</v>
      </c>
      <c r="AN14" s="8">
        <f>athero!AN14/athero!$F14</f>
        <v>0.17834210171320652</v>
      </c>
      <c r="AO14" s="8">
        <f>athero!AO14/athero!$F14</f>
        <v>3.1694320787805208E-2</v>
      </c>
      <c r="AP14" s="8">
        <f>athero!AP14/athero!$F14</f>
        <v>0.13207203561311209</v>
      </c>
      <c r="AQ14" s="8">
        <f>athero!AQ14/athero!$F14</f>
        <v>8.5060029677593421E-2</v>
      </c>
      <c r="AR14" s="8">
        <f>athero!AR14/athero!$F14</f>
        <v>8.441251854849588E-2</v>
      </c>
      <c r="AS14" s="8">
        <f>athero!AS14/athero!$F14</f>
        <v>3.1067044381491972E-2</v>
      </c>
      <c r="AT14" s="8">
        <f>athero!AT14/athero!$F14</f>
        <v>1.6255227303385942E-2</v>
      </c>
      <c r="AU14" s="8">
        <f>athero!AU14/athero!$F14</f>
        <v>8.6368541750978009E-2</v>
      </c>
      <c r="AV14" s="8">
        <f>athero!AV14/athero!$F14</f>
        <v>1.2633211924996628E-2</v>
      </c>
      <c r="AW14" s="8">
        <f>athero!AW14/athero!$F14</f>
        <v>4.3234857682449748E-3</v>
      </c>
      <c r="AX14" s="8">
        <f>athero!AX14/athero!$F14</f>
        <v>3.2915149062457842E-2</v>
      </c>
      <c r="AY14" s="8">
        <f>athero!AY14/athero!$F14</f>
        <v>1.1095372993389991E-2</v>
      </c>
      <c r="AZ14" s="8">
        <f>athero!AZ14/athero!$F14</f>
        <v>1.7954944017266963E-2</v>
      </c>
      <c r="BA14" s="8">
        <f>athero!BA14/athero!$F14</f>
        <v>4.923782544179145E-2</v>
      </c>
      <c r="BB14" s="8">
        <f>athero!BB14/athero!$F14</f>
        <v>3.6206663968703631E-2</v>
      </c>
      <c r="BC14" s="8">
        <f>athero!BC14/athero!$F14</f>
        <v>1.551328746796169E-3</v>
      </c>
    </row>
    <row r="15" spans="1:55" ht="33.950000000000003">
      <c r="A15" s="5">
        <v>1073</v>
      </c>
      <c r="B15" s="6" t="s">
        <v>64</v>
      </c>
      <c r="C15" s="8" t="s">
        <v>192</v>
      </c>
      <c r="D15" s="8">
        <v>52549</v>
      </c>
      <c r="E15" s="8">
        <v>50413</v>
      </c>
      <c r="F15" s="8">
        <v>48624</v>
      </c>
      <c r="G15" s="8">
        <f>athero!G15/athero!$F15</f>
        <v>0.57621750575847319</v>
      </c>
      <c r="H15" s="8">
        <f>athero!H15/athero!$F15</f>
        <v>2.9820664692333004E-3</v>
      </c>
      <c r="I15" s="8">
        <f>athero!I15/athero!$F15</f>
        <v>2.9409345179335308E-3</v>
      </c>
      <c r="J15" s="8">
        <f>athero!J15/athero!$F15</f>
        <v>2.8792365909838763E-3</v>
      </c>
      <c r="K15" s="8">
        <f>athero!K15/athero!$F15</f>
        <v>2.8792365909838763E-3</v>
      </c>
      <c r="L15" s="8">
        <f>athero!L15/athero!$F15</f>
        <v>2.8792365909838763E-3</v>
      </c>
      <c r="M15" s="8">
        <f>athero!M15/athero!$F15</f>
        <v>9.6660085554458707E-4</v>
      </c>
      <c r="N15" s="8">
        <f>athero!N15/athero!$F15</f>
        <v>1.5218821980914775E-3</v>
      </c>
      <c r="O15" s="8">
        <f>athero!O15/athero!$F15</f>
        <v>1.2339585389930897E-4</v>
      </c>
      <c r="P15" s="8">
        <f>athero!P15/athero!$F15</f>
        <v>4.1131951299769661E-5</v>
      </c>
      <c r="Q15" s="8">
        <f>athero!Q15/athero!$F15</f>
        <v>0.36942662059888121</v>
      </c>
      <c r="R15" s="8">
        <f>athero!R15/athero!$F15</f>
        <v>6.661319512997696E-2</v>
      </c>
      <c r="S15" s="8">
        <f>athero!S15/athero!$F15</f>
        <v>0.29144044093451793</v>
      </c>
      <c r="T15" s="8">
        <f>athero!T15/athero!$F15</f>
        <v>9.1929911154985198E-3</v>
      </c>
      <c r="U15" s="8">
        <f>athero!U15/athero!$F15</f>
        <v>1.6123724909509706E-2</v>
      </c>
      <c r="V15" s="8">
        <f>athero!V15/athero!$F15</f>
        <v>4.7054952286936493E-2</v>
      </c>
      <c r="W15" s="8">
        <f>athero!W15/athero!$F15</f>
        <v>6.2890753537347813E-2</v>
      </c>
      <c r="X15" s="8">
        <f>athero!X15/athero!$F15</f>
        <v>1.2072227706482395E-2</v>
      </c>
      <c r="Y15" s="8">
        <f>athero!Y15/athero!$F15</f>
        <v>1.1352418558736426E-2</v>
      </c>
      <c r="Z15" s="8">
        <f>athero!Z15/athero!$F15</f>
        <v>1.9023527476143467E-2</v>
      </c>
      <c r="AA15" s="8">
        <f>athero!AA15/athero!$F15</f>
        <v>2.0977295162882526E-3</v>
      </c>
      <c r="AB15" s="8">
        <f>athero!AB15/athero!$F15</f>
        <v>1.5321651859164198E-2</v>
      </c>
      <c r="AC15" s="8">
        <f>athero!AC15/athero!$F15</f>
        <v>3.6607436656795E-3</v>
      </c>
      <c r="AD15" s="8">
        <f>athero!AD15/athero!$F15</f>
        <v>1.0262421849292531E-2</v>
      </c>
      <c r="AE15" s="8">
        <f>athero!AE15/athero!$F15</f>
        <v>0.2011763738071734</v>
      </c>
      <c r="AF15" s="8">
        <f>athero!AF15/athero!$F15</f>
        <v>5.1414939124712073E-4</v>
      </c>
      <c r="AG15" s="8">
        <f>athero!AG15/athero!$F15</f>
        <v>0.19821487331359</v>
      </c>
      <c r="AH15" s="8">
        <f>athero!AH15/athero!$F15</f>
        <v>0.192497532082922</v>
      </c>
      <c r="AI15" s="8">
        <f>athero!AI15/athero!$F15</f>
        <v>1.5218821980914775E-3</v>
      </c>
      <c r="AJ15" s="8">
        <f>athero!AJ15/athero!$F15</f>
        <v>8.4320500164527807E-4</v>
      </c>
      <c r="AK15" s="8">
        <f>athero!AK15/athero!$F15</f>
        <v>0.1810011516946364</v>
      </c>
      <c r="AL15" s="8">
        <f>athero!AL15/athero!$F15</f>
        <v>0.10038252714708785</v>
      </c>
      <c r="AM15" s="8">
        <f>athero!AM15/athero!$F15</f>
        <v>1.1105626850937808E-3</v>
      </c>
      <c r="AN15" s="8">
        <f>athero!AN15/athero!$F15</f>
        <v>6.9266205988812113E-2</v>
      </c>
      <c r="AO15" s="8">
        <f>athero!AO15/athero!$F15</f>
        <v>1.0468081605791379E-2</v>
      </c>
      <c r="AP15" s="8">
        <f>athero!AP15/athero!$F15</f>
        <v>5.4006252056597565E-2</v>
      </c>
      <c r="AQ15" s="8">
        <f>athero!AQ15/athero!$F15</f>
        <v>2.3938795656465943E-2</v>
      </c>
      <c r="AR15" s="8">
        <f>athero!AR15/athero!$F15</f>
        <v>2.375370187561698E-2</v>
      </c>
      <c r="AS15" s="8">
        <f>athero!AS15/athero!$F15</f>
        <v>1.0118460019743336E-2</v>
      </c>
      <c r="AT15" s="8">
        <f>athero!AT15/athero!$F15</f>
        <v>3.7224415926291545E-3</v>
      </c>
      <c r="AU15" s="8">
        <f>athero!AU15/athero!$F15</f>
        <v>6.88754524514643E-2</v>
      </c>
      <c r="AV15" s="8">
        <f>athero!AV15/athero!$F15</f>
        <v>9.0078973346495554E-3</v>
      </c>
      <c r="AW15" s="8">
        <f>athero!AW15/athero!$F15</f>
        <v>1.0282987824942415E-3</v>
      </c>
      <c r="AX15" s="8">
        <f>athero!AX15/athero!$F15</f>
        <v>2.1553142481079302E-2</v>
      </c>
      <c r="AY15" s="8">
        <f>athero!AY15/athero!$F15</f>
        <v>1.3511846001974333E-2</v>
      </c>
      <c r="AZ15" s="8">
        <f>athero!AZ15/athero!$F15</f>
        <v>6.3548864758144127E-3</v>
      </c>
      <c r="BA15" s="8">
        <f>athero!BA15/athero!$F15</f>
        <v>4.1769496544916088E-2</v>
      </c>
      <c r="BB15" s="8">
        <f>athero!BB15/athero!$F15</f>
        <v>2.8093122737742678E-2</v>
      </c>
      <c r="BC15" s="8">
        <f>athero!BC15/athero!$F15</f>
        <v>2.2622573214873314E-4</v>
      </c>
    </row>
    <row r="16" spans="1:55" ht="33.950000000000003">
      <c r="A16" s="5">
        <v>1086</v>
      </c>
      <c r="B16" s="6" t="s">
        <v>65</v>
      </c>
      <c r="C16" s="8" t="s">
        <v>193</v>
      </c>
      <c r="D16" s="8">
        <v>141672</v>
      </c>
      <c r="E16" s="8">
        <v>138657</v>
      </c>
      <c r="F16" s="8">
        <v>125312</v>
      </c>
      <c r="G16" s="8">
        <f>athero!G16/athero!$F16</f>
        <v>0.62791272982635338</v>
      </c>
      <c r="H16" s="8">
        <f>athero!H16/athero!$F16</f>
        <v>4.7481486210418792E-3</v>
      </c>
      <c r="I16" s="8">
        <f>athero!I16/athero!$F16</f>
        <v>4.7002681307456587E-3</v>
      </c>
      <c r="J16" s="8">
        <f>athero!J16/athero!$F16</f>
        <v>4.373084780388151E-3</v>
      </c>
      <c r="K16" s="8">
        <f>athero!K16/athero!$F16</f>
        <v>4.373084780388151E-3</v>
      </c>
      <c r="L16" s="8">
        <f>athero!L16/athero!$F16</f>
        <v>4.3571246169560778E-3</v>
      </c>
      <c r="M16" s="8">
        <f>athero!M16/athero!$F16</f>
        <v>2.2184627170582227E-3</v>
      </c>
      <c r="N16" s="8">
        <f>athero!N16/athero!$F16</f>
        <v>1.3885342185903985E-3</v>
      </c>
      <c r="O16" s="8">
        <f>athero!O16/athero!$F16</f>
        <v>8.7780898876404492E-5</v>
      </c>
      <c r="P16" s="8">
        <f>athero!P16/athero!$F16</f>
        <v>4.7880490296220631E-5</v>
      </c>
      <c r="Q16" s="8">
        <f>athero!Q16/athero!$F16</f>
        <v>0.30057775791624108</v>
      </c>
      <c r="R16" s="8">
        <f>athero!R16/athero!$F16</f>
        <v>4.1009639938712969E-2</v>
      </c>
      <c r="S16" s="8">
        <f>athero!S16/athero!$F16</f>
        <v>0.25114115168539325</v>
      </c>
      <c r="T16" s="8">
        <f>athero!T16/athero!$F16</f>
        <v>1.7572139938712972E-2</v>
      </c>
      <c r="U16" s="8">
        <f>athero!U16/athero!$F16</f>
        <v>9.8474208375893772E-3</v>
      </c>
      <c r="V16" s="8">
        <f>athero!V16/athero!$F16</f>
        <v>2.4339249233912154E-2</v>
      </c>
      <c r="W16" s="8">
        <f>athero!W16/athero!$F16</f>
        <v>8.0710546475995917E-2</v>
      </c>
      <c r="X16" s="8">
        <f>athero!X16/athero!$F16</f>
        <v>3.4745275791624106E-2</v>
      </c>
      <c r="Y16" s="8">
        <f>athero!Y16/athero!$F16</f>
        <v>3.4505873340143003E-2</v>
      </c>
      <c r="Z16" s="8">
        <f>athero!Z16/athero!$F16</f>
        <v>2.5496361082737486E-2</v>
      </c>
      <c r="AA16" s="8">
        <f>athero!AA16/athero!$F16</f>
        <v>4.1895429009193054E-3</v>
      </c>
      <c r="AB16" s="8">
        <f>athero!AB16/athero!$F16</f>
        <v>1.6287346782431052E-2</v>
      </c>
      <c r="AC16" s="8">
        <f>athero!AC16/athero!$F16</f>
        <v>3.4074948927477018E-3</v>
      </c>
      <c r="AD16" s="8">
        <f>athero!AD16/athero!$F16</f>
        <v>1.0477847293156282E-2</v>
      </c>
      <c r="AE16" s="8">
        <f>athero!AE16/athero!$F16</f>
        <v>0.12547082482124616</v>
      </c>
      <c r="AF16" s="8">
        <f>athero!AF16/athero!$F16</f>
        <v>8.2194841675178756E-4</v>
      </c>
      <c r="AG16" s="8">
        <f>athero!AG16/athero!$F16</f>
        <v>0.31610699693564864</v>
      </c>
      <c r="AH16" s="8">
        <f>athero!AH16/athero!$F16</f>
        <v>0.29853485699693566</v>
      </c>
      <c r="AI16" s="8">
        <f>athero!AI16/athero!$F16</f>
        <v>8.1396833503575075E-4</v>
      </c>
      <c r="AJ16" s="8">
        <f>athero!AJ16/athero!$F16</f>
        <v>6.4638661899897858E-4</v>
      </c>
      <c r="AK16" s="8">
        <f>athero!AK16/athero!$F16</f>
        <v>0.29394631001021448</v>
      </c>
      <c r="AL16" s="8">
        <f>athero!AL16/athero!$F16</f>
        <v>0.21569362870275791</v>
      </c>
      <c r="AM16" s="8">
        <f>athero!AM16/athero!$F16</f>
        <v>2.130681818181818E-3</v>
      </c>
      <c r="AN16" s="8">
        <f>athero!AN16/athero!$F16</f>
        <v>0.10727623850868233</v>
      </c>
      <c r="AO16" s="8">
        <f>athero!AO16/athero!$F16</f>
        <v>4.8750319203268638E-2</v>
      </c>
      <c r="AP16" s="8">
        <f>athero!AP16/athero!$F16</f>
        <v>5.2125893769152193E-2</v>
      </c>
      <c r="AQ16" s="8">
        <f>athero!AQ16/athero!$F16</f>
        <v>8.3583375893769157E-2</v>
      </c>
      <c r="AR16" s="8">
        <f>athero!AR16/athero!$F16</f>
        <v>8.191553881511747E-2</v>
      </c>
      <c r="AS16" s="8">
        <f>athero!AS16/athero!$F16</f>
        <v>1.0980592441266599E-2</v>
      </c>
      <c r="AT16" s="8">
        <f>athero!AT16/athero!$F16</f>
        <v>2.6094867211440245E-3</v>
      </c>
      <c r="AU16" s="8">
        <f>athero!AU16/athero!$F16</f>
        <v>6.6011235955056174E-2</v>
      </c>
      <c r="AV16" s="8">
        <f>athero!AV16/athero!$F16</f>
        <v>1.0908771705822268E-2</v>
      </c>
      <c r="AW16" s="8">
        <f>athero!AW16/athero!$F16</f>
        <v>1.1331716036772216E-3</v>
      </c>
      <c r="AX16" s="8">
        <f>athero!AX16/athero!$F16</f>
        <v>1.8418028600612871E-2</v>
      </c>
      <c r="AY16" s="8">
        <f>athero!AY16/athero!$F16</f>
        <v>7.0144918283963232E-3</v>
      </c>
      <c r="AZ16" s="8">
        <f>athero!AZ16/athero!$F16</f>
        <v>1.0701289581205312E-2</v>
      </c>
      <c r="BA16" s="8">
        <f>athero!BA16/athero!$F16</f>
        <v>4.1432584269662918E-2</v>
      </c>
      <c r="BB16" s="8">
        <f>athero!BB16/athero!$F16</f>
        <v>3.4689415219611851E-2</v>
      </c>
      <c r="BC16" s="8">
        <f>athero!BC16/athero!$F16</f>
        <v>8.7780898876404492E-5</v>
      </c>
    </row>
    <row r="17" spans="1:55" ht="17.100000000000001">
      <c r="A17" s="5">
        <v>1090</v>
      </c>
      <c r="B17" s="6" t="s">
        <v>66</v>
      </c>
      <c r="C17" s="8" t="s">
        <v>194</v>
      </c>
      <c r="D17" s="8">
        <v>41092</v>
      </c>
      <c r="E17" s="8">
        <v>39807</v>
      </c>
      <c r="F17" s="8">
        <v>35649</v>
      </c>
      <c r="G17" s="8">
        <f>athero!G17/athero!$F17</f>
        <v>0.53788325058206399</v>
      </c>
      <c r="H17" s="8">
        <f>athero!H17/athero!$F17</f>
        <v>1.1501023871637354E-3</v>
      </c>
      <c r="I17" s="8">
        <f>athero!I17/athero!$F17</f>
        <v>1.1501023871637354E-3</v>
      </c>
      <c r="J17" s="8">
        <f>athero!J17/athero!$F17</f>
        <v>1.0659485539566327E-3</v>
      </c>
      <c r="K17" s="8">
        <f>athero!K17/athero!$F17</f>
        <v>1.0659485539566327E-3</v>
      </c>
      <c r="L17" s="8">
        <f>athero!L17/athero!$F17</f>
        <v>1.0659485539566327E-3</v>
      </c>
      <c r="M17" s="8">
        <f>athero!M17/athero!$F17</f>
        <v>2.8051277735700864E-4</v>
      </c>
      <c r="N17" s="8">
        <f>athero!N17/athero!$F17</f>
        <v>5.8907683244971811E-4</v>
      </c>
      <c r="O17" s="8">
        <f>athero!O17/athero!$F17</f>
        <v>0</v>
      </c>
      <c r="P17" s="8">
        <f>athero!P17/athero!$F17</f>
        <v>0</v>
      </c>
      <c r="Q17" s="8">
        <f>athero!Q17/athero!$F17</f>
        <v>0.21487278745546859</v>
      </c>
      <c r="R17" s="8">
        <f>athero!R17/athero!$F17</f>
        <v>3.7139891722067941E-2</v>
      </c>
      <c r="S17" s="8">
        <f>athero!S17/athero!$F17</f>
        <v>0.16696120508289153</v>
      </c>
      <c r="T17" s="8">
        <f>athero!T17/athero!$F17</f>
        <v>1.234256220370838E-2</v>
      </c>
      <c r="U17" s="8">
        <f>athero!U17/athero!$F17</f>
        <v>1.2286459648236978E-2</v>
      </c>
      <c r="V17" s="8">
        <f>athero!V17/athero!$F17</f>
        <v>3.7111840444332238E-2</v>
      </c>
      <c r="W17" s="8">
        <f>athero!W17/athero!$F17</f>
        <v>3.9496199051866812E-2</v>
      </c>
      <c r="X17" s="8">
        <f>athero!X17/athero!$F17</f>
        <v>5.0772812701618559E-3</v>
      </c>
      <c r="Y17" s="8">
        <f>athero!Y17/athero!$F17</f>
        <v>4.6004095486549415E-3</v>
      </c>
      <c r="Z17" s="8">
        <f>athero!Z17/athero!$F17</f>
        <v>1.3969536312379028E-2</v>
      </c>
      <c r="AA17" s="8">
        <f>athero!AA17/athero!$F17</f>
        <v>1.7952817750848552E-3</v>
      </c>
      <c r="AB17" s="8">
        <f>athero!AB17/athero!$F17</f>
        <v>9.9301523184381051E-3</v>
      </c>
      <c r="AC17" s="8">
        <f>athero!AC17/athero!$F17</f>
        <v>7.2933322112822237E-4</v>
      </c>
      <c r="AD17" s="8">
        <f>athero!AD17/athero!$F17</f>
        <v>9.0605627086313787E-3</v>
      </c>
      <c r="AE17" s="8">
        <f>athero!AE17/athero!$F17</f>
        <v>0.10839013717074812</v>
      </c>
      <c r="AF17" s="8">
        <f>athero!AF17/athero!$F17</f>
        <v>1.7111279418777524E-3</v>
      </c>
      <c r="AG17" s="8">
        <f>athero!AG17/athero!$F17</f>
        <v>0.31863446379982607</v>
      </c>
      <c r="AH17" s="8">
        <f>athero!AH17/athero!$F17</f>
        <v>0.29655810822182949</v>
      </c>
      <c r="AI17" s="8">
        <f>athero!AI17/athero!$F17</f>
        <v>2.4404611630059747E-3</v>
      </c>
      <c r="AJ17" s="8">
        <f>athero!AJ17/athero!$F17</f>
        <v>9.2569216527812841E-4</v>
      </c>
      <c r="AK17" s="8">
        <f>athero!AK17/athero!$F17</f>
        <v>0.28474852029509945</v>
      </c>
      <c r="AL17" s="8">
        <f>athero!AL17/athero!$F17</f>
        <v>0.17832197256585036</v>
      </c>
      <c r="AM17" s="8">
        <f>athero!AM17/athero!$F17</f>
        <v>3.0856405509270947E-4</v>
      </c>
      <c r="AN17" s="8">
        <f>athero!AN17/athero!$F17</f>
        <v>9.8992959129288335E-2</v>
      </c>
      <c r="AO17" s="8">
        <f>athero!AO17/athero!$F17</f>
        <v>3.4334763948497854E-2</v>
      </c>
      <c r="AP17" s="8">
        <f>athero!AP17/athero!$F17</f>
        <v>5.5204914583859295E-2</v>
      </c>
      <c r="AQ17" s="8">
        <f>athero!AQ17/athero!$F17</f>
        <v>6.7715784453981881E-2</v>
      </c>
      <c r="AR17" s="8">
        <f>athero!AR17/athero!$F17</f>
        <v>6.5107015624561698E-2</v>
      </c>
      <c r="AS17" s="8">
        <f>athero!AS17/athero!$F17</f>
        <v>1.758815114028444E-2</v>
      </c>
      <c r="AT17" s="8">
        <f>athero!AT17/athero!$F17</f>
        <v>7.0689219893966173E-3</v>
      </c>
      <c r="AU17" s="8">
        <f>athero!AU17/athero!$F17</f>
        <v>8.6706499481051358E-2</v>
      </c>
      <c r="AV17" s="8">
        <f>athero!AV17/athero!$F17</f>
        <v>1.2286459648236978E-2</v>
      </c>
      <c r="AW17" s="8">
        <f>athero!AW17/athero!$F17</f>
        <v>3.0856405509270949E-3</v>
      </c>
      <c r="AX17" s="8">
        <f>athero!AX17/athero!$F17</f>
        <v>3.8963224774888498E-2</v>
      </c>
      <c r="AY17" s="8">
        <f>athero!AY17/athero!$F17</f>
        <v>8.3031782097674547E-3</v>
      </c>
      <c r="AZ17" s="8">
        <f>athero!AZ17/athero!$F17</f>
        <v>2.6732867682122921E-2</v>
      </c>
      <c r="BA17" s="8">
        <f>athero!BA17/athero!$F17</f>
        <v>4.4713736710707171E-2</v>
      </c>
      <c r="BB17" s="8">
        <f>athero!BB17/athero!$F17</f>
        <v>3.3409071783219724E-2</v>
      </c>
      <c r="BC17" s="8">
        <f>athero!BC17/athero!$F17</f>
        <v>2.1038458301775647E-3</v>
      </c>
    </row>
    <row r="18" spans="1:55" ht="33.950000000000003">
      <c r="A18" s="5">
        <v>1091</v>
      </c>
      <c r="B18" s="6" t="s">
        <v>67</v>
      </c>
      <c r="C18" s="8" t="s">
        <v>195</v>
      </c>
      <c r="D18" s="8">
        <v>219518</v>
      </c>
      <c r="E18" s="8">
        <v>216315</v>
      </c>
      <c r="F18" s="8">
        <v>196851</v>
      </c>
      <c r="G18" s="8">
        <f>athero!G18/athero!$F18</f>
        <v>0.47555765528242172</v>
      </c>
      <c r="H18" s="8">
        <f>athero!H18/athero!$F18</f>
        <v>1.7932344768378113E-3</v>
      </c>
      <c r="I18" s="8">
        <f>athero!I18/athero!$F18</f>
        <v>1.7932344768378113E-3</v>
      </c>
      <c r="J18" s="8">
        <f>athero!J18/athero!$F18</f>
        <v>1.7068747428257921E-3</v>
      </c>
      <c r="K18" s="8">
        <f>athero!K18/athero!$F18</f>
        <v>1.6763948367039029E-3</v>
      </c>
      <c r="L18" s="8">
        <f>athero!L18/athero!$F18</f>
        <v>1.6662348679966066E-3</v>
      </c>
      <c r="M18" s="8">
        <f>athero!M18/athero!$F18</f>
        <v>9.3979710542491525E-4</v>
      </c>
      <c r="N18" s="8">
        <f>athero!N18/athero!$F18</f>
        <v>9.6519702719315628E-5</v>
      </c>
      <c r="O18" s="8">
        <f>athero!O18/athero!$F18</f>
        <v>0</v>
      </c>
      <c r="P18" s="8">
        <f>athero!P18/athero!$F18</f>
        <v>0</v>
      </c>
      <c r="Q18" s="8">
        <f>athero!Q18/athero!$F18</f>
        <v>0.17558457919949608</v>
      </c>
      <c r="R18" s="8">
        <f>athero!R18/athero!$F18</f>
        <v>2.1965852345174775E-2</v>
      </c>
      <c r="S18" s="8">
        <f>athero!S18/athero!$F18</f>
        <v>0.14911278073263534</v>
      </c>
      <c r="T18" s="8">
        <f>athero!T18/athero!$F18</f>
        <v>3.4696293135417144E-3</v>
      </c>
      <c r="U18" s="8">
        <f>athero!U18/athero!$F18</f>
        <v>1.3456878552814057E-2</v>
      </c>
      <c r="V18" s="8">
        <f>athero!V18/athero!$F18</f>
        <v>3.4325454277600823E-2</v>
      </c>
      <c r="W18" s="8">
        <f>athero!W18/athero!$F18</f>
        <v>5.9999695200938778E-2</v>
      </c>
      <c r="X18" s="8">
        <f>athero!X18/athero!$F18</f>
        <v>5.2364478717405551E-2</v>
      </c>
      <c r="Y18" s="8">
        <f>athero!Y18/athero!$F18</f>
        <v>5.1130042519469038E-2</v>
      </c>
      <c r="Z18" s="8">
        <f>athero!Z18/athero!$F18</f>
        <v>8.6105734794336836E-3</v>
      </c>
      <c r="AA18" s="8">
        <f>athero!AA18/athero!$F18</f>
        <v>1.2699960884120477E-3</v>
      </c>
      <c r="AB18" s="8">
        <f>athero!AB18/athero!$F18</f>
        <v>6.5684197692671108E-3</v>
      </c>
      <c r="AC18" s="8">
        <f>athero!AC18/athero!$F18</f>
        <v>5.8927818502319017E-4</v>
      </c>
      <c r="AD18" s="8">
        <f>athero!AD18/athero!$F18</f>
        <v>4.5770659026370198E-3</v>
      </c>
      <c r="AE18" s="8">
        <f>athero!AE18/athero!$F18</f>
        <v>6.6730674469522633E-2</v>
      </c>
      <c r="AF18" s="8">
        <f>athero!AF18/athero!$F18</f>
        <v>6.2483807549872745E-4</v>
      </c>
      <c r="AG18" s="8">
        <f>athero!AG18/athero!$F18</f>
        <v>0.29422761377894957</v>
      </c>
      <c r="AH18" s="8">
        <f>athero!AH18/athero!$F18</f>
        <v>0.28124825375537843</v>
      </c>
      <c r="AI18" s="8">
        <f>athero!AI18/athero!$F18</f>
        <v>1.2852360414729923E-3</v>
      </c>
      <c r="AJ18" s="8">
        <f>athero!AJ18/athero!$F18</f>
        <v>1.8084744298987559E-3</v>
      </c>
      <c r="AK18" s="8">
        <f>athero!AK18/athero!$F18</f>
        <v>0.27145404392154471</v>
      </c>
      <c r="AL18" s="8">
        <f>athero!AL18/athero!$F18</f>
        <v>0.19773839096575582</v>
      </c>
      <c r="AM18" s="8">
        <f>athero!AM18/athero!$F18</f>
        <v>4.6227857618198536E-4</v>
      </c>
      <c r="AN18" s="8">
        <f>athero!AN18/athero!$F18</f>
        <v>0.132526631817974</v>
      </c>
      <c r="AO18" s="8">
        <f>athero!AO18/athero!$F18</f>
        <v>2.7670674774321696E-2</v>
      </c>
      <c r="AP18" s="8">
        <f>athero!AP18/athero!$F18</f>
        <v>9.2089956362934405E-2</v>
      </c>
      <c r="AQ18" s="8">
        <f>athero!AQ18/athero!$F18</f>
        <v>4.9606047213374582E-2</v>
      </c>
      <c r="AR18" s="8">
        <f>athero!AR18/athero!$F18</f>
        <v>4.888976941951019E-2</v>
      </c>
      <c r="AS18" s="8">
        <f>athero!AS18/athero!$F18</f>
        <v>1.1236925390269797E-2</v>
      </c>
      <c r="AT18" s="8">
        <f>athero!AT18/athero!$F18</f>
        <v>4.2113070291743505E-3</v>
      </c>
      <c r="AU18" s="8">
        <f>athero!AU18/athero!$F18</f>
        <v>6.295116611040838E-2</v>
      </c>
      <c r="AV18" s="8">
        <f>athero!AV18/athero!$F18</f>
        <v>5.648942601256788E-3</v>
      </c>
      <c r="AW18" s="8">
        <f>athero!AW18/athero!$F18</f>
        <v>8.6359734012019245E-4</v>
      </c>
      <c r="AX18" s="8">
        <f>athero!AX18/athero!$F18</f>
        <v>1.595115087045532E-2</v>
      </c>
      <c r="AY18" s="8">
        <f>athero!AY18/athero!$F18</f>
        <v>6.1975809114507927E-3</v>
      </c>
      <c r="AZ18" s="8">
        <f>athero!AZ18/athero!$F18</f>
        <v>8.2549745746783101E-3</v>
      </c>
      <c r="BA18" s="8">
        <f>athero!BA18/athero!$F18</f>
        <v>4.3113827209412196E-2</v>
      </c>
      <c r="BB18" s="8">
        <f>athero!BB18/athero!$F18</f>
        <v>2.990078790557325E-2</v>
      </c>
      <c r="BC18" s="8">
        <f>athero!BC18/athero!$F18</f>
        <v>6.2483807549872745E-4</v>
      </c>
    </row>
    <row r="19" spans="1:55" ht="17.100000000000001">
      <c r="A19" s="5">
        <v>1097</v>
      </c>
      <c r="B19" s="6" t="s">
        <v>70</v>
      </c>
      <c r="C19" s="8" t="s">
        <v>197</v>
      </c>
      <c r="D19" s="8">
        <v>241814</v>
      </c>
      <c r="E19" s="8">
        <v>235966</v>
      </c>
      <c r="F19" s="8">
        <v>231326</v>
      </c>
      <c r="G19" s="8">
        <f>athero!G19/athero!$F19</f>
        <v>0.87799469147436948</v>
      </c>
      <c r="H19" s="8">
        <f>athero!H19/athero!$F19</f>
        <v>2.4251489240292921E-3</v>
      </c>
      <c r="I19" s="8">
        <f>athero!I19/athero!$F19</f>
        <v>2.39921150238192E-3</v>
      </c>
      <c r="J19" s="8">
        <f>athero!J19/athero!$F19</f>
        <v>2.2435869724976871E-3</v>
      </c>
      <c r="K19" s="8">
        <f>athero!K19/athero!$F19</f>
        <v>2.2392640688897918E-3</v>
      </c>
      <c r="L19" s="8">
        <f>athero!L19/athero!$F19</f>
        <v>2.2392640688897918E-3</v>
      </c>
      <c r="M19" s="8">
        <f>athero!M19/athero!$F19</f>
        <v>1.1282778416606867E-3</v>
      </c>
      <c r="N19" s="8">
        <f>athero!N19/athero!$F19</f>
        <v>8.9484104683433768E-4</v>
      </c>
      <c r="O19" s="8">
        <f>athero!O19/athero!$F19</f>
        <v>2.1614518039476757E-5</v>
      </c>
      <c r="P19" s="8">
        <f>athero!P19/athero!$F19</f>
        <v>1.7291614431581404E-5</v>
      </c>
      <c r="Q19" s="8">
        <f>athero!Q19/athero!$F19</f>
        <v>0.26394352558726647</v>
      </c>
      <c r="R19" s="8">
        <f>athero!R19/athero!$F19</f>
        <v>6.8055471499096507E-2</v>
      </c>
      <c r="S19" s="8">
        <f>athero!S19/athero!$F19</f>
        <v>0.18703474749920027</v>
      </c>
      <c r="T19" s="8">
        <f>athero!T19/athero!$F19</f>
        <v>1.0327416719261994E-2</v>
      </c>
      <c r="U19" s="8">
        <f>athero!U19/athero!$F19</f>
        <v>9.3677321183092254E-3</v>
      </c>
      <c r="V19" s="8">
        <f>athero!V19/athero!$F19</f>
        <v>3.5676923475960333E-2</v>
      </c>
      <c r="W19" s="8">
        <f>athero!W19/athero!$F19</f>
        <v>6.7532400162541181E-2</v>
      </c>
      <c r="X19" s="8">
        <f>athero!X19/athero!$F19</f>
        <v>3.1803601843286101E-2</v>
      </c>
      <c r="Y19" s="8">
        <f>athero!Y19/athero!$F19</f>
        <v>3.0260325255267458E-2</v>
      </c>
      <c r="Z19" s="8">
        <f>athero!Z19/athero!$F19</f>
        <v>1.7633123816605138E-2</v>
      </c>
      <c r="AA19" s="8">
        <f>athero!AA19/athero!$F19</f>
        <v>2.4510863456766643E-3</v>
      </c>
      <c r="AB19" s="8">
        <f>athero!AB19/athero!$F19</f>
        <v>1.2117098812930669E-2</v>
      </c>
      <c r="AC19" s="8">
        <f>athero!AC19/athero!$F19</f>
        <v>4.7551939686848863E-4</v>
      </c>
      <c r="AD19" s="8">
        <f>athero!AD19/athero!$F19</f>
        <v>1.1045018718172622E-2</v>
      </c>
      <c r="AE19" s="8">
        <f>athero!AE19/athero!$F19</f>
        <v>9.3002948220260589E-2</v>
      </c>
      <c r="AF19" s="8">
        <f>athero!AF19/athero!$F19</f>
        <v>8.1270587828432606E-4</v>
      </c>
      <c r="AG19" s="8">
        <f>athero!AG19/athero!$F19</f>
        <v>0.60783915340255745</v>
      </c>
      <c r="AH19" s="8">
        <f>athero!AH19/athero!$F19</f>
        <v>0.56884223995573346</v>
      </c>
      <c r="AI19" s="8">
        <f>athero!AI19/athero!$F19</f>
        <v>1.8804630694344777E-3</v>
      </c>
      <c r="AJ19" s="8">
        <f>athero!AJ19/athero!$F19</f>
        <v>7.3057070973431438E-3</v>
      </c>
      <c r="AK19" s="8">
        <f>athero!AK19/athero!$F19</f>
        <v>0.54393366936704046</v>
      </c>
      <c r="AL19" s="8">
        <f>athero!AL19/athero!$F19</f>
        <v>0.16188409430846512</v>
      </c>
      <c r="AM19" s="8">
        <f>athero!AM19/athero!$F19</f>
        <v>1.8977546838660592E-3</v>
      </c>
      <c r="AN19" s="8">
        <f>athero!AN19/athero!$F19</f>
        <v>7.9766217372885015E-2</v>
      </c>
      <c r="AO19" s="8">
        <f>athero!AO19/athero!$F19</f>
        <v>1.9392545585018545E-2</v>
      </c>
      <c r="AP19" s="8">
        <f>athero!AP19/athero!$F19</f>
        <v>5.5242385205294689E-2</v>
      </c>
      <c r="AQ19" s="8">
        <f>athero!AQ19/athero!$F19</f>
        <v>6.5124542852943459E-2</v>
      </c>
      <c r="AR19" s="8">
        <f>athero!AR19/athero!$F19</f>
        <v>6.4687929588546036E-2</v>
      </c>
      <c r="AS19" s="8">
        <f>athero!AS19/athero!$F19</f>
        <v>2.4286072469156084E-2</v>
      </c>
      <c r="AT19" s="8">
        <f>athero!AT19/athero!$F19</f>
        <v>3.9251964759689792E-3</v>
      </c>
      <c r="AU19" s="8">
        <f>athero!AU19/athero!$F19</f>
        <v>0.36184000069166455</v>
      </c>
      <c r="AV19" s="8">
        <f>athero!AV19/athero!$F19</f>
        <v>5.7853418984463487E-2</v>
      </c>
      <c r="AW19" s="8">
        <f>athero!AW19/athero!$F19</f>
        <v>5.0318597995901888E-3</v>
      </c>
      <c r="AX19" s="8">
        <f>athero!AX19/athero!$F19</f>
        <v>2.2358057460034757E-2</v>
      </c>
      <c r="AY19" s="8">
        <f>athero!AY19/athero!$F19</f>
        <v>9.1775243595618311E-3</v>
      </c>
      <c r="AZ19" s="8">
        <f>athero!AZ19/athero!$F19</f>
        <v>1.200470331912539E-2</v>
      </c>
      <c r="BA19" s="8">
        <f>athero!BA19/athero!$F19</f>
        <v>0.33125978056941285</v>
      </c>
      <c r="BB19" s="8">
        <f>athero!BB19/athero!$F19</f>
        <v>0.23067878232451172</v>
      </c>
      <c r="BC19" s="8">
        <f>athero!BC19/athero!$F19</f>
        <v>5.2436820763770613E-3</v>
      </c>
    </row>
    <row r="20" spans="1:55" ht="33.950000000000003">
      <c r="A20" s="5">
        <v>1102</v>
      </c>
      <c r="B20" s="6" t="s">
        <v>71</v>
      </c>
      <c r="C20" s="8" t="s">
        <v>198</v>
      </c>
      <c r="D20" s="8">
        <v>325659</v>
      </c>
      <c r="E20" s="8">
        <v>316769</v>
      </c>
      <c r="F20" s="8">
        <v>305455</v>
      </c>
      <c r="G20" s="8">
        <f>athero!G20/athero!$F20</f>
        <v>0.69410878852858848</v>
      </c>
      <c r="H20" s="8">
        <f>athero!H20/athero!$F20</f>
        <v>5.3363015828845493E-4</v>
      </c>
      <c r="I20" s="8">
        <f>athero!I20/athero!$F20</f>
        <v>5.3363015828845493E-4</v>
      </c>
      <c r="J20" s="8">
        <f>athero!J20/athero!$F20</f>
        <v>5.0416591641976722E-4</v>
      </c>
      <c r="K20" s="8">
        <f>athero!K20/athero!$F20</f>
        <v>4.9761830711561443E-4</v>
      </c>
      <c r="L20" s="8">
        <f>athero!L20/athero!$F20</f>
        <v>4.8779689315938519E-4</v>
      </c>
      <c r="M20" s="8">
        <f>athero!M20/athero!$F20</f>
        <v>1.3422599073513285E-4</v>
      </c>
      <c r="N20" s="8">
        <f>athero!N20/athero!$F20</f>
        <v>2.8809480938272412E-4</v>
      </c>
      <c r="O20" s="8">
        <f>athero!O20/athero!$F20</f>
        <v>3.2738046520764107E-6</v>
      </c>
      <c r="P20" s="8">
        <f>athero!P20/athero!$F20</f>
        <v>3.2738046520764107E-6</v>
      </c>
      <c r="Q20" s="8">
        <f>athero!Q20/athero!$F20</f>
        <v>0.29340492052839207</v>
      </c>
      <c r="R20" s="8">
        <f>athero!R20/athero!$F20</f>
        <v>0.10232931200995236</v>
      </c>
      <c r="S20" s="8">
        <f>athero!S20/athero!$F20</f>
        <v>0.18636460362410176</v>
      </c>
      <c r="T20" s="8">
        <f>athero!T20/athero!$F20</f>
        <v>1.1903553714949829E-2</v>
      </c>
      <c r="U20" s="8">
        <f>athero!U20/athero!$F20</f>
        <v>2.0032410666055555E-2</v>
      </c>
      <c r="V20" s="8">
        <f>athero!V20/athero!$F20</f>
        <v>2.7450852007660703E-2</v>
      </c>
      <c r="W20" s="8">
        <f>athero!W20/athero!$F20</f>
        <v>5.7196641076426968E-2</v>
      </c>
      <c r="X20" s="8">
        <f>athero!X20/athero!$F20</f>
        <v>3.5543697107593593E-2</v>
      </c>
      <c r="Y20" s="8">
        <f>athero!Y20/athero!$F20</f>
        <v>2.5506212044327316E-2</v>
      </c>
      <c r="Z20" s="8">
        <f>athero!Z20/athero!$F20</f>
        <v>9.4220097886759096E-3</v>
      </c>
      <c r="AA20" s="8">
        <f>athero!AA20/athero!$F20</f>
        <v>1.8988066982043182E-3</v>
      </c>
      <c r="AB20" s="8">
        <f>athero!AB20/athero!$F20</f>
        <v>6.6261806158026551E-3</v>
      </c>
      <c r="AC20" s="8">
        <f>athero!AC20/athero!$F20</f>
        <v>6.8422517228396986E-4</v>
      </c>
      <c r="AD20" s="8">
        <f>athero!AD20/athero!$F20</f>
        <v>5.3363015828845495E-3</v>
      </c>
      <c r="AE20" s="8">
        <f>athero!AE20/athero!$F20</f>
        <v>0.10410698793602986</v>
      </c>
      <c r="AF20" s="8">
        <f>athero!AF20/athero!$F20</f>
        <v>3.0904715915601316E-3</v>
      </c>
      <c r="AG20" s="8">
        <f>athero!AG20/athero!$F20</f>
        <v>0.39543304251035338</v>
      </c>
      <c r="AH20" s="8">
        <f>athero!AH20/athero!$F20</f>
        <v>0.36587386030675551</v>
      </c>
      <c r="AI20" s="8">
        <f>athero!AI20/athero!$F20</f>
        <v>2.5938354258401401E-2</v>
      </c>
      <c r="AJ20" s="8">
        <f>athero!AJ20/athero!$F20</f>
        <v>2.1607110703704309E-3</v>
      </c>
      <c r="AK20" s="8">
        <f>athero!AK20/athero!$F20</f>
        <v>0.29687515345959309</v>
      </c>
      <c r="AL20" s="8">
        <f>athero!AL20/athero!$F20</f>
        <v>0.18863662405264278</v>
      </c>
      <c r="AM20" s="8">
        <f>athero!AM20/athero!$F20</f>
        <v>2.4880915355780721E-4</v>
      </c>
      <c r="AN20" s="8">
        <f>athero!AN20/athero!$F20</f>
        <v>9.4203728863498717E-2</v>
      </c>
      <c r="AO20" s="8">
        <f>athero!AO20/athero!$F20</f>
        <v>8.5282611186590501E-3</v>
      </c>
      <c r="AP20" s="8">
        <f>athero!AP20/athero!$F20</f>
        <v>8.0849879687679038E-2</v>
      </c>
      <c r="AQ20" s="8">
        <f>athero!AQ20/athero!$F20</f>
        <v>8.0332618552650961E-2</v>
      </c>
      <c r="AR20" s="8">
        <f>athero!AR20/athero!$F20</f>
        <v>8.004779754792031E-2</v>
      </c>
      <c r="AS20" s="8">
        <f>athero!AS20/athero!$F20</f>
        <v>2.3882404936897417E-2</v>
      </c>
      <c r="AT20" s="8">
        <f>athero!AT20/athero!$F20</f>
        <v>1.5066049008855642E-2</v>
      </c>
      <c r="AU20" s="8">
        <f>athero!AU20/athero!$F20</f>
        <v>7.9596012505933775E-2</v>
      </c>
      <c r="AV20" s="8">
        <f>athero!AV20/athero!$F20</f>
        <v>1.5760095595095839E-2</v>
      </c>
      <c r="AW20" s="8">
        <f>athero!AW20/athero!$F20</f>
        <v>9.0782603002078858E-3</v>
      </c>
      <c r="AX20" s="8">
        <f>athero!AX20/athero!$F20</f>
        <v>1.3190158943215858E-2</v>
      </c>
      <c r="AY20" s="8">
        <f>athero!AY20/athero!$F20</f>
        <v>7.8178455091584692E-3</v>
      </c>
      <c r="AZ20" s="8">
        <f>athero!AZ20/athero!$F20</f>
        <v>4.210112782570264E-3</v>
      </c>
      <c r="BA20" s="8">
        <f>athero!BA20/athero!$F20</f>
        <v>6.2631156798873808E-2</v>
      </c>
      <c r="BB20" s="8">
        <f>athero!BB20/athero!$F20</f>
        <v>5.0852007660702886E-2</v>
      </c>
      <c r="BC20" s="8">
        <f>athero!BC20/athero!$F20</f>
        <v>1.6369023260382054E-4</v>
      </c>
    </row>
    <row r="21" spans="1:55" ht="17.100000000000001">
      <c r="A21" s="5">
        <v>1146</v>
      </c>
      <c r="B21" s="6" t="s">
        <v>79</v>
      </c>
      <c r="C21" s="8" t="s">
        <v>204</v>
      </c>
      <c r="D21" s="8">
        <v>120485</v>
      </c>
      <c r="E21" s="8">
        <v>116000</v>
      </c>
      <c r="F21" s="8">
        <v>110462</v>
      </c>
      <c r="G21" s="8">
        <f>athero!G21/athero!$F21</f>
        <v>0.62471257083884046</v>
      </c>
      <c r="H21" s="8">
        <f>athero!H21/athero!$F21</f>
        <v>1.4575148014701889E-3</v>
      </c>
      <c r="I21" s="8">
        <f>athero!I21/athero!$F21</f>
        <v>1.4213032536075755E-3</v>
      </c>
      <c r="J21" s="8">
        <f>athero!J21/athero!$F21</f>
        <v>1.385091705744962E-3</v>
      </c>
      <c r="K21" s="8">
        <f>athero!K21/athero!$F21</f>
        <v>1.385091705744962E-3</v>
      </c>
      <c r="L21" s="8">
        <f>athero!L21/athero!$F21</f>
        <v>1.385091705744962E-3</v>
      </c>
      <c r="M21" s="8">
        <f>athero!M21/athero!$F21</f>
        <v>9.0528869656533468E-4</v>
      </c>
      <c r="N21" s="8">
        <f>athero!N21/athero!$F21</f>
        <v>2.8063949593525375E-4</v>
      </c>
      <c r="O21" s="8">
        <f>athero!O21/athero!$F21</f>
        <v>9.0528869656533464E-6</v>
      </c>
      <c r="P21" s="8">
        <f>athero!P21/athero!$F21</f>
        <v>0</v>
      </c>
      <c r="Q21" s="8">
        <f>athero!Q21/athero!$F21</f>
        <v>0.41746482953413844</v>
      </c>
      <c r="R21" s="8">
        <f>athero!R21/athero!$F21</f>
        <v>2.5067444007894117E-2</v>
      </c>
      <c r="S21" s="8">
        <f>athero!S21/athero!$F21</f>
        <v>0.38516412884068729</v>
      </c>
      <c r="T21" s="8">
        <f>athero!T21/athero!$F21</f>
        <v>1.5724864659339862E-2</v>
      </c>
      <c r="U21" s="8">
        <f>athero!U21/athero!$F21</f>
        <v>1.3959551701037461E-2</v>
      </c>
      <c r="V21" s="8">
        <f>athero!V21/athero!$F21</f>
        <v>1.4149662327316181E-2</v>
      </c>
      <c r="W21" s="8">
        <f>athero!W21/athero!$F21</f>
        <v>0.2193514511777806</v>
      </c>
      <c r="X21" s="8">
        <f>athero!X21/athero!$F21</f>
        <v>9.4647933225905742E-2</v>
      </c>
      <c r="Y21" s="8">
        <f>athero!Y21/athero!$F21</f>
        <v>9.338052905071427E-2</v>
      </c>
      <c r="Z21" s="8">
        <f>athero!Z21/athero!$F21</f>
        <v>5.6308956926363819E-2</v>
      </c>
      <c r="AA21" s="8">
        <f>athero!AA21/athero!$F21</f>
        <v>5.6490014665676888E-3</v>
      </c>
      <c r="AB21" s="8">
        <f>athero!AB21/athero!$F21</f>
        <v>4.1163477032825767E-2</v>
      </c>
      <c r="AC21" s="8">
        <f>athero!AC21/athero!$F21</f>
        <v>1.3488801578823487E-3</v>
      </c>
      <c r="AD21" s="8">
        <f>athero!AD21/athero!$F21</f>
        <v>3.5134254313700639E-2</v>
      </c>
      <c r="AE21" s="8">
        <f>athero!AE21/athero!$F21</f>
        <v>7.0983686697687898E-2</v>
      </c>
      <c r="AF21" s="8">
        <f>athero!AF21/athero!$F21</f>
        <v>7.4233673118357442E-4</v>
      </c>
      <c r="AG21" s="8">
        <f>athero!AG21/athero!$F21</f>
        <v>0.19872897467002226</v>
      </c>
      <c r="AH21" s="8">
        <f>athero!AH21/athero!$F21</f>
        <v>0.18220745595770491</v>
      </c>
      <c r="AI21" s="8">
        <f>athero!AI21/athero!$F21</f>
        <v>2.3628034980355235E-3</v>
      </c>
      <c r="AJ21" s="8">
        <f>athero!AJ21/athero!$F21</f>
        <v>1.9192120367185095E-3</v>
      </c>
      <c r="AK21" s="8">
        <f>athero!AK21/athero!$F21</f>
        <v>0.16994984700621027</v>
      </c>
      <c r="AL21" s="8">
        <f>athero!AL21/athero!$F21</f>
        <v>6.2854194202531188E-2</v>
      </c>
      <c r="AM21" s="8">
        <f>athero!AM21/athero!$F21</f>
        <v>3.4400970469482717E-4</v>
      </c>
      <c r="AN21" s="8">
        <f>athero!AN21/athero!$F21</f>
        <v>3.2871032572287302E-2</v>
      </c>
      <c r="AO21" s="8">
        <f>athero!AO21/athero!$F21</f>
        <v>1.1660118411761511E-2</v>
      </c>
      <c r="AP21" s="8">
        <f>athero!AP21/athero!$F21</f>
        <v>1.8947692419112455E-2</v>
      </c>
      <c r="AQ21" s="8">
        <f>athero!AQ21/athero!$F21</f>
        <v>2.6733175209574335E-2</v>
      </c>
      <c r="AR21" s="8">
        <f>athero!AR21/athero!$F21</f>
        <v>2.6208107765566438E-2</v>
      </c>
      <c r="AS21" s="8">
        <f>athero!AS21/athero!$F21</f>
        <v>9.8223823577338817E-3</v>
      </c>
      <c r="AT21" s="8">
        <f>athero!AT21/athero!$F21</f>
        <v>4.6803425612427802E-3</v>
      </c>
      <c r="AU21" s="8">
        <f>athero!AU21/athero!$F21</f>
        <v>9.8667415038655823E-2</v>
      </c>
      <c r="AV21" s="8">
        <f>athero!AV21/athero!$F21</f>
        <v>2.3736669623943076E-2</v>
      </c>
      <c r="AW21" s="8">
        <f>athero!AW21/athero!$F21</f>
        <v>4.9790878311093412E-3</v>
      </c>
      <c r="AX21" s="8">
        <f>athero!AX21/athero!$F21</f>
        <v>3.0182325143488259E-2</v>
      </c>
      <c r="AY21" s="8">
        <f>athero!AY21/athero!$F21</f>
        <v>9.4874255400047083E-3</v>
      </c>
      <c r="AZ21" s="8">
        <f>athero!AZ21/athero!$F21</f>
        <v>1.9146855932356828E-2</v>
      </c>
      <c r="BA21" s="8">
        <f>athero!BA21/athero!$F21</f>
        <v>6.4203074360413531E-2</v>
      </c>
      <c r="BB21" s="8">
        <f>athero!BB21/athero!$F21</f>
        <v>3.4020749216925279E-2</v>
      </c>
      <c r="BC21" s="8">
        <f>athero!BC21/athero!$F21</f>
        <v>2.6253372200394704E-4</v>
      </c>
    </row>
    <row r="22" spans="1:55" ht="17.100000000000001">
      <c r="A22" s="5">
        <v>1150</v>
      </c>
      <c r="B22" s="6" t="s">
        <v>81</v>
      </c>
      <c r="C22" s="8" t="s">
        <v>206</v>
      </c>
      <c r="D22" s="8">
        <v>130632</v>
      </c>
      <c r="E22" s="8">
        <v>125538</v>
      </c>
      <c r="F22" s="8">
        <v>119786</v>
      </c>
      <c r="G22" s="8">
        <f>athero!G22/athero!$F22</f>
        <v>0.55981500342277057</v>
      </c>
      <c r="H22" s="8">
        <f>athero!H22/athero!$F22</f>
        <v>3.7066101213831331E-3</v>
      </c>
      <c r="I22" s="8">
        <f>athero!I22/athero!$F22</f>
        <v>3.639824353430284E-3</v>
      </c>
      <c r="J22" s="8">
        <f>athero!J22/athero!$F22</f>
        <v>3.3392883976424625E-3</v>
      </c>
      <c r="K22" s="8">
        <f>athero!K22/athero!$F22</f>
        <v>3.3392883976424625E-3</v>
      </c>
      <c r="L22" s="8">
        <f>athero!L22/athero!$F22</f>
        <v>3.3142437346601441E-3</v>
      </c>
      <c r="M22" s="8">
        <f>athero!M22/athero!$F22</f>
        <v>9.767418563104203E-4</v>
      </c>
      <c r="N22" s="8">
        <f>athero!N22/athero!$F22</f>
        <v>1.9618319336149465E-3</v>
      </c>
      <c r="O22" s="8">
        <f>athero!O22/athero!$F22</f>
        <v>1.6696441988212313E-5</v>
      </c>
      <c r="P22" s="8">
        <f>athero!P22/athero!$F22</f>
        <v>8.3482209941061566E-6</v>
      </c>
      <c r="Q22" s="8">
        <f>athero!Q22/athero!$F22</f>
        <v>0.23170487369141635</v>
      </c>
      <c r="R22" s="8">
        <f>athero!R22/athero!$F22</f>
        <v>4.4245571268762628E-2</v>
      </c>
      <c r="S22" s="8">
        <f>athero!S22/athero!$F22</f>
        <v>0.17887733124071262</v>
      </c>
      <c r="T22" s="8">
        <f>athero!T22/athero!$F22</f>
        <v>7.5384435576778585E-3</v>
      </c>
      <c r="U22" s="8">
        <f>athero!U22/athero!$F22</f>
        <v>2.99701133688411E-3</v>
      </c>
      <c r="V22" s="8">
        <f>athero!V22/athero!$F22</f>
        <v>1.2822867446947056E-2</v>
      </c>
      <c r="W22" s="8">
        <f>athero!W22/athero!$F22</f>
        <v>6.8413671046699945E-2</v>
      </c>
      <c r="X22" s="8">
        <f>athero!X22/athero!$F22</f>
        <v>1.7314210341776166E-2</v>
      </c>
      <c r="Y22" s="8">
        <f>athero!Y22/athero!$F22</f>
        <v>1.6120414739618987E-2</v>
      </c>
      <c r="Z22" s="8">
        <f>athero!Z22/athero!$F22</f>
        <v>4.4262267710750841E-2</v>
      </c>
      <c r="AA22" s="8">
        <f>athero!AA22/athero!$F22</f>
        <v>1.0702419314444092E-2</v>
      </c>
      <c r="AB22" s="8">
        <f>athero!AB22/athero!$F22</f>
        <v>2.9869934716911826E-2</v>
      </c>
      <c r="AC22" s="8">
        <f>athero!AC22/athero!$F22</f>
        <v>2.0870552485265392E-3</v>
      </c>
      <c r="AD22" s="8">
        <f>athero!AD22/athero!$F22</f>
        <v>2.6864575159033611E-2</v>
      </c>
      <c r="AE22" s="8">
        <f>athero!AE22/athero!$F22</f>
        <v>4.9479905832067184E-2</v>
      </c>
      <c r="AF22" s="8">
        <f>athero!AF22/athero!$F22</f>
        <v>1.0936169502279065E-3</v>
      </c>
      <c r="AG22" s="8">
        <f>athero!AG22/athero!$F22</f>
        <v>0.31941963167648973</v>
      </c>
      <c r="AH22" s="8">
        <f>athero!AH22/athero!$F22</f>
        <v>0.28894027682700818</v>
      </c>
      <c r="AI22" s="8">
        <f>athero!AI22/athero!$F22</f>
        <v>1.5026797789391081E-3</v>
      </c>
      <c r="AJ22" s="8">
        <f>athero!AJ22/athero!$F22</f>
        <v>1.6779924198153373E-3</v>
      </c>
      <c r="AK22" s="8">
        <f>athero!AK22/athero!$F22</f>
        <v>0.28013290367822619</v>
      </c>
      <c r="AL22" s="8">
        <f>athero!AL22/athero!$F22</f>
        <v>0.11923764045881823</v>
      </c>
      <c r="AM22" s="8">
        <f>athero!AM22/athero!$F22</f>
        <v>2.4209840882907853E-4</v>
      </c>
      <c r="AN22" s="8">
        <f>athero!AN22/athero!$F22</f>
        <v>5.9489422804000471E-2</v>
      </c>
      <c r="AO22" s="8">
        <f>athero!AO22/athero!$F22</f>
        <v>1.5352378408161222E-2</v>
      </c>
      <c r="AP22" s="8">
        <f>athero!AP22/athero!$F22</f>
        <v>3.8385120130900105E-2</v>
      </c>
      <c r="AQ22" s="8">
        <f>athero!AQ22/athero!$F22</f>
        <v>5.2184729434157584E-2</v>
      </c>
      <c r="AR22" s="8">
        <f>athero!AR22/athero!$F22</f>
        <v>5.1708880837493532E-2</v>
      </c>
      <c r="AS22" s="8">
        <f>athero!AS22/athero!$F22</f>
        <v>1.2589117259112083E-2</v>
      </c>
      <c r="AT22" s="8">
        <f>athero!AT22/athero!$F22</f>
        <v>2.7716093700432438E-3</v>
      </c>
      <c r="AU22" s="8">
        <f>athero!AU22/athero!$F22</f>
        <v>0.14677007329738032</v>
      </c>
      <c r="AV22" s="8">
        <f>athero!AV22/athero!$F22</f>
        <v>4.80022707161104E-2</v>
      </c>
      <c r="AW22" s="8">
        <f>athero!AW22/athero!$F22</f>
        <v>5.1758970163458167E-3</v>
      </c>
      <c r="AX22" s="8">
        <f>athero!AX22/athero!$F22</f>
        <v>3.1873507755497306E-2</v>
      </c>
      <c r="AY22" s="8">
        <f>athero!AY22/athero!$F22</f>
        <v>1.0326749369709315E-2</v>
      </c>
      <c r="AZ22" s="8">
        <f>athero!AZ22/athero!$F22</f>
        <v>1.8733407910774214E-2</v>
      </c>
      <c r="BA22" s="8">
        <f>athero!BA22/athero!$F22</f>
        <v>0.11108977676857061</v>
      </c>
      <c r="BB22" s="8">
        <f>athero!BB22/athero!$F22</f>
        <v>9.264020837159602E-2</v>
      </c>
      <c r="BC22" s="8">
        <f>athero!BC22/athero!$F22</f>
        <v>6.1776835356385559E-4</v>
      </c>
    </row>
    <row r="23" spans="1:55" ht="17.100000000000001">
      <c r="A23" s="5">
        <v>1153</v>
      </c>
      <c r="B23" s="6" t="s">
        <v>82</v>
      </c>
      <c r="C23" s="8" t="s">
        <v>207</v>
      </c>
      <c r="D23" s="8">
        <v>319599</v>
      </c>
      <c r="E23" s="8">
        <v>283483</v>
      </c>
      <c r="F23" s="8">
        <v>263446</v>
      </c>
      <c r="G23" s="8">
        <f>athero!G23/athero!$F23</f>
        <v>0.64263644162371036</v>
      </c>
      <c r="H23" s="8">
        <f>athero!H23/athero!$F23</f>
        <v>1.4727875921441206E-3</v>
      </c>
      <c r="I23" s="8">
        <f>athero!I23/athero!$F23</f>
        <v>1.4576042149055215E-3</v>
      </c>
      <c r="J23" s="8">
        <f>athero!J23/athero!$F23</f>
        <v>1.3702997957835761E-3</v>
      </c>
      <c r="K23" s="8">
        <f>athero!K23/athero!$F23</f>
        <v>1.3627081071642766E-3</v>
      </c>
      <c r="L23" s="8">
        <f>athero!L23/athero!$F23</f>
        <v>1.3627081071642766E-3</v>
      </c>
      <c r="M23" s="8">
        <f>athero!M23/athero!$F23</f>
        <v>2.3154650288863751E-4</v>
      </c>
      <c r="N23" s="8">
        <f>athero!N23/athero!$F23</f>
        <v>9.9451120912824641E-4</v>
      </c>
      <c r="O23" s="8">
        <f>athero!O23/athero!$F23</f>
        <v>0</v>
      </c>
      <c r="P23" s="8">
        <f>athero!P23/athero!$F23</f>
        <v>1.8979221548248977E-5</v>
      </c>
      <c r="Q23" s="8">
        <f>athero!Q23/athero!$F23</f>
        <v>0.38585136992021135</v>
      </c>
      <c r="R23" s="8">
        <f>athero!R23/athero!$F23</f>
        <v>4.36028635849472E-2</v>
      </c>
      <c r="S23" s="8">
        <f>athero!S23/athero!$F23</f>
        <v>0.3366344526012921</v>
      </c>
      <c r="T23" s="8">
        <f>athero!T23/athero!$F23</f>
        <v>1.2108743347782848E-2</v>
      </c>
      <c r="U23" s="8">
        <f>athero!U23/athero!$F23</f>
        <v>1.0495509516181684E-2</v>
      </c>
      <c r="V23" s="8">
        <f>athero!V23/athero!$F23</f>
        <v>3.7351108006953987E-2</v>
      </c>
      <c r="W23" s="8">
        <f>athero!W23/athero!$F23</f>
        <v>0.19307941665464648</v>
      </c>
      <c r="X23" s="8">
        <f>athero!X23/athero!$F23</f>
        <v>2.6324180287421332E-2</v>
      </c>
      <c r="Y23" s="8">
        <f>athero!Y23/athero!$F23</f>
        <v>2.5322077389673785E-2</v>
      </c>
      <c r="Z23" s="8">
        <f>athero!Z23/athero!$F23</f>
        <v>3.9491964197596471E-2</v>
      </c>
      <c r="AA23" s="8">
        <f>athero!AA23/athero!$F23</f>
        <v>5.4736074945150046E-3</v>
      </c>
      <c r="AB23" s="8">
        <f>athero!AB23/athero!$F23</f>
        <v>2.8681399603713853E-2</v>
      </c>
      <c r="AC23" s="8">
        <f>athero!AC23/athero!$F23</f>
        <v>8.1041276011023129E-3</v>
      </c>
      <c r="AD23" s="8">
        <f>athero!AD23/athero!$F23</f>
        <v>1.6162705070488829E-2</v>
      </c>
      <c r="AE23" s="8">
        <f>athero!AE23/athero!$F23</f>
        <v>8.4051380548575416E-2</v>
      </c>
      <c r="AF23" s="8">
        <f>athero!AF23/athero!$F23</f>
        <v>7.5537301762030934E-4</v>
      </c>
      <c r="AG23" s="8">
        <f>athero!AG23/athero!$F23</f>
        <v>0.25241985074740175</v>
      </c>
      <c r="AH23" s="8">
        <f>athero!AH23/athero!$F23</f>
        <v>0.23814747614311851</v>
      </c>
      <c r="AI23" s="8">
        <f>athero!AI23/athero!$F23</f>
        <v>1.7840468255354038E-3</v>
      </c>
      <c r="AJ23" s="8">
        <f>athero!AJ23/athero!$F23</f>
        <v>2.9607585615268404E-4</v>
      </c>
      <c r="AK23" s="8">
        <f>athero!AK23/athero!$F23</f>
        <v>0.23065827532017946</v>
      </c>
      <c r="AL23" s="8">
        <f>athero!AL23/athero!$F23</f>
        <v>0.18310014196457719</v>
      </c>
      <c r="AM23" s="8">
        <f>athero!AM23/athero!$F23</f>
        <v>1.446216681976572E-3</v>
      </c>
      <c r="AN23" s="8">
        <f>athero!AN23/athero!$F23</f>
        <v>6.7201627658039984E-2</v>
      </c>
      <c r="AO23" s="8">
        <f>athero!AO23/athero!$F23</f>
        <v>7.0526787273293198E-3</v>
      </c>
      <c r="AP23" s="8">
        <f>athero!AP23/athero!$F23</f>
        <v>5.7844871434753233E-2</v>
      </c>
      <c r="AQ23" s="8">
        <f>athero!AQ23/athero!$F23</f>
        <v>9.6782642363140839E-2</v>
      </c>
      <c r="AR23" s="8">
        <f>athero!AR23/athero!$F23</f>
        <v>9.6570075081800447E-2</v>
      </c>
      <c r="AS23" s="8">
        <f>athero!AS23/athero!$F23</f>
        <v>1.0738443551999271E-2</v>
      </c>
      <c r="AT23" s="8">
        <f>athero!AT23/athero!$F23</f>
        <v>3.4010765014462169E-3</v>
      </c>
      <c r="AU23" s="8">
        <f>athero!AU23/athero!$F23</f>
        <v>4.2205992878996075E-2</v>
      </c>
      <c r="AV23" s="8">
        <f>athero!AV23/athero!$F23</f>
        <v>5.8607836140992841E-3</v>
      </c>
      <c r="AW23" s="8">
        <f>athero!AW23/athero!$F23</f>
        <v>7.9712730502645701E-4</v>
      </c>
      <c r="AX23" s="8">
        <f>athero!AX23/athero!$F23</f>
        <v>8.1800444872953092E-3</v>
      </c>
      <c r="AY23" s="8">
        <f>athero!AY23/athero!$F23</f>
        <v>6.2327763564449645E-3</v>
      </c>
      <c r="AZ23" s="8">
        <f>athero!AZ23/athero!$F23</f>
        <v>1.4917668136923696E-3</v>
      </c>
      <c r="BA23" s="8">
        <f>athero!BA23/athero!$F23</f>
        <v>2.9527872884765757E-2</v>
      </c>
      <c r="BB23" s="8">
        <f>athero!BB23/athero!$F23</f>
        <v>2.4528745928956978E-2</v>
      </c>
      <c r="BC23" s="8">
        <f>athero!BC23/athero!$F23</f>
        <v>1.9358805979213957E-4</v>
      </c>
    </row>
    <row r="24" spans="1:55" ht="17.100000000000001">
      <c r="A24" s="5">
        <v>1157</v>
      </c>
      <c r="B24" s="6" t="s">
        <v>86</v>
      </c>
      <c r="C24" s="8" t="s">
        <v>211</v>
      </c>
      <c r="D24" s="8">
        <v>137475</v>
      </c>
      <c r="E24" s="8">
        <v>125596</v>
      </c>
      <c r="F24" s="8">
        <v>123468</v>
      </c>
      <c r="G24" s="8">
        <f>athero!G24/athero!$F24</f>
        <v>0.72336961803868205</v>
      </c>
      <c r="H24" s="8">
        <f>athero!H24/athero!$F24</f>
        <v>2.4054815822723299E-3</v>
      </c>
      <c r="I24" s="8">
        <f>athero!I24/athero!$F24</f>
        <v>2.2758933488839215E-3</v>
      </c>
      <c r="J24" s="8">
        <f>athero!J24/athero!$F24</f>
        <v>1.9924190883467783E-3</v>
      </c>
      <c r="K24" s="8">
        <f>athero!K24/athero!$F24</f>
        <v>1.960022029999676E-3</v>
      </c>
      <c r="L24" s="8">
        <f>athero!L24/athero!$F24</f>
        <v>1.911426442479023E-3</v>
      </c>
      <c r="M24" s="8">
        <f>athero!M24/athero!$F24</f>
        <v>2.4297793760326563E-4</v>
      </c>
      <c r="N24" s="8">
        <f>athero!N24/athero!$F24</f>
        <v>1.2553860109502056E-3</v>
      </c>
      <c r="O24" s="8">
        <f>athero!O24/athero!$F24</f>
        <v>4.0496322933877603E-5</v>
      </c>
      <c r="P24" s="8">
        <f>athero!P24/athero!$F24</f>
        <v>3.2397058347102081E-5</v>
      </c>
      <c r="Q24" s="8">
        <f>athero!Q24/athero!$F24</f>
        <v>0.25323970583471023</v>
      </c>
      <c r="R24" s="8">
        <f>athero!R24/athero!$F24</f>
        <v>5.5633848446561052E-2</v>
      </c>
      <c r="S24" s="8">
        <f>athero!S24/athero!$F24</f>
        <v>0.19004114426410082</v>
      </c>
      <c r="T24" s="8">
        <f>athero!T24/athero!$F24</f>
        <v>7.8562866491722547E-3</v>
      </c>
      <c r="U24" s="8">
        <f>athero!U24/athero!$F24</f>
        <v>1.2189393203097159E-2</v>
      </c>
      <c r="V24" s="8">
        <f>athero!V24/athero!$F24</f>
        <v>2.2378268053260764E-2</v>
      </c>
      <c r="W24" s="8">
        <f>athero!W24/athero!$F24</f>
        <v>0.10160527424109891</v>
      </c>
      <c r="X24" s="8">
        <f>athero!X24/athero!$F24</f>
        <v>3.5766352415200701E-2</v>
      </c>
      <c r="Y24" s="8">
        <f>athero!Y24/athero!$F24</f>
        <v>3.5409984773382579E-2</v>
      </c>
      <c r="Z24" s="8">
        <f>athero!Z24/athero!$F24</f>
        <v>2.0960896750575046E-2</v>
      </c>
      <c r="AA24" s="8">
        <f>athero!AA24/athero!$F24</f>
        <v>2.5998639323549424E-3</v>
      </c>
      <c r="AB24" s="8">
        <f>athero!AB24/athero!$F24</f>
        <v>1.5234716687724754E-2</v>
      </c>
      <c r="AC24" s="8">
        <f>athero!AC24/athero!$F24</f>
        <v>3.2559043638837595E-3</v>
      </c>
      <c r="AD24" s="8">
        <f>athero!AD24/athero!$F24</f>
        <v>1.112029027764279E-2</v>
      </c>
      <c r="AE24" s="8">
        <f>athero!AE24/athero!$F24</f>
        <v>5.5609550652800724E-2</v>
      </c>
      <c r="AF24" s="8">
        <f>athero!AF24/athero!$F24</f>
        <v>5.9934557942138852E-4</v>
      </c>
      <c r="AG24" s="8">
        <f>athero!AG24/athero!$F24</f>
        <v>0.44516797874752972</v>
      </c>
      <c r="AH24" s="8">
        <f>athero!AH24/athero!$F24</f>
        <v>0.40817053811513915</v>
      </c>
      <c r="AI24" s="8">
        <f>athero!AI24/athero!$F24</f>
        <v>5.6694852107428643E-3</v>
      </c>
      <c r="AJ24" s="8">
        <f>athero!AJ24/athero!$F24</f>
        <v>3.1668124534292288E-3</v>
      </c>
      <c r="AK24" s="8">
        <f>athero!AK24/athero!$F24</f>
        <v>0.38159685100592866</v>
      </c>
      <c r="AL24" s="8">
        <f>athero!AL24/athero!$F24</f>
        <v>0.28924093692292741</v>
      </c>
      <c r="AM24" s="8">
        <f>athero!AM24/athero!$F24</f>
        <v>2.8266433407846568E-3</v>
      </c>
      <c r="AN24" s="8">
        <f>athero!AN24/athero!$F24</f>
        <v>0.16695824019179059</v>
      </c>
      <c r="AO24" s="8">
        <f>athero!AO24/athero!$F24</f>
        <v>8.9140506042051385E-2</v>
      </c>
      <c r="AP24" s="8">
        <f>athero!AP24/athero!$F24</f>
        <v>6.6746039459617074E-2</v>
      </c>
      <c r="AQ24" s="8">
        <f>athero!AQ24/athero!$F24</f>
        <v>9.6689020636926165E-2</v>
      </c>
      <c r="AR24" s="8">
        <f>athero!AR24/athero!$F24</f>
        <v>8.756114944763016E-2</v>
      </c>
      <c r="AS24" s="8">
        <f>athero!AS24/athero!$F24</f>
        <v>6.4939903456766132E-2</v>
      </c>
      <c r="AT24" s="8">
        <f>athero!AT24/athero!$F24</f>
        <v>3.5709657563093272E-2</v>
      </c>
      <c r="AU24" s="8">
        <f>athero!AU24/athero!$F24</f>
        <v>7.3905789354326623E-2</v>
      </c>
      <c r="AV24" s="8">
        <f>athero!AV24/athero!$F24</f>
        <v>3.1303657627887387E-2</v>
      </c>
      <c r="AW24" s="8">
        <f>athero!AW24/athero!$F24</f>
        <v>1.7032753425988919E-2</v>
      </c>
      <c r="AX24" s="8">
        <f>athero!AX24/athero!$F24</f>
        <v>1.6822172546732756E-2</v>
      </c>
      <c r="AY24" s="8">
        <f>athero!AY24/athero!$F24</f>
        <v>4.7947646353711081E-3</v>
      </c>
      <c r="AZ24" s="8">
        <f>athero!AZ24/athero!$F24</f>
        <v>1.1541452036155118E-2</v>
      </c>
      <c r="BA24" s="8">
        <f>athero!BA24/athero!$F24</f>
        <v>4.8749473547801861E-2</v>
      </c>
      <c r="BB24" s="8">
        <f>athero!BB24/athero!$F24</f>
        <v>3.1133573071565102E-2</v>
      </c>
      <c r="BC24" s="8">
        <f>athero!BC24/athero!$F24</f>
        <v>5.3455146272718434E-4</v>
      </c>
    </row>
    <row r="25" spans="1:55" ht="17.100000000000001">
      <c r="A25" s="5">
        <v>1160</v>
      </c>
      <c r="B25" s="6" t="s">
        <v>89</v>
      </c>
      <c r="C25" s="8" t="s">
        <v>214</v>
      </c>
      <c r="D25" s="8">
        <v>99510</v>
      </c>
      <c r="E25" s="8">
        <v>93685</v>
      </c>
      <c r="F25" s="8">
        <v>90392</v>
      </c>
      <c r="G25" s="8">
        <f>athero!G25/athero!$F25</f>
        <v>0.61284184441100986</v>
      </c>
      <c r="H25" s="8">
        <f>athero!H25/athero!$F25</f>
        <v>3.1197451101867423E-3</v>
      </c>
      <c r="I25" s="8">
        <f>athero!I25/athero!$F25</f>
        <v>3.0644304805735019E-3</v>
      </c>
      <c r="J25" s="8">
        <f>athero!J25/athero!$F25</f>
        <v>2.998052925037614E-3</v>
      </c>
      <c r="K25" s="8">
        <f>athero!K25/athero!$F25</f>
        <v>2.998052925037614E-3</v>
      </c>
      <c r="L25" s="8">
        <f>athero!L25/athero!$F25</f>
        <v>2.998052925037614E-3</v>
      </c>
      <c r="M25" s="8">
        <f>athero!M25/athero!$F25</f>
        <v>1.5709354810160192E-3</v>
      </c>
      <c r="N25" s="8">
        <f>athero!N25/athero!$F25</f>
        <v>1.2058589255686343E-3</v>
      </c>
      <c r="O25" s="8">
        <f>athero!O25/athero!$F25</f>
        <v>0</v>
      </c>
      <c r="P25" s="8">
        <f>athero!P25/athero!$F25</f>
        <v>2.2125851845296046E-5</v>
      </c>
      <c r="Q25" s="8">
        <f>athero!Q25/athero!$F25</f>
        <v>0.35721081511638197</v>
      </c>
      <c r="R25" s="8">
        <f>athero!R25/athero!$F25</f>
        <v>3.6076201433755201E-2</v>
      </c>
      <c r="S25" s="8">
        <f>athero!S25/athero!$F25</f>
        <v>0.31545933268430837</v>
      </c>
      <c r="T25" s="8">
        <f>athero!T25/athero!$F25</f>
        <v>2.4050800955836799E-2</v>
      </c>
      <c r="U25" s="8">
        <f>athero!U25/athero!$F25</f>
        <v>6.7284715461545269E-2</v>
      </c>
      <c r="V25" s="8">
        <f>athero!V25/athero!$F25</f>
        <v>6.2870608018408713E-2</v>
      </c>
      <c r="W25" s="8">
        <f>athero!W25/athero!$F25</f>
        <v>9.9245508452075401E-2</v>
      </c>
      <c r="X25" s="8">
        <f>athero!X25/athero!$F25</f>
        <v>3.0434109213204708E-2</v>
      </c>
      <c r="Y25" s="8">
        <f>athero!Y25/athero!$F25</f>
        <v>2.9117621028409594E-2</v>
      </c>
      <c r="Z25" s="8">
        <f>athero!Z25/athero!$F25</f>
        <v>3.6098327285600494E-2</v>
      </c>
      <c r="AA25" s="8">
        <f>athero!AA25/athero!$F25</f>
        <v>3.0423046287282062E-3</v>
      </c>
      <c r="AB25" s="8">
        <f>athero!AB25/athero!$F25</f>
        <v>2.9349942472785204E-2</v>
      </c>
      <c r="AC25" s="8">
        <f>athero!AC25/athero!$F25</f>
        <v>4.6685547393574651E-3</v>
      </c>
      <c r="AD25" s="8">
        <f>athero!AD25/athero!$F25</f>
        <v>2.2435613771130188E-2</v>
      </c>
      <c r="AE25" s="8">
        <f>athero!AE25/athero!$F25</f>
        <v>0.16365386317373218</v>
      </c>
      <c r="AF25" s="8">
        <f>athero!AF25/athero!$F25</f>
        <v>7.6334188866271347E-4</v>
      </c>
      <c r="AG25" s="8">
        <f>athero!AG25/athero!$F25</f>
        <v>0.24724533144526065</v>
      </c>
      <c r="AH25" s="8">
        <f>athero!AH25/athero!$F25</f>
        <v>0.23128152933887955</v>
      </c>
      <c r="AI25" s="8">
        <f>athero!AI25/athero!$F25</f>
        <v>2.8652978139658376E-3</v>
      </c>
      <c r="AJ25" s="8">
        <f>athero!AJ25/athero!$F25</f>
        <v>2.8210461102752458E-3</v>
      </c>
      <c r="AK25" s="8">
        <f>athero!AK25/athero!$F25</f>
        <v>0.21255199575183645</v>
      </c>
      <c r="AL25" s="8">
        <f>athero!AL25/athero!$F25</f>
        <v>0.1252323214443756</v>
      </c>
      <c r="AM25" s="8">
        <f>athero!AM25/athero!$F25</f>
        <v>1.4492432958668909E-3</v>
      </c>
      <c r="AN25" s="8">
        <f>athero!AN25/athero!$F25</f>
        <v>5.8257367908664481E-2</v>
      </c>
      <c r="AO25" s="8">
        <f>athero!AO25/athero!$F25</f>
        <v>2.3210018585715551E-2</v>
      </c>
      <c r="AP25" s="8">
        <f>athero!AP25/athero!$F25</f>
        <v>3.0799185768652093E-2</v>
      </c>
      <c r="AQ25" s="8">
        <f>athero!AQ25/athero!$F25</f>
        <v>5.7095760686786443E-2</v>
      </c>
      <c r="AR25" s="8">
        <f>athero!AR25/athero!$F25</f>
        <v>5.588990176121781E-2</v>
      </c>
      <c r="AS25" s="8">
        <f>athero!AS25/athero!$F25</f>
        <v>1.4226922736525356E-2</v>
      </c>
      <c r="AT25" s="8">
        <f>athero!AT25/athero!$F25</f>
        <v>3.2082485175679264E-3</v>
      </c>
      <c r="AU25" s="8">
        <f>athero!AU25/athero!$F25</f>
        <v>7.3745464200371716E-2</v>
      </c>
      <c r="AV25" s="8">
        <f>athero!AV25/athero!$F25</f>
        <v>2.0577042216125319E-2</v>
      </c>
      <c r="AW25" s="8">
        <f>athero!AW25/athero!$F25</f>
        <v>1.8032569253916275E-3</v>
      </c>
      <c r="AX25" s="8">
        <f>athero!AX25/athero!$F25</f>
        <v>2.0344720771749713E-2</v>
      </c>
      <c r="AY25" s="8">
        <f>athero!AY25/athero!$F25</f>
        <v>3.6728914063191434E-3</v>
      </c>
      <c r="AZ25" s="8">
        <f>athero!AZ25/athero!$F25</f>
        <v>1.6273564032215242E-2</v>
      </c>
      <c r="BA25" s="8">
        <f>athero!BA25/athero!$F25</f>
        <v>5.1287724577396228E-2</v>
      </c>
      <c r="BB25" s="8">
        <f>athero!BB25/athero!$F25</f>
        <v>4.3986193468448537E-2</v>
      </c>
      <c r="BC25" s="8">
        <f>athero!BC25/athero!$F25</f>
        <v>8.8503407381184182E-5</v>
      </c>
    </row>
    <row r="26" spans="1:55" ht="17.100000000000001">
      <c r="A26" s="5">
        <v>1164</v>
      </c>
      <c r="B26" s="6" t="s">
        <v>92</v>
      </c>
      <c r="C26" s="8" t="s">
        <v>216</v>
      </c>
      <c r="D26" s="8">
        <v>62413</v>
      </c>
      <c r="E26" s="8">
        <v>59157</v>
      </c>
      <c r="F26" s="8">
        <v>55171</v>
      </c>
      <c r="G26" s="8">
        <f>athero!G26/athero!$F26</f>
        <v>0.3830273150749488</v>
      </c>
      <c r="H26" s="8">
        <f>athero!H26/athero!$F26</f>
        <v>2.990701636729441E-3</v>
      </c>
      <c r="I26" s="8">
        <f>athero!I26/athero!$F26</f>
        <v>2.9363252433343605E-3</v>
      </c>
      <c r="J26" s="8">
        <f>athero!J26/athero!$F26</f>
        <v>2.7006942052890106E-3</v>
      </c>
      <c r="K26" s="8">
        <f>athero!K26/athero!$F26</f>
        <v>2.7006942052890106E-3</v>
      </c>
      <c r="L26" s="8">
        <f>athero!L26/athero!$F26</f>
        <v>2.7006942052890106E-3</v>
      </c>
      <c r="M26" s="8">
        <f>athero!M26/athero!$F26</f>
        <v>9.4252415218139967E-4</v>
      </c>
      <c r="N26" s="8">
        <f>athero!N26/athero!$F26</f>
        <v>1.522539015062261E-3</v>
      </c>
      <c r="O26" s="8">
        <f>athero!O26/athero!$F26</f>
        <v>1.8125464465026915E-5</v>
      </c>
      <c r="P26" s="8">
        <f>athero!P26/athero!$F26</f>
        <v>0</v>
      </c>
      <c r="Q26" s="8">
        <f>athero!Q26/athero!$F26</f>
        <v>0.14835692664624531</v>
      </c>
      <c r="R26" s="8">
        <f>athero!R26/athero!$F26</f>
        <v>3.5562161280382809E-2</v>
      </c>
      <c r="S26" s="8">
        <f>athero!S26/athero!$F26</f>
        <v>0.10931467618857733</v>
      </c>
      <c r="T26" s="8">
        <f>athero!T26/athero!$F26</f>
        <v>6.1445324536441243E-3</v>
      </c>
      <c r="U26" s="8">
        <f>athero!U26/athero!$F26</f>
        <v>1.1129035181526527E-2</v>
      </c>
      <c r="V26" s="8">
        <f>athero!V26/athero!$F26</f>
        <v>1.4790379003461964E-2</v>
      </c>
      <c r="W26" s="8">
        <f>athero!W26/athero!$F26</f>
        <v>2.9943267296224464E-2</v>
      </c>
      <c r="X26" s="8">
        <f>athero!X26/athero!$F26</f>
        <v>1.7074187526055357E-2</v>
      </c>
      <c r="Y26" s="8">
        <f>athero!Y26/athero!$F26</f>
        <v>1.5950408729223688E-2</v>
      </c>
      <c r="Z26" s="8">
        <f>athero!Z26/athero!$F26</f>
        <v>2.0137391020644903E-2</v>
      </c>
      <c r="AA26" s="8">
        <f>athero!AA26/athero!$F26</f>
        <v>8.8814775878631887E-4</v>
      </c>
      <c r="AB26" s="8">
        <f>athero!AB26/athero!$F26</f>
        <v>1.375722752895543E-2</v>
      </c>
      <c r="AC26" s="8">
        <f>athero!AC26/athero!$F26</f>
        <v>2.7188196697540374E-4</v>
      </c>
      <c r="AD26" s="8">
        <f>athero!AD26/athero!$F26</f>
        <v>1.2778452447843976E-2</v>
      </c>
      <c r="AE26" s="8">
        <f>athero!AE26/athero!$F26</f>
        <v>4.8467491979481976E-2</v>
      </c>
      <c r="AF26" s="8">
        <f>athero!AF26/athero!$F26</f>
        <v>2.5375650251037684E-4</v>
      </c>
      <c r="AG26" s="8">
        <f>athero!AG26/athero!$F26</f>
        <v>0.22745645357162278</v>
      </c>
      <c r="AH26" s="8">
        <f>athero!AH26/athero!$F26</f>
        <v>0.2142792409055482</v>
      </c>
      <c r="AI26" s="8">
        <f>athero!AI26/athero!$F26</f>
        <v>2.7550705986840911E-3</v>
      </c>
      <c r="AJ26" s="8">
        <f>athero!AJ26/athero!$F26</f>
        <v>1.0512769389715612E-3</v>
      </c>
      <c r="AK26" s="8">
        <f>athero!AK26/athero!$F26</f>
        <v>0.20200830146272497</v>
      </c>
      <c r="AL26" s="8">
        <f>athero!AL26/athero!$F26</f>
        <v>0.12675137300393322</v>
      </c>
      <c r="AM26" s="8">
        <f>athero!AM26/athero!$F26</f>
        <v>1.7037936597125302E-3</v>
      </c>
      <c r="AN26" s="8">
        <f>athero!AN26/athero!$F26</f>
        <v>9.118921172355042E-2</v>
      </c>
      <c r="AO26" s="8">
        <f>athero!AO26/athero!$F26</f>
        <v>2.4868137246016928E-2</v>
      </c>
      <c r="AP26" s="8">
        <f>athero!AP26/athero!$F26</f>
        <v>5.7022711206974677E-2</v>
      </c>
      <c r="AQ26" s="8">
        <f>athero!AQ26/athero!$F26</f>
        <v>2.8964492215113012E-2</v>
      </c>
      <c r="AR26" s="8">
        <f>athero!AR26/athero!$F26</f>
        <v>2.8493230139022312E-2</v>
      </c>
      <c r="AS26" s="8">
        <f>athero!AS26/athero!$F26</f>
        <v>1.0150260100415073E-2</v>
      </c>
      <c r="AT26" s="8">
        <f>athero!AT26/athero!$F26</f>
        <v>5.3832629461129941E-3</v>
      </c>
      <c r="AU26" s="8">
        <f>athero!AU26/athero!$F26</f>
        <v>6.9148646934077684E-2</v>
      </c>
      <c r="AV26" s="8">
        <f>athero!AV26/athero!$F26</f>
        <v>1.1908430153522684E-2</v>
      </c>
      <c r="AW26" s="8">
        <f>athero!AW26/athero!$F26</f>
        <v>1.7037936597125302E-3</v>
      </c>
      <c r="AX26" s="8">
        <f>athero!AX26/athero!$F26</f>
        <v>1.692918381033514E-2</v>
      </c>
      <c r="AY26" s="8">
        <f>athero!AY26/athero!$F26</f>
        <v>5.4738902684381288E-3</v>
      </c>
      <c r="AZ26" s="8">
        <f>athero!AZ26/athero!$F26</f>
        <v>1.0295263816135289E-2</v>
      </c>
      <c r="BA26" s="8">
        <f>athero!BA26/athero!$F26</f>
        <v>4.9609396240778668E-2</v>
      </c>
      <c r="BB26" s="8">
        <f>athero!BB26/athero!$F26</f>
        <v>4.6201808921353608E-2</v>
      </c>
      <c r="BC26" s="8">
        <f>athero!BC26/athero!$F26</f>
        <v>7.250185786010766E-5</v>
      </c>
    </row>
    <row r="27" spans="1:55" ht="17.100000000000001">
      <c r="A27" s="5">
        <v>1165</v>
      </c>
      <c r="B27" s="6" t="s">
        <v>93</v>
      </c>
      <c r="C27" s="8" t="s">
        <v>217</v>
      </c>
      <c r="D27" s="8">
        <v>232949</v>
      </c>
      <c r="E27" s="8">
        <v>206715</v>
      </c>
      <c r="F27" s="8">
        <v>194926</v>
      </c>
      <c r="G27" s="8">
        <f>athero!G27/athero!$F27</f>
        <v>0.56577367821634872</v>
      </c>
      <c r="H27" s="8">
        <f>athero!H27/athero!$F27</f>
        <v>8.5160522454675106E-4</v>
      </c>
      <c r="I27" s="8">
        <f>athero!I27/athero!$F27</f>
        <v>8.2082431281614565E-4</v>
      </c>
      <c r="J27" s="8">
        <f>athero!J27/athero!$F27</f>
        <v>7.2848157762432923E-4</v>
      </c>
      <c r="K27" s="8">
        <f>athero!K27/athero!$F27</f>
        <v>7.2848157762432923E-4</v>
      </c>
      <c r="L27" s="8">
        <f>athero!L27/athero!$F27</f>
        <v>7.2335142566922828E-4</v>
      </c>
      <c r="M27" s="8">
        <f>athero!M27/athero!$F27</f>
        <v>2.462472938448437E-4</v>
      </c>
      <c r="N27" s="8">
        <f>athero!N27/athero!$F27</f>
        <v>4.0528200445297187E-4</v>
      </c>
      <c r="O27" s="8">
        <f>athero!O27/athero!$F27</f>
        <v>0</v>
      </c>
      <c r="P27" s="8">
        <f>athero!P27/athero!$F27</f>
        <v>1.5390455865302731E-5</v>
      </c>
      <c r="Q27" s="8">
        <f>athero!Q27/athero!$F27</f>
        <v>0.27196474559576456</v>
      </c>
      <c r="R27" s="8">
        <f>athero!R27/athero!$F27</f>
        <v>2.8421041831259042E-2</v>
      </c>
      <c r="S27" s="8">
        <f>athero!S27/athero!$F27</f>
        <v>0.24172762997239977</v>
      </c>
      <c r="T27" s="8">
        <f>athero!T27/athero!$F27</f>
        <v>7.5618439818187413E-3</v>
      </c>
      <c r="U27" s="8">
        <f>athero!U27/athero!$F27</f>
        <v>1.1819870104552497E-2</v>
      </c>
      <c r="V27" s="8">
        <f>athero!V27/athero!$F27</f>
        <v>3.6131660219775708E-2</v>
      </c>
      <c r="W27" s="8">
        <f>athero!W27/athero!$F27</f>
        <v>0.14731231339072262</v>
      </c>
      <c r="X27" s="8">
        <f>athero!X27/athero!$F27</f>
        <v>1.6144588202702564E-2</v>
      </c>
      <c r="Y27" s="8">
        <f>athero!Y27/athero!$F27</f>
        <v>1.5857299693216913E-2</v>
      </c>
      <c r="Z27" s="8">
        <f>athero!Z27/athero!$F27</f>
        <v>1.8725054636118323E-2</v>
      </c>
      <c r="AA27" s="8">
        <f>athero!AA27/athero!$F27</f>
        <v>2.5958568892810604E-3</v>
      </c>
      <c r="AB27" s="8">
        <f>athero!AB27/athero!$F27</f>
        <v>1.1917342991699414E-2</v>
      </c>
      <c r="AC27" s="8">
        <f>athero!AC27/athero!$F27</f>
        <v>2.0777115418158685E-3</v>
      </c>
      <c r="AD27" s="8">
        <f>athero!AD27/athero!$F27</f>
        <v>8.4134492063654923E-3</v>
      </c>
      <c r="AE27" s="8">
        <f>athero!AE27/athero!$F27</f>
        <v>6.785138975816464E-2</v>
      </c>
      <c r="AF27" s="8">
        <f>athero!AF27/athero!$F27</f>
        <v>8.054338569508429E-4</v>
      </c>
      <c r="AG27" s="8">
        <f>athero!AG27/athero!$F27</f>
        <v>0.2902280865559238</v>
      </c>
      <c r="AH27" s="8">
        <f>athero!AH27/athero!$F27</f>
        <v>0.2774334875799021</v>
      </c>
      <c r="AI27" s="8">
        <f>athero!AI27/athero!$F27</f>
        <v>5.6944686701620106E-4</v>
      </c>
      <c r="AJ27" s="8">
        <f>athero!AJ27/athero!$F27</f>
        <v>1.2158460133589158E-3</v>
      </c>
      <c r="AK27" s="8">
        <f>athero!AK27/athero!$F27</f>
        <v>0.26938940931430388</v>
      </c>
      <c r="AL27" s="8">
        <f>athero!AL27/athero!$F27</f>
        <v>0.13503072961021106</v>
      </c>
      <c r="AM27" s="8">
        <f>athero!AM27/athero!$F27</f>
        <v>8.1056400890594375E-4</v>
      </c>
      <c r="AN27" s="8">
        <f>athero!AN27/athero!$F27</f>
        <v>5.2363461005714991E-2</v>
      </c>
      <c r="AO27" s="8">
        <f>athero!AO27/athero!$F27</f>
        <v>1.2532961226311524E-2</v>
      </c>
      <c r="AP27" s="8">
        <f>athero!AP27/athero!$F27</f>
        <v>3.7280814257718314E-2</v>
      </c>
      <c r="AQ27" s="8">
        <f>athero!AQ27/athero!$F27</f>
        <v>6.7892430973805443E-2</v>
      </c>
      <c r="AR27" s="8">
        <f>athero!AR27/athero!$F27</f>
        <v>6.7620532920185092E-2</v>
      </c>
      <c r="AS27" s="8">
        <f>athero!AS27/athero!$F27</f>
        <v>8.9213342499204831E-3</v>
      </c>
      <c r="AT27" s="8">
        <f>athero!AT27/athero!$F27</f>
        <v>1.9186768312077405E-3</v>
      </c>
      <c r="AU27" s="8">
        <f>athero!AU27/athero!$F27</f>
        <v>0.11771646676174548</v>
      </c>
      <c r="AV27" s="8">
        <f>athero!AV27/athero!$F27</f>
        <v>1.3589772529062311E-2</v>
      </c>
      <c r="AW27" s="8">
        <f>athero!AW27/athero!$F27</f>
        <v>1.4774837630690621E-3</v>
      </c>
      <c r="AX27" s="8">
        <f>athero!AX27/athero!$F27</f>
        <v>2.2044262951068611E-2</v>
      </c>
      <c r="AY27" s="8">
        <f>athero!AY27/athero!$F27</f>
        <v>1.2045596790576938E-2</v>
      </c>
      <c r="AZ27" s="8">
        <f>athero!AZ27/athero!$F27</f>
        <v>9.2855750387326481E-3</v>
      </c>
      <c r="BA27" s="8">
        <f>athero!BA27/athero!$F27</f>
        <v>8.6350717708258515E-2</v>
      </c>
      <c r="BB27" s="8">
        <f>athero!BB27/athero!$F27</f>
        <v>3.4525922657829125E-2</v>
      </c>
      <c r="BC27" s="8">
        <f>athero!BC27/athero!$F27</f>
        <v>2.513774457999446E-4</v>
      </c>
    </row>
    <row r="28" spans="1:55" ht="17.100000000000001">
      <c r="A28" s="5">
        <v>1166</v>
      </c>
      <c r="B28" s="6" t="s">
        <v>94</v>
      </c>
      <c r="C28" s="8" t="s">
        <v>218</v>
      </c>
      <c r="D28" s="8">
        <v>86919</v>
      </c>
      <c r="E28" s="8">
        <v>81185</v>
      </c>
      <c r="F28" s="8">
        <v>78665</v>
      </c>
      <c r="G28" s="8">
        <f>athero!G28/athero!$F28</f>
        <v>0.6293523167863726</v>
      </c>
      <c r="H28" s="8">
        <f>athero!H28/athero!$F28</f>
        <v>1.1695163033115109E-3</v>
      </c>
      <c r="I28" s="8">
        <f>athero!I28/athero!$F28</f>
        <v>1.1440920358482172E-3</v>
      </c>
      <c r="J28" s="8">
        <f>athero!J28/athero!$F28</f>
        <v>1.0932435009216297E-3</v>
      </c>
      <c r="K28" s="8">
        <f>athero!K28/athero!$F28</f>
        <v>1.067819233458336E-3</v>
      </c>
      <c r="L28" s="8">
        <f>athero!L28/athero!$F28</f>
        <v>1.067819233458336E-3</v>
      </c>
      <c r="M28" s="8">
        <f>athero!M28/athero!$F28</f>
        <v>2.1610627343799656E-4</v>
      </c>
      <c r="N28" s="8">
        <f>athero!N28/athero!$F28</f>
        <v>7.3730375643551766E-4</v>
      </c>
      <c r="O28" s="8">
        <f>athero!O28/athero!$F28</f>
        <v>1.2712133731646856E-5</v>
      </c>
      <c r="P28" s="8">
        <f>athero!P28/athero!$F28</f>
        <v>1.2712133731646856E-5</v>
      </c>
      <c r="Q28" s="8">
        <f>athero!Q28/athero!$F28</f>
        <v>0.31551515921947498</v>
      </c>
      <c r="R28" s="8">
        <f>athero!R28/athero!$F28</f>
        <v>4.9844276361787329E-2</v>
      </c>
      <c r="S28" s="8">
        <f>athero!S28/athero!$F28</f>
        <v>0.25796732981630965</v>
      </c>
      <c r="T28" s="8">
        <f>athero!T28/athero!$F28</f>
        <v>9.1145998855907961E-3</v>
      </c>
      <c r="U28" s="8">
        <f>athero!U28/athero!$F28</f>
        <v>1.9830928621369096E-2</v>
      </c>
      <c r="V28" s="8">
        <f>athero!V28/athero!$F28</f>
        <v>3.8009279857624104E-2</v>
      </c>
      <c r="W28" s="8">
        <f>athero!W28/athero!$F28</f>
        <v>0.10570139197864362</v>
      </c>
      <c r="X28" s="8">
        <f>athero!X28/athero!$F28</f>
        <v>1.2953664272548147E-2</v>
      </c>
      <c r="Y28" s="8">
        <f>athero!Y28/athero!$F28</f>
        <v>1.2801118667768384E-2</v>
      </c>
      <c r="Z28" s="8">
        <f>athero!Z28/athero!$F28</f>
        <v>4.4174664717472827E-2</v>
      </c>
      <c r="AA28" s="8">
        <f>athero!AA28/athero!$F28</f>
        <v>6.7882794126994219E-3</v>
      </c>
      <c r="AB28" s="8">
        <f>athero!AB28/athero!$F28</f>
        <v>3.466598868620098E-2</v>
      </c>
      <c r="AC28" s="8">
        <f>athero!AC28/athero!$F28</f>
        <v>4.5382317421979283E-3</v>
      </c>
      <c r="AD28" s="8">
        <f>athero!AD28/athero!$F28</f>
        <v>2.6987859912286277E-2</v>
      </c>
      <c r="AE28" s="8">
        <f>athero!AE28/athero!$F28</f>
        <v>9.0510392169325618E-2</v>
      </c>
      <c r="AF28" s="8">
        <f>athero!AF28/athero!$F28</f>
        <v>3.9407614568105255E-4</v>
      </c>
      <c r="AG28" s="8">
        <f>athero!AG28/athero!$F28</f>
        <v>0.30990910824381873</v>
      </c>
      <c r="AH28" s="8">
        <f>athero!AH28/athero!$F28</f>
        <v>0.27759486429797242</v>
      </c>
      <c r="AI28" s="8">
        <f>athero!AI28/athero!$F28</f>
        <v>1.1822284370431578E-3</v>
      </c>
      <c r="AJ28" s="8">
        <f>athero!AJ28/athero!$F28</f>
        <v>3.1907455666433612E-3</v>
      </c>
      <c r="AK28" s="8">
        <f>athero!AK28/athero!$F28</f>
        <v>0.26637005021292826</v>
      </c>
      <c r="AL28" s="8">
        <f>athero!AL28/athero!$F28</f>
        <v>0.14987605669611645</v>
      </c>
      <c r="AM28" s="8">
        <f>athero!AM28/athero!$F28</f>
        <v>6.9916735524057718E-4</v>
      </c>
      <c r="AN28" s="8">
        <f>athero!AN28/athero!$F28</f>
        <v>8.0811034132079074E-2</v>
      </c>
      <c r="AO28" s="8">
        <f>athero!AO28/athero!$F28</f>
        <v>2.4534418102078435E-2</v>
      </c>
      <c r="AP28" s="8">
        <f>athero!AP28/athero!$F28</f>
        <v>4.9310366745058155E-2</v>
      </c>
      <c r="AQ28" s="8">
        <f>athero!AQ28/athero!$F28</f>
        <v>5.5450327337443588E-2</v>
      </c>
      <c r="AR28" s="8">
        <f>athero!AR28/athero!$F28</f>
        <v>5.4471493040106782E-2</v>
      </c>
      <c r="AS28" s="8">
        <f>athero!AS28/athero!$F28</f>
        <v>8.0976291870590474E-3</v>
      </c>
      <c r="AT28" s="8">
        <f>athero!AT28/athero!$F28</f>
        <v>2.4280175427445496E-3</v>
      </c>
      <c r="AU28" s="8">
        <f>athero!AU28/athero!$F28</f>
        <v>9.7629187059047856E-2</v>
      </c>
      <c r="AV28" s="8">
        <f>athero!AV28/athero!$F28</f>
        <v>5.4916417720714426E-3</v>
      </c>
      <c r="AW28" s="8">
        <f>athero!AW28/athero!$F28</f>
        <v>1.3093497743596264E-3</v>
      </c>
      <c r="AX28" s="8">
        <f>athero!AX28/athero!$F28</f>
        <v>2.66954808364584E-2</v>
      </c>
      <c r="AY28" s="8">
        <f>athero!AY28/athero!$F28</f>
        <v>6.0382635225322574E-3</v>
      </c>
      <c r="AZ28" s="8">
        <f>athero!AZ28/athero!$F28</f>
        <v>1.8902942858958875E-2</v>
      </c>
      <c r="BA28" s="8">
        <f>athero!BA28/athero!$F28</f>
        <v>6.6293777410538365E-2</v>
      </c>
      <c r="BB28" s="8">
        <f>athero!BB28/athero!$F28</f>
        <v>2.66954808364584E-2</v>
      </c>
      <c r="BC28" s="8">
        <f>athero!BC28/athero!$F28</f>
        <v>3.5975338460560607E-3</v>
      </c>
    </row>
    <row r="29" spans="1:55" ht="17.100000000000001">
      <c r="A29" s="5">
        <v>1172</v>
      </c>
      <c r="B29" s="6" t="s">
        <v>96</v>
      </c>
      <c r="C29" s="8" t="s">
        <v>221</v>
      </c>
      <c r="D29" s="8">
        <v>166329</v>
      </c>
      <c r="E29" s="8">
        <v>161188</v>
      </c>
      <c r="F29" s="8">
        <v>150664</v>
      </c>
      <c r="G29" s="8">
        <f>athero!G29/athero!$F29</f>
        <v>0.40688552009770085</v>
      </c>
      <c r="H29" s="8">
        <f>athero!H29/athero!$F29</f>
        <v>1.9248128285456379E-4</v>
      </c>
      <c r="I29" s="8">
        <f>athero!I29/athero!$F29</f>
        <v>1.8584399723888919E-4</v>
      </c>
      <c r="J29" s="8">
        <f>athero!J29/athero!$F29</f>
        <v>1.7256942600753995E-4</v>
      </c>
      <c r="K29" s="8">
        <f>athero!K29/athero!$F29</f>
        <v>1.5929485477619073E-4</v>
      </c>
      <c r="L29" s="8">
        <f>athero!L29/athero!$F29</f>
        <v>1.5929485477619073E-4</v>
      </c>
      <c r="M29" s="8">
        <f>athero!M29/athero!$F29</f>
        <v>5.3098284925396908E-5</v>
      </c>
      <c r="N29" s="8">
        <f>athero!N29/athero!$F29</f>
        <v>8.6284713003769974E-5</v>
      </c>
      <c r="O29" s="8">
        <f>athero!O29/athero!$F29</f>
        <v>0</v>
      </c>
      <c r="P29" s="8">
        <f>athero!P29/athero!$F29</f>
        <v>0</v>
      </c>
      <c r="Q29" s="8">
        <f>athero!Q29/athero!$F29</f>
        <v>0.19493707853236342</v>
      </c>
      <c r="R29" s="8">
        <f>athero!R29/athero!$F29</f>
        <v>2.6987203313332979E-2</v>
      </c>
      <c r="S29" s="8">
        <f>athero!S29/athero!$F29</f>
        <v>0.16377502256677109</v>
      </c>
      <c r="T29" s="8">
        <f>athero!T29/athero!$F29</f>
        <v>8.7612170126904892E-3</v>
      </c>
      <c r="U29" s="8">
        <f>athero!U29/athero!$F29</f>
        <v>1.0082036850209738E-2</v>
      </c>
      <c r="V29" s="8">
        <f>athero!V29/athero!$F29</f>
        <v>1.707773588913078E-2</v>
      </c>
      <c r="W29" s="8">
        <f>athero!W29/athero!$F29</f>
        <v>8.4147507035522748E-2</v>
      </c>
      <c r="X29" s="8">
        <f>athero!X29/athero!$F29</f>
        <v>5.7133754579727074E-2</v>
      </c>
      <c r="Y29" s="8">
        <f>athero!Y29/athero!$F29</f>
        <v>5.3191206924016354E-2</v>
      </c>
      <c r="Z29" s="8">
        <f>athero!Z29/athero!$F29</f>
        <v>9.3054744331758088E-3</v>
      </c>
      <c r="AA29" s="8">
        <f>athero!AA29/athero!$F29</f>
        <v>1.3540062655976212E-3</v>
      </c>
      <c r="AB29" s="8">
        <f>athero!AB29/athero!$F29</f>
        <v>6.8430414697605267E-3</v>
      </c>
      <c r="AC29" s="8">
        <f>athero!AC29/athero!$F29</f>
        <v>1.8584399723888919E-4</v>
      </c>
      <c r="AD29" s="8">
        <f>athero!AD29/athero!$F29</f>
        <v>6.3518823342006052E-3</v>
      </c>
      <c r="AE29" s="8">
        <f>athero!AE29/athero!$F29</f>
        <v>6.1912600223012794E-2</v>
      </c>
      <c r="AF29" s="8">
        <f>athero!AF29/athero!$F29</f>
        <v>5.2434556363829452E-4</v>
      </c>
      <c r="AG29" s="8">
        <f>athero!AG29/athero!$F29</f>
        <v>0.20960547974300431</v>
      </c>
      <c r="AH29" s="8">
        <f>athero!AH29/athero!$F29</f>
        <v>0.19420697711463919</v>
      </c>
      <c r="AI29" s="8">
        <f>athero!AI29/athero!$F29</f>
        <v>3.1792598099081399E-3</v>
      </c>
      <c r="AJ29" s="8">
        <f>athero!AJ29/athero!$F29</f>
        <v>2.1372059682472255E-3</v>
      </c>
      <c r="AK29" s="8">
        <f>athero!AK29/athero!$F29</f>
        <v>0.17704959379812032</v>
      </c>
      <c r="AL29" s="8">
        <f>athero!AL29/athero!$F29</f>
        <v>7.3468114479902299E-2</v>
      </c>
      <c r="AM29" s="8">
        <f>athero!AM29/athero!$F29</f>
        <v>5.1770827802261987E-4</v>
      </c>
      <c r="AN29" s="8">
        <f>athero!AN29/athero!$F29</f>
        <v>3.7049328306695696E-2</v>
      </c>
      <c r="AO29" s="8">
        <f>athero!AO29/athero!$F29</f>
        <v>2.8075718154303617E-3</v>
      </c>
      <c r="AP29" s="8">
        <f>athero!AP29/athero!$F29</f>
        <v>3.2575797801731005E-2</v>
      </c>
      <c r="AQ29" s="8">
        <f>athero!AQ29/athero!$F29</f>
        <v>2.9874422556151435E-2</v>
      </c>
      <c r="AR29" s="8">
        <f>athero!AR29/athero!$F29</f>
        <v>2.96222057027558E-2</v>
      </c>
      <c r="AS29" s="8">
        <f>athero!AS29/athero!$F29</f>
        <v>8.6682950140710459E-3</v>
      </c>
      <c r="AT29" s="8">
        <f>athero!AT29/athero!$F29</f>
        <v>4.2677746508787764E-3</v>
      </c>
      <c r="AU29" s="8">
        <f>athero!AU29/athero!$F29</f>
        <v>9.2264907343492811E-2</v>
      </c>
      <c r="AV29" s="8">
        <f>athero!AV29/athero!$F29</f>
        <v>2.6675250889396273E-2</v>
      </c>
      <c r="AW29" s="8">
        <f>athero!AW29/athero!$F29</f>
        <v>4.7456592152073486E-3</v>
      </c>
      <c r="AX29" s="8">
        <f>athero!AX29/athero!$F29</f>
        <v>1.4469282642170659E-2</v>
      </c>
      <c r="AY29" s="8">
        <f>athero!AY29/athero!$F29</f>
        <v>1.1190463548027399E-2</v>
      </c>
      <c r="AZ29" s="8">
        <f>athero!AZ29/athero!$F29</f>
        <v>2.4425211065682577E-3</v>
      </c>
      <c r="BA29" s="8">
        <f>athero!BA29/athero!$F29</f>
        <v>7.3687144905219562E-2</v>
      </c>
      <c r="BB29" s="8">
        <f>athero!BB29/athero!$F29</f>
        <v>6.3259969202994745E-2</v>
      </c>
      <c r="BC29" s="8">
        <f>athero!BC29/athero!$F29</f>
        <v>1.8584399723888919E-4</v>
      </c>
    </row>
    <row r="30" spans="1:55" ht="17.100000000000001">
      <c r="A30" s="5">
        <v>1178</v>
      </c>
      <c r="B30" s="6" t="s">
        <v>97</v>
      </c>
      <c r="C30" s="8" t="s">
        <v>222</v>
      </c>
      <c r="D30" s="8">
        <v>89352</v>
      </c>
      <c r="E30" s="8">
        <v>81651</v>
      </c>
      <c r="F30" s="8">
        <v>80568</v>
      </c>
      <c r="G30" s="8">
        <f>athero!G30/athero!$F30</f>
        <v>0.50063300565981528</v>
      </c>
      <c r="H30" s="8">
        <f>athero!H30/athero!$F30</f>
        <v>1.1543044384867441E-2</v>
      </c>
      <c r="I30" s="8">
        <f>athero!I30/athero!$F30</f>
        <v>1.0711448714129679E-2</v>
      </c>
      <c r="J30" s="8">
        <f>athero!J30/athero!$F30</f>
        <v>1.0165326184092939E-2</v>
      </c>
      <c r="K30" s="8">
        <f>athero!K30/athero!$F30</f>
        <v>1.0103266805679674E-2</v>
      </c>
      <c r="L30" s="8">
        <f>athero!L30/athero!$F30</f>
        <v>9.8053817892959985E-3</v>
      </c>
      <c r="M30" s="8">
        <f>athero!M30/athero!$F30</f>
        <v>2.4823751365306325E-3</v>
      </c>
      <c r="N30" s="8">
        <f>athero!N30/athero!$F30</f>
        <v>5.126104656935756E-3</v>
      </c>
      <c r="O30" s="8">
        <f>athero!O30/athero!$F30</f>
        <v>1.7376625955714428E-4</v>
      </c>
      <c r="P30" s="8">
        <f>athero!P30/athero!$F30</f>
        <v>1.4894250819183795E-4</v>
      </c>
      <c r="Q30" s="8">
        <f>athero!Q30/athero!$F30</f>
        <v>0.19614487141296794</v>
      </c>
      <c r="R30" s="8">
        <f>athero!R30/athero!$F30</f>
        <v>2.4972693873498163E-2</v>
      </c>
      <c r="S30" s="8">
        <f>athero!S30/athero!$F30</f>
        <v>0.1604607288253401</v>
      </c>
      <c r="T30" s="8">
        <f>athero!T30/athero!$F30</f>
        <v>9.5447323999602821E-3</v>
      </c>
      <c r="U30" s="8">
        <f>athero!U30/athero!$F30</f>
        <v>1.2784231953132757E-2</v>
      </c>
      <c r="V30" s="8">
        <f>athero!V30/athero!$F30</f>
        <v>1.9362526064938934E-2</v>
      </c>
      <c r="W30" s="8">
        <f>athero!W30/athero!$F30</f>
        <v>4.3205739251315656E-2</v>
      </c>
      <c r="X30" s="8">
        <f>athero!X30/athero!$F30</f>
        <v>7.2485353986694468E-3</v>
      </c>
      <c r="Y30" s="8">
        <f>athero!Y30/athero!$F30</f>
        <v>6.9754741336510769E-3</v>
      </c>
      <c r="Z30" s="8">
        <f>athero!Z30/athero!$F30</f>
        <v>5.3420712938139214E-2</v>
      </c>
      <c r="AA30" s="8">
        <f>athero!AA30/athero!$F30</f>
        <v>1.0550094330255189E-2</v>
      </c>
      <c r="AB30" s="8">
        <f>athero!AB30/athero!$F30</f>
        <v>3.686327077747989E-2</v>
      </c>
      <c r="AC30" s="8">
        <f>athero!AC30/athero!$F30</f>
        <v>4.8902790189653458E-3</v>
      </c>
      <c r="AD30" s="8">
        <f>athero!AD30/athero!$F30</f>
        <v>2.9329262238109423E-2</v>
      </c>
      <c r="AE30" s="8">
        <f>athero!AE30/athero!$F30</f>
        <v>5.2080230364412672E-2</v>
      </c>
      <c r="AF30" s="8">
        <f>athero!AF30/athero!$F30</f>
        <v>8.8124317346837452E-4</v>
      </c>
      <c r="AG30" s="8">
        <f>athero!AG30/athero!$F30</f>
        <v>0.26004120742726639</v>
      </c>
      <c r="AH30" s="8">
        <f>athero!AH30/athero!$F30</f>
        <v>0.23374044285572435</v>
      </c>
      <c r="AI30" s="8">
        <f>athero!AI30/athero!$F30</f>
        <v>4.4186277430245261E-3</v>
      </c>
      <c r="AJ30" s="8">
        <f>athero!AJ30/athero!$F30</f>
        <v>7.5588322907357763E-3</v>
      </c>
      <c r="AK30" s="8">
        <f>athero!AK30/athero!$F30</f>
        <v>0.20498212689901699</v>
      </c>
      <c r="AL30" s="8">
        <f>athero!AL30/athero!$F30</f>
        <v>9.94811835964651E-2</v>
      </c>
      <c r="AM30" s="8">
        <f>athero!AM30/athero!$F30</f>
        <v>1.2287756925826632E-3</v>
      </c>
      <c r="AN30" s="8">
        <f>athero!AN30/athero!$F30</f>
        <v>4.6941713831794261E-2</v>
      </c>
      <c r="AO30" s="8">
        <f>athero!AO30/athero!$F30</f>
        <v>2.4004567570251215E-2</v>
      </c>
      <c r="AP30" s="8">
        <f>athero!AP30/athero!$F30</f>
        <v>2.0206533611359347E-2</v>
      </c>
      <c r="AQ30" s="8">
        <f>athero!AQ30/athero!$F30</f>
        <v>4.2597557342865654E-2</v>
      </c>
      <c r="AR30" s="8">
        <f>athero!AR30/athero!$F30</f>
        <v>3.7943103961870721E-2</v>
      </c>
      <c r="AS30" s="8">
        <f>athero!AS30/athero!$F30</f>
        <v>2.739300963161553E-2</v>
      </c>
      <c r="AT30" s="8">
        <f>athero!AT30/athero!$F30</f>
        <v>2.0318240492503227E-2</v>
      </c>
      <c r="AU30" s="8">
        <f>athero!AU30/athero!$F30</f>
        <v>9.8165524774103868E-2</v>
      </c>
      <c r="AV30" s="8">
        <f>athero!AV30/athero!$F30</f>
        <v>3.3834773110912521E-2</v>
      </c>
      <c r="AW30" s="8">
        <f>athero!AW30/athero!$F30</f>
        <v>2.5729818290140007E-2</v>
      </c>
      <c r="AX30" s="8">
        <f>athero!AX30/athero!$F30</f>
        <v>8.5393704696653753E-3</v>
      </c>
      <c r="AY30" s="8">
        <f>athero!AY30/athero!$F30</f>
        <v>2.6189057690398174E-3</v>
      </c>
      <c r="AZ30" s="8">
        <f>athero!AZ30/athero!$F30</f>
        <v>5.5481084301459635E-3</v>
      </c>
      <c r="BA30" s="8">
        <f>athero!BA30/athero!$F30</f>
        <v>7.8256876179128187E-2</v>
      </c>
      <c r="BB30" s="8">
        <f>athero!BB30/athero!$F30</f>
        <v>2.5667758911726742E-2</v>
      </c>
      <c r="BC30" s="8">
        <f>athero!BC30/athero!$F30</f>
        <v>3.1029689206632906E-4</v>
      </c>
    </row>
    <row r="31" spans="1:55" ht="51">
      <c r="A31" s="5">
        <v>1181</v>
      </c>
      <c r="B31" s="6" t="s">
        <v>98</v>
      </c>
      <c r="C31" s="8" t="s">
        <v>223</v>
      </c>
      <c r="D31" s="8">
        <v>103950</v>
      </c>
      <c r="E31" s="8">
        <v>100965</v>
      </c>
      <c r="F31" s="8">
        <v>93340</v>
      </c>
      <c r="G31" s="8">
        <f>athero!G31/athero!$F31</f>
        <v>0.43163702592671954</v>
      </c>
      <c r="H31" s="8">
        <f>athero!H31/athero!$F31</f>
        <v>1.7141632740518535E-4</v>
      </c>
      <c r="I31" s="8">
        <f>athero!I31/athero!$F31</f>
        <v>1.6070280694236127E-4</v>
      </c>
      <c r="J31" s="8">
        <f>athero!J31/athero!$F31</f>
        <v>1.6070280694236127E-4</v>
      </c>
      <c r="K31" s="8">
        <f>athero!K31/athero!$F31</f>
        <v>1.392757660167131E-4</v>
      </c>
      <c r="L31" s="8">
        <f>athero!L31/athero!$F31</f>
        <v>1.392757660167131E-4</v>
      </c>
      <c r="M31" s="8">
        <f>athero!M31/athero!$F31</f>
        <v>8.5708163702592673E-5</v>
      </c>
      <c r="N31" s="8">
        <f>athero!N31/athero!$F31</f>
        <v>3.2140561388472249E-5</v>
      </c>
      <c r="O31" s="8">
        <f>athero!O31/athero!$F31</f>
        <v>0</v>
      </c>
      <c r="P31" s="8">
        <f>athero!P31/athero!$F31</f>
        <v>0</v>
      </c>
      <c r="Q31" s="8">
        <f>athero!Q31/athero!$F31</f>
        <v>0.25094278980072854</v>
      </c>
      <c r="R31" s="8">
        <f>athero!R31/athero!$F31</f>
        <v>1.6916648810799229E-2</v>
      </c>
      <c r="S31" s="8">
        <f>athero!S31/athero!$F31</f>
        <v>0.23065138204413971</v>
      </c>
      <c r="T31" s="8">
        <f>athero!T31/athero!$F31</f>
        <v>3.1604885365331048E-3</v>
      </c>
      <c r="U31" s="8">
        <f>athero!U31/athero!$F31</f>
        <v>2.9355046068137991E-3</v>
      </c>
      <c r="V31" s="8">
        <f>athero!V31/athero!$F31</f>
        <v>7.2176987358045855E-2</v>
      </c>
      <c r="W31" s="8">
        <f>athero!W31/athero!$F31</f>
        <v>1.7570173559031496E-2</v>
      </c>
      <c r="X31" s="8">
        <f>athero!X31/athero!$F31</f>
        <v>6.5673880437111636E-3</v>
      </c>
      <c r="Y31" s="8">
        <f>athero!Y31/athero!$F31</f>
        <v>6.2031283479751448E-3</v>
      </c>
      <c r="Z31" s="8">
        <f>athero!Z31/athero!$F31</f>
        <v>4.8328690807799446E-2</v>
      </c>
      <c r="AA31" s="8">
        <f>athero!AA31/athero!$F31</f>
        <v>6.9637883008356546E-4</v>
      </c>
      <c r="AB31" s="8">
        <f>athero!AB31/athero!$F31</f>
        <v>4.318620098564388E-2</v>
      </c>
      <c r="AC31" s="8">
        <f>athero!AC31/athero!$F31</f>
        <v>1.7988000857081635E-2</v>
      </c>
      <c r="AD31" s="8">
        <f>athero!AD31/athero!$F31</f>
        <v>6.3424041139918579E-3</v>
      </c>
      <c r="AE31" s="8">
        <f>athero!AE31/athero!$F31</f>
        <v>0.10781015641739876</v>
      </c>
      <c r="AF31" s="8">
        <f>athero!AF31/athero!$F31</f>
        <v>3.4283265481037069E-4</v>
      </c>
      <c r="AG31" s="8">
        <f>athero!AG31/athero!$F31</f>
        <v>0.17428755088922221</v>
      </c>
      <c r="AH31" s="8">
        <f>athero!AH31/athero!$F31</f>
        <v>9.7525176773087641E-2</v>
      </c>
      <c r="AI31" s="8">
        <f>athero!AI31/athero!$F31</f>
        <v>4.2854081851296337E-5</v>
      </c>
      <c r="AJ31" s="8">
        <f>athero!AJ31/athero!$F31</f>
        <v>1.1784872509106492E-4</v>
      </c>
      <c r="AK31" s="8">
        <f>athero!AK31/athero!$F31</f>
        <v>9.7053781872723371E-2</v>
      </c>
      <c r="AL31" s="8">
        <f>athero!AL31/athero!$F31</f>
        <v>5.6470966359545745E-2</v>
      </c>
      <c r="AM31" s="8">
        <f>athero!AM31/athero!$F31</f>
        <v>6.4281122776944498E-5</v>
      </c>
      <c r="AN31" s="8">
        <f>athero!AN31/athero!$F31</f>
        <v>1.6745232483394042E-2</v>
      </c>
      <c r="AO31" s="8">
        <f>athero!AO31/athero!$F31</f>
        <v>2.5712449110777804E-3</v>
      </c>
      <c r="AP31" s="8">
        <f>athero!AP31/athero!$F31</f>
        <v>1.3166916648810799E-2</v>
      </c>
      <c r="AQ31" s="8">
        <f>athero!AQ31/athero!$F31</f>
        <v>3.5268909363616888E-2</v>
      </c>
      <c r="AR31" s="8">
        <f>athero!AR31/athero!$F31</f>
        <v>3.5129633597600171E-2</v>
      </c>
      <c r="AS31" s="8">
        <f>athero!AS31/athero!$F31</f>
        <v>6.5352474823226917E-4</v>
      </c>
      <c r="AT31" s="8">
        <f>athero!AT31/athero!$F31</f>
        <v>5.3567602314120418E-5</v>
      </c>
      <c r="AU31" s="8">
        <f>athero!AU31/athero!$F31</f>
        <v>2.977287336618813E-2</v>
      </c>
      <c r="AV31" s="8">
        <f>athero!AV31/athero!$F31</f>
        <v>6.7495178915791731E-4</v>
      </c>
      <c r="AW31" s="8">
        <f>athero!AW31/athero!$F31</f>
        <v>2.1427040925648168E-5</v>
      </c>
      <c r="AX31" s="8">
        <f>athero!AX31/athero!$F31</f>
        <v>5.4103278337261623E-3</v>
      </c>
      <c r="AY31" s="8">
        <f>athero!AY31/athero!$F31</f>
        <v>3.1176344546818085E-3</v>
      </c>
      <c r="AZ31" s="8">
        <f>athero!AZ31/athero!$F31</f>
        <v>1.8105849582172701E-3</v>
      </c>
      <c r="BA31" s="8">
        <f>athero!BA31/athero!$F31</f>
        <v>2.2251982001285621E-2</v>
      </c>
      <c r="BB31" s="8">
        <f>athero!BB31/athero!$F31</f>
        <v>2.1352046282408398E-2</v>
      </c>
      <c r="BC31" s="8">
        <f>athero!BC31/athero!$F31</f>
        <v>9.6421684165416761E-5</v>
      </c>
    </row>
    <row r="32" spans="1:55" ht="17.100000000000001">
      <c r="A32" s="5">
        <v>1186</v>
      </c>
      <c r="B32" s="6" t="s">
        <v>99</v>
      </c>
      <c r="C32" s="8" t="s">
        <v>224</v>
      </c>
      <c r="D32" s="8">
        <v>130376</v>
      </c>
      <c r="E32" s="8">
        <v>126147</v>
      </c>
      <c r="F32" s="8">
        <v>120112</v>
      </c>
      <c r="G32" s="8">
        <f>athero!G32/athero!$F32</f>
        <v>0.78937158651924866</v>
      </c>
      <c r="H32" s="8">
        <f>athero!H32/athero!$F32</f>
        <v>9.9906753696549889E-5</v>
      </c>
      <c r="I32" s="8">
        <f>athero!I32/athero!$F32</f>
        <v>9.9906753696549889E-5</v>
      </c>
      <c r="J32" s="8">
        <f>athero!J32/athero!$F32</f>
        <v>8.3255628080458236E-5</v>
      </c>
      <c r="K32" s="8">
        <f>athero!K32/athero!$F32</f>
        <v>8.3255628080458236E-5</v>
      </c>
      <c r="L32" s="8">
        <f>athero!L32/athero!$F32</f>
        <v>8.3255628080458236E-5</v>
      </c>
      <c r="M32" s="8">
        <f>athero!M32/athero!$F32</f>
        <v>4.1627814040229118E-5</v>
      </c>
      <c r="N32" s="8">
        <f>athero!N32/athero!$F32</f>
        <v>2.4976688424137472E-5</v>
      </c>
      <c r="O32" s="8">
        <f>athero!O32/athero!$F32</f>
        <v>0</v>
      </c>
      <c r="P32" s="8">
        <f>athero!P32/athero!$F32</f>
        <v>0</v>
      </c>
      <c r="Q32" s="8">
        <f>athero!Q32/athero!$F32</f>
        <v>0.19956374050885839</v>
      </c>
      <c r="R32" s="8">
        <f>athero!R32/athero!$F32</f>
        <v>4.0462235247102706E-2</v>
      </c>
      <c r="S32" s="8">
        <f>athero!S32/athero!$F32</f>
        <v>0.15692020780604768</v>
      </c>
      <c r="T32" s="8">
        <f>athero!T32/athero!$F32</f>
        <v>1.7317170640735315E-2</v>
      </c>
      <c r="U32" s="8">
        <f>athero!U32/athero!$F32</f>
        <v>9.3079792193952304E-3</v>
      </c>
      <c r="V32" s="8">
        <f>athero!V32/athero!$F32</f>
        <v>9.7658851738377517E-3</v>
      </c>
      <c r="W32" s="8">
        <f>athero!W32/athero!$F32</f>
        <v>1.9706607166644467E-2</v>
      </c>
      <c r="X32" s="8">
        <f>athero!X32/athero!$F32</f>
        <v>5.0119888104435857E-3</v>
      </c>
      <c r="Y32" s="8">
        <f>athero!Y32/athero!$F32</f>
        <v>4.5957106700412944E-3</v>
      </c>
      <c r="Z32" s="8">
        <f>athero!Z32/athero!$F32</f>
        <v>1.0823231650459571E-2</v>
      </c>
      <c r="AA32" s="8">
        <f>athero!AA32/athero!$F32</f>
        <v>1.656786998801119E-3</v>
      </c>
      <c r="AB32" s="8">
        <f>athero!AB32/athero!$F32</f>
        <v>8.1340748634607697E-3</v>
      </c>
      <c r="AC32" s="8">
        <f>athero!AC32/athero!$F32</f>
        <v>3.7465032636206208E-4</v>
      </c>
      <c r="AD32" s="8">
        <f>athero!AD32/athero!$F32</f>
        <v>6.5605434927401094E-3</v>
      </c>
      <c r="AE32" s="8">
        <f>athero!AE32/athero!$F32</f>
        <v>0.11953843079792194</v>
      </c>
      <c r="AF32" s="8">
        <f>athero!AF32/athero!$F32</f>
        <v>2.8306913547355801E-3</v>
      </c>
      <c r="AG32" s="8">
        <f>athero!AG32/athero!$F32</f>
        <v>0.58152391101638468</v>
      </c>
      <c r="AH32" s="8">
        <f>athero!AH32/athero!$F32</f>
        <v>0.51212201944851476</v>
      </c>
      <c r="AI32" s="8">
        <f>athero!AI32/athero!$F32</f>
        <v>4.2460370321033706E-3</v>
      </c>
      <c r="AJ32" s="8">
        <f>athero!AJ32/athero!$F32</f>
        <v>4.8038497402424401E-3</v>
      </c>
      <c r="AK32" s="8">
        <f>athero!AK32/athero!$F32</f>
        <v>0.49382243239642998</v>
      </c>
      <c r="AL32" s="8">
        <f>athero!AL32/athero!$F32</f>
        <v>0.28663247635540162</v>
      </c>
      <c r="AM32" s="8">
        <f>athero!AM32/athero!$F32</f>
        <v>1.3320900492873318E-3</v>
      </c>
      <c r="AN32" s="8">
        <f>athero!AN32/athero!$F32</f>
        <v>0.13640602104702279</v>
      </c>
      <c r="AO32" s="8">
        <f>athero!AO32/athero!$F32</f>
        <v>9.2072399094178761E-2</v>
      </c>
      <c r="AP32" s="8">
        <f>athero!AP32/athero!$F32</f>
        <v>3.3701878246969498E-2</v>
      </c>
      <c r="AQ32" s="8">
        <f>athero!AQ32/athero!$F32</f>
        <v>0.11999633675236446</v>
      </c>
      <c r="AR32" s="8">
        <f>athero!AR32/athero!$F32</f>
        <v>0.10509357932596243</v>
      </c>
      <c r="AS32" s="8">
        <f>athero!AS32/athero!$F32</f>
        <v>1.2738111096310111E-2</v>
      </c>
      <c r="AT32" s="8">
        <f>athero!AT32/athero!$F32</f>
        <v>3.172039429865459E-3</v>
      </c>
      <c r="AU32" s="8">
        <f>athero!AU32/athero!$F32</f>
        <v>0.18396163580658054</v>
      </c>
      <c r="AV32" s="8">
        <f>athero!AV32/athero!$F32</f>
        <v>1.0298721193552685E-2</v>
      </c>
      <c r="AW32" s="8">
        <f>athero!AW32/athero!$F32</f>
        <v>1.8899027574264019E-3</v>
      </c>
      <c r="AX32" s="8">
        <f>athero!AX32/athero!$F32</f>
        <v>7.0392633542027447E-2</v>
      </c>
      <c r="AY32" s="8">
        <f>athero!AY32/athero!$F32</f>
        <v>4.3292926601838288E-3</v>
      </c>
      <c r="AZ32" s="8">
        <f>athero!AZ32/athero!$F32</f>
        <v>6.3324230717996532E-2</v>
      </c>
      <c r="BA32" s="8">
        <f>athero!BA32/athero!$F32</f>
        <v>0.10514353270281071</v>
      </c>
      <c r="BB32" s="8">
        <f>athero!BB32/athero!$F32</f>
        <v>6.4056880245104572E-2</v>
      </c>
      <c r="BC32" s="8">
        <f>athero!BC32/athero!$F32</f>
        <v>1.7317170640735314E-3</v>
      </c>
    </row>
    <row r="33" spans="1:55" ht="17.100000000000001">
      <c r="A33" s="5">
        <v>1204</v>
      </c>
      <c r="B33" s="6" t="s">
        <v>100</v>
      </c>
      <c r="C33" s="8" t="s">
        <v>225</v>
      </c>
      <c r="D33" s="8">
        <v>129019</v>
      </c>
      <c r="E33" s="8">
        <v>125046</v>
      </c>
      <c r="F33" s="8">
        <v>121389</v>
      </c>
      <c r="G33" s="8">
        <f>athero!G33/athero!$F33</f>
        <v>0.70553345031263126</v>
      </c>
      <c r="H33" s="8">
        <f>athero!H33/athero!$F33</f>
        <v>7.8260797930619738E-4</v>
      </c>
      <c r="I33" s="8">
        <f>athero!I33/athero!$F33</f>
        <v>7.7437000057665854E-4</v>
      </c>
      <c r="J33" s="8">
        <f>athero!J33/athero!$F33</f>
        <v>7.3318010692896389E-4</v>
      </c>
      <c r="K33" s="8">
        <f>athero!K33/athero!$F33</f>
        <v>7.3318010692896389E-4</v>
      </c>
      <c r="L33" s="8">
        <f>athero!L33/athero!$F33</f>
        <v>7.3318010692896389E-4</v>
      </c>
      <c r="M33" s="8">
        <f>athero!M33/athero!$F33</f>
        <v>1.1533170221354489E-4</v>
      </c>
      <c r="N33" s="8">
        <f>athero!N33/athero!$F33</f>
        <v>5.6018255360864655E-4</v>
      </c>
      <c r="O33" s="8">
        <f>athero!O33/athero!$F33</f>
        <v>0</v>
      </c>
      <c r="P33" s="8">
        <f>athero!P33/athero!$F33</f>
        <v>8.2379787295389196E-6</v>
      </c>
      <c r="Q33" s="8">
        <f>athero!Q33/athero!$F33</f>
        <v>0.18906984982164776</v>
      </c>
      <c r="R33" s="8">
        <f>athero!R33/athero!$F33</f>
        <v>3.6873192793416207E-2</v>
      </c>
      <c r="S33" s="8">
        <f>athero!S33/athero!$F33</f>
        <v>0.1488602756427683</v>
      </c>
      <c r="T33" s="8">
        <f>athero!T33/athero!$F33</f>
        <v>1.907915873761214E-2</v>
      </c>
      <c r="U33" s="8">
        <f>athero!U33/athero!$F33</f>
        <v>4.132993928609676E-2</v>
      </c>
      <c r="V33" s="8">
        <f>athero!V33/athero!$F33</f>
        <v>4.4048472266844607E-2</v>
      </c>
      <c r="W33" s="8">
        <f>athero!W33/athero!$F33</f>
        <v>1.8609593950028421E-2</v>
      </c>
      <c r="X33" s="8">
        <f>athero!X33/athero!$F33</f>
        <v>9.2512501132722084E-3</v>
      </c>
      <c r="Y33" s="8">
        <f>athero!Y33/athero!$F33</f>
        <v>8.0814571336776803E-3</v>
      </c>
      <c r="Z33" s="8">
        <f>athero!Z33/athero!$F33</f>
        <v>1.5083739053785763E-2</v>
      </c>
      <c r="AA33" s="8">
        <f>athero!AA33/athero!$F33</f>
        <v>5.2805443656344479E-3</v>
      </c>
      <c r="AB33" s="8">
        <f>athero!AB33/athero!$F33</f>
        <v>8.5180700063432445E-3</v>
      </c>
      <c r="AC33" s="8">
        <f>athero!AC33/athero!$F33</f>
        <v>4.1107513860399215E-3</v>
      </c>
      <c r="AD33" s="8">
        <f>athero!AD33/athero!$F33</f>
        <v>3.3775712791109572E-3</v>
      </c>
      <c r="AE33" s="8">
        <f>athero!AE33/athero!$F33</f>
        <v>0.10839532412327312</v>
      </c>
      <c r="AF33" s="8">
        <f>athero!AF33/athero!$F33</f>
        <v>9.8855744754467053E-4</v>
      </c>
      <c r="AG33" s="8">
        <f>athero!AG33/athero!$F33</f>
        <v>0.5109029648485448</v>
      </c>
      <c r="AH33" s="8">
        <f>athero!AH33/athero!$F33</f>
        <v>0.48510985344635837</v>
      </c>
      <c r="AI33" s="8">
        <f>athero!AI33/athero!$F33</f>
        <v>9.8608605392580869E-3</v>
      </c>
      <c r="AJ33" s="8">
        <f>athero!AJ33/athero!$F33</f>
        <v>9.3006779856494408E-3</v>
      </c>
      <c r="AK33" s="8">
        <f>athero!AK33/athero!$F33</f>
        <v>0.43167008542783941</v>
      </c>
      <c r="AL33" s="8">
        <f>athero!AL33/athero!$F33</f>
        <v>0.28847753915099389</v>
      </c>
      <c r="AM33" s="8">
        <f>athero!AM33/athero!$F33</f>
        <v>1.7876413843099458E-3</v>
      </c>
      <c r="AN33" s="8">
        <f>athero!AN33/athero!$F33</f>
        <v>0.12092528977090181</v>
      </c>
      <c r="AO33" s="8">
        <f>athero!AO33/athero!$F33</f>
        <v>4.1379367158473998E-2</v>
      </c>
      <c r="AP33" s="8">
        <f>athero!AP33/athero!$F33</f>
        <v>6.7172478560660359E-2</v>
      </c>
      <c r="AQ33" s="8">
        <f>athero!AQ33/athero!$F33</f>
        <v>0.15068910692072593</v>
      </c>
      <c r="AR33" s="8">
        <f>athero!AR33/athero!$F33</f>
        <v>0.14927217457924524</v>
      </c>
      <c r="AS33" s="8">
        <f>athero!AS33/athero!$F33</f>
        <v>1.959815139757309E-2</v>
      </c>
      <c r="AT33" s="8">
        <f>athero!AT33/athero!$F33</f>
        <v>1.1228365008361548E-2</v>
      </c>
      <c r="AU33" s="8">
        <f>athero!AU33/athero!$F33</f>
        <v>0.13637973786751684</v>
      </c>
      <c r="AV33" s="8">
        <f>athero!AV33/athero!$F33</f>
        <v>1.6698382884775393E-2</v>
      </c>
      <c r="AW33" s="8">
        <f>athero!AW33/athero!$F33</f>
        <v>5.7995370255953995E-3</v>
      </c>
      <c r="AX33" s="8">
        <f>athero!AX33/athero!$F33</f>
        <v>4.1642982477819245E-2</v>
      </c>
      <c r="AY33" s="8">
        <f>athero!AY33/athero!$F33</f>
        <v>5.980772557645256E-3</v>
      </c>
      <c r="AZ33" s="8">
        <f>athero!AZ33/athero!$F33</f>
        <v>3.2465874173112884E-2</v>
      </c>
      <c r="BA33" s="8">
        <f>athero!BA33/athero!$F33</f>
        <v>9.0354150705582878E-2</v>
      </c>
      <c r="BB33" s="8">
        <f>athero!BB33/athero!$F33</f>
        <v>5.8588504724480801E-2</v>
      </c>
      <c r="BC33" s="8">
        <f>athero!BC33/athero!$F33</f>
        <v>2.6361531934524543E-4</v>
      </c>
    </row>
    <row r="34" spans="1:55" ht="33.950000000000003">
      <c r="A34" s="5">
        <v>1207</v>
      </c>
      <c r="B34" s="6" t="s">
        <v>101</v>
      </c>
      <c r="C34" s="8" t="s">
        <v>227</v>
      </c>
      <c r="D34" s="8">
        <v>82779</v>
      </c>
      <c r="E34" s="8">
        <v>76468</v>
      </c>
      <c r="F34" s="8">
        <v>75354</v>
      </c>
      <c r="G34" s="8">
        <f>athero!G34/athero!$F34</f>
        <v>0.57377179711760495</v>
      </c>
      <c r="H34" s="8">
        <f>athero!H34/athero!$F34</f>
        <v>7.2856119117764157E-3</v>
      </c>
      <c r="I34" s="8">
        <f>athero!I34/athero!$F34</f>
        <v>6.6220771292831168E-3</v>
      </c>
      <c r="J34" s="8">
        <f>athero!J34/athero!$F34</f>
        <v>5.8258353902911593E-3</v>
      </c>
      <c r="K34" s="8">
        <f>athero!K34/athero!$F34</f>
        <v>5.7992939989914274E-3</v>
      </c>
      <c r="L34" s="8">
        <f>athero!L34/athero!$F34</f>
        <v>5.5338800859941082E-3</v>
      </c>
      <c r="M34" s="8">
        <f>athero!M34/athero!$F34</f>
        <v>1.3403402606364625E-3</v>
      </c>
      <c r="N34" s="8">
        <f>athero!N34/athero!$F34</f>
        <v>2.9195530429705126E-3</v>
      </c>
      <c r="O34" s="8">
        <f>athero!O34/athero!$F34</f>
        <v>3.4503808689651514E-4</v>
      </c>
      <c r="P34" s="8">
        <f>athero!P34/athero!$F34</f>
        <v>1.0616556519892772E-4</v>
      </c>
      <c r="Q34" s="8">
        <f>athero!Q34/athero!$F34</f>
        <v>0.28715131247179976</v>
      </c>
      <c r="R34" s="8">
        <f>athero!R34/athero!$F34</f>
        <v>0.16640125275366935</v>
      </c>
      <c r="S34" s="8">
        <f>athero!S34/athero!$F34</f>
        <v>0.10677601719882156</v>
      </c>
      <c r="T34" s="8">
        <f>athero!T34/athero!$F34</f>
        <v>8.7055763463120741E-3</v>
      </c>
      <c r="U34" s="8">
        <f>athero!U34/athero!$F34</f>
        <v>1.3629004432412347E-2</v>
      </c>
      <c r="V34" s="8">
        <f>athero!V34/athero!$F34</f>
        <v>1.7464235475223612E-2</v>
      </c>
      <c r="W34" s="8">
        <f>athero!W34/athero!$F34</f>
        <v>2.9023011386256868E-2</v>
      </c>
      <c r="X34" s="8">
        <f>athero!X34/athero!$F34</f>
        <v>7.5377551291238689E-3</v>
      </c>
      <c r="Y34" s="8">
        <f>athero!Y34/athero!$F34</f>
        <v>7.0865514770284254E-3</v>
      </c>
      <c r="Z34" s="8">
        <f>athero!Z34/athero!$F34</f>
        <v>1.7318257823075084E-2</v>
      </c>
      <c r="AA34" s="8">
        <f>athero!AA34/athero!$F34</f>
        <v>4.1006449558085838E-3</v>
      </c>
      <c r="AB34" s="8">
        <f>athero!AB34/athero!$F34</f>
        <v>1.0125540780847733E-2</v>
      </c>
      <c r="AC34" s="8">
        <f>athero!AC34/athero!$F34</f>
        <v>1.3403402606364625E-3</v>
      </c>
      <c r="AD34" s="8">
        <f>athero!AD34/athero!$F34</f>
        <v>7.4050481726252093E-3</v>
      </c>
      <c r="AE34" s="8">
        <f>athero!AE34/athero!$F34</f>
        <v>5.4370040077500861E-2</v>
      </c>
      <c r="AF34" s="8">
        <f>athero!AF34/athero!$F34</f>
        <v>4.1139156514584494E-4</v>
      </c>
      <c r="AG34" s="8">
        <f>athero!AG34/athero!$F34</f>
        <v>0.24110199856676487</v>
      </c>
      <c r="AH34" s="8">
        <f>athero!AH34/athero!$F34</f>
        <v>0.19876847944369244</v>
      </c>
      <c r="AI34" s="8">
        <f>athero!AI34/athero!$F34</f>
        <v>4.3129760862064392E-3</v>
      </c>
      <c r="AJ34" s="8">
        <f>athero!AJ34/athero!$F34</f>
        <v>1.0085728693898135E-3</v>
      </c>
      <c r="AK34" s="8">
        <f>athero!AK34/athero!$F34</f>
        <v>0.18102555935982165</v>
      </c>
      <c r="AL34" s="8">
        <f>athero!AL34/athero!$F34</f>
        <v>0.12731905406481409</v>
      </c>
      <c r="AM34" s="8">
        <f>athero!AM34/athero!$F34</f>
        <v>4.9897815643496031E-3</v>
      </c>
      <c r="AN34" s="8">
        <f>athero!AN34/athero!$F34</f>
        <v>7.5085595986941631E-2</v>
      </c>
      <c r="AO34" s="8">
        <f>athero!AO34/athero!$F34</f>
        <v>4.368713007935876E-2</v>
      </c>
      <c r="AP34" s="8">
        <f>athero!AP34/athero!$F34</f>
        <v>3.0031584255646681E-2</v>
      </c>
      <c r="AQ34" s="8">
        <f>athero!AQ34/athero!$F34</f>
        <v>3.7383549645672427E-2</v>
      </c>
      <c r="AR34" s="8">
        <f>athero!AR34/athero!$F34</f>
        <v>3.5937043819837033E-2</v>
      </c>
      <c r="AS34" s="8">
        <f>athero!AS34/athero!$F34</f>
        <v>4.4669161557448843E-2</v>
      </c>
      <c r="AT34" s="8">
        <f>athero!AT34/athero!$F34</f>
        <v>3.2367226690023093E-2</v>
      </c>
      <c r="AU34" s="8">
        <f>athero!AU34/athero!$F34</f>
        <v>4.0449080340791463E-2</v>
      </c>
      <c r="AV34" s="8">
        <f>athero!AV34/athero!$F34</f>
        <v>2.0609390344241845E-2</v>
      </c>
      <c r="AW34" s="8">
        <f>athero!AW34/athero!$F34</f>
        <v>1.4557953127902964E-2</v>
      </c>
      <c r="AX34" s="8">
        <f>athero!AX34/athero!$F34</f>
        <v>1.8366642779414497E-2</v>
      </c>
      <c r="AY34" s="8">
        <f>athero!AY34/athero!$F34</f>
        <v>3.3840273907158212E-3</v>
      </c>
      <c r="AZ34" s="8">
        <f>athero!AZ34/athero!$F34</f>
        <v>1.4703930780051491E-2</v>
      </c>
      <c r="BA34" s="8">
        <f>athero!BA34/athero!$F34</f>
        <v>1.7384611301324415E-2</v>
      </c>
      <c r="BB34" s="8">
        <f>athero!BB34/athero!$F34</f>
        <v>1.421291504100645E-2</v>
      </c>
      <c r="BC34" s="8">
        <f>athero!BC34/athero!$F34</f>
        <v>7.5642965204236008E-4</v>
      </c>
    </row>
    <row r="35" spans="1:55" ht="17.100000000000001">
      <c r="A35" s="5">
        <v>1227</v>
      </c>
      <c r="B35" s="6" t="s">
        <v>103</v>
      </c>
      <c r="C35" s="8" t="s">
        <v>230</v>
      </c>
      <c r="D35" s="8">
        <v>149245</v>
      </c>
      <c r="E35" s="8">
        <v>146074</v>
      </c>
      <c r="F35" s="8">
        <v>145481</v>
      </c>
      <c r="G35" s="8">
        <f>athero!G35/athero!$F35</f>
        <v>0.92898729043655182</v>
      </c>
      <c r="H35" s="8">
        <f>athero!H35/athero!$F35</f>
        <v>2.5432874395969231E-4</v>
      </c>
      <c r="I35" s="8">
        <f>athero!I35/athero!$F35</f>
        <v>2.4745499412294388E-4</v>
      </c>
      <c r="J35" s="8">
        <f>athero!J35/athero!$F35</f>
        <v>2.2683374461269855E-4</v>
      </c>
      <c r="K35" s="8">
        <f>athero!K35/athero!$F35</f>
        <v>2.1308624493920168E-4</v>
      </c>
      <c r="L35" s="8">
        <f>athero!L35/athero!$F35</f>
        <v>2.0621249510245325E-4</v>
      </c>
      <c r="M35" s="8">
        <f>athero!M35/athero!$F35</f>
        <v>4.1242499020490649E-5</v>
      </c>
      <c r="N35" s="8">
        <f>athero!N35/athero!$F35</f>
        <v>1.2372749706147194E-4</v>
      </c>
      <c r="O35" s="8">
        <f>athero!O35/athero!$F35</f>
        <v>0</v>
      </c>
      <c r="P35" s="8">
        <f>athero!P35/athero!$F35</f>
        <v>0</v>
      </c>
      <c r="Q35" s="8">
        <f>athero!Q35/athero!$F35</f>
        <v>0.33709556574398031</v>
      </c>
      <c r="R35" s="8">
        <f>athero!R35/athero!$F35</f>
        <v>4.25691327389831E-2</v>
      </c>
      <c r="S35" s="8">
        <f>athero!S35/athero!$F35</f>
        <v>0.28459386449089574</v>
      </c>
      <c r="T35" s="8">
        <f>athero!T35/athero!$F35</f>
        <v>3.0773778019122771E-2</v>
      </c>
      <c r="U35" s="8">
        <f>athero!U35/athero!$F35</f>
        <v>3.9778390305263228E-2</v>
      </c>
      <c r="V35" s="8">
        <f>athero!V35/athero!$F35</f>
        <v>5.3848956221087291E-2</v>
      </c>
      <c r="W35" s="8">
        <f>athero!W35/athero!$F35</f>
        <v>6.0337776066977822E-2</v>
      </c>
      <c r="X35" s="8">
        <f>athero!X35/athero!$F35</f>
        <v>1.4208040912559028E-2</v>
      </c>
      <c r="Y35" s="8">
        <f>athero!Y35/athero!$F35</f>
        <v>9.5476385232435845E-3</v>
      </c>
      <c r="Z35" s="8">
        <f>athero!Z35/athero!$F35</f>
        <v>1.7177500842034354E-2</v>
      </c>
      <c r="AA35" s="8">
        <f>athero!AA35/athero!$F35</f>
        <v>2.055251201187784E-3</v>
      </c>
      <c r="AB35" s="8">
        <f>athero!AB35/athero!$F35</f>
        <v>1.3225094685904002E-2</v>
      </c>
      <c r="AC35" s="8">
        <f>athero!AC35/athero!$F35</f>
        <v>3.0244499281693142E-3</v>
      </c>
      <c r="AD35" s="8">
        <f>athero!AD35/athero!$F35</f>
        <v>9.2451935304266545E-3</v>
      </c>
      <c r="AE35" s="8">
        <f>athero!AE35/athero!$F35</f>
        <v>0.19891944652566315</v>
      </c>
      <c r="AF35" s="8">
        <f>athero!AF35/athero!$F35</f>
        <v>1.959018703473306E-3</v>
      </c>
      <c r="AG35" s="8">
        <f>athero!AG35/athero!$F35</f>
        <v>0.58797368728562494</v>
      </c>
      <c r="AH35" s="8">
        <f>athero!AH35/athero!$F35</f>
        <v>0.53333424983331157</v>
      </c>
      <c r="AI35" s="8">
        <f>athero!AI35/athero!$F35</f>
        <v>2.3645699438414637E-3</v>
      </c>
      <c r="AJ35" s="8">
        <f>athero!AJ35/athero!$F35</f>
        <v>9.0733497845079422E-4</v>
      </c>
      <c r="AK35" s="8">
        <f>athero!AK35/athero!$F35</f>
        <v>0.51468576652621301</v>
      </c>
      <c r="AL35" s="8">
        <f>athero!AL35/athero!$F35</f>
        <v>0.39444326063197255</v>
      </c>
      <c r="AM35" s="8">
        <f>athero!AM35/athero!$F35</f>
        <v>1.7459324585341041E-3</v>
      </c>
      <c r="AN35" s="8">
        <f>athero!AN35/athero!$F35</f>
        <v>0.11338937730700228</v>
      </c>
      <c r="AO35" s="8">
        <f>athero!AO35/athero!$F35</f>
        <v>3.5798489149785881E-2</v>
      </c>
      <c r="AP35" s="8">
        <f>athero!AP35/athero!$F35</f>
        <v>6.7115293406011786E-2</v>
      </c>
      <c r="AQ35" s="8">
        <f>athero!AQ35/athero!$F35</f>
        <v>0.24366755796289549</v>
      </c>
      <c r="AR35" s="8">
        <f>athero!AR35/athero!$F35</f>
        <v>0.23889030182635534</v>
      </c>
      <c r="AS35" s="8">
        <f>athero!AS35/athero!$F35</f>
        <v>1.3087619689169033E-2</v>
      </c>
      <c r="AT35" s="8">
        <f>athero!AT35/athero!$F35</f>
        <v>3.9936486551508448E-3</v>
      </c>
      <c r="AU35" s="8">
        <f>athero!AU35/athero!$F35</f>
        <v>0.10223328132195957</v>
      </c>
      <c r="AV35" s="8">
        <f>athero!AV35/athero!$F35</f>
        <v>9.6644922704683094E-3</v>
      </c>
      <c r="AW35" s="8">
        <f>athero!AW35/athero!$F35</f>
        <v>2.3439486943312186E-3</v>
      </c>
      <c r="AX35" s="8">
        <f>athero!AX35/athero!$F35</f>
        <v>2.2587141963555379E-2</v>
      </c>
      <c r="AY35" s="8">
        <f>athero!AY35/athero!$F35</f>
        <v>3.4025061691904785E-3</v>
      </c>
      <c r="AZ35" s="8">
        <f>athero!AZ35/athero!$F35</f>
        <v>1.7404334586647054E-2</v>
      </c>
      <c r="BA35" s="8">
        <f>athero!BA35/athero!$F35</f>
        <v>7.1466377052673544E-2</v>
      </c>
      <c r="BB35" s="8">
        <f>athero!BB35/athero!$F35</f>
        <v>3.722135536599281E-2</v>
      </c>
      <c r="BC35" s="8">
        <f>athero!BC35/athero!$F35</f>
        <v>1.5122249640846572E-4</v>
      </c>
    </row>
    <row r="36" spans="1:55" ht="17.100000000000001">
      <c r="A36" s="5">
        <v>1235</v>
      </c>
      <c r="B36" s="6" t="s">
        <v>104</v>
      </c>
      <c r="C36" s="8" t="s">
        <v>231</v>
      </c>
      <c r="D36" s="8">
        <v>36749</v>
      </c>
      <c r="E36" s="8">
        <v>35528</v>
      </c>
      <c r="F36" s="8">
        <v>35018</v>
      </c>
      <c r="G36" s="8">
        <f>athero!G36/athero!$F36</f>
        <v>0.86901022331372435</v>
      </c>
      <c r="H36" s="8">
        <f>athero!H36/athero!$F36</f>
        <v>8.8525900965217891E-4</v>
      </c>
      <c r="I36" s="8">
        <f>athero!I36/athero!$F36</f>
        <v>8.8525900965217891E-4</v>
      </c>
      <c r="J36" s="8">
        <f>athero!J36/athero!$F36</f>
        <v>7.995887829116454E-4</v>
      </c>
      <c r="K36" s="8">
        <f>athero!K36/athero!$F36</f>
        <v>7.995887829116454E-4</v>
      </c>
      <c r="L36" s="8">
        <f>athero!L36/athero!$F36</f>
        <v>7.995887829116454E-4</v>
      </c>
      <c r="M36" s="8">
        <f>athero!M36/athero!$F36</f>
        <v>2.855674224684448E-4</v>
      </c>
      <c r="N36" s="8">
        <f>athero!N36/athero!$F36</f>
        <v>3.7123764920897825E-4</v>
      </c>
      <c r="O36" s="8">
        <f>athero!O36/athero!$F36</f>
        <v>0</v>
      </c>
      <c r="P36" s="8">
        <f>athero!P36/athero!$F36</f>
        <v>0</v>
      </c>
      <c r="Q36" s="8">
        <f>athero!Q36/athero!$F36</f>
        <v>0.43788908561311324</v>
      </c>
      <c r="R36" s="8">
        <f>athero!R36/athero!$F36</f>
        <v>5.7998743503341138E-2</v>
      </c>
      <c r="S36" s="8">
        <f>athero!S36/athero!$F36</f>
        <v>0.37132331943571878</v>
      </c>
      <c r="T36" s="8">
        <f>athero!T36/athero!$F36</f>
        <v>2.5329830372951053E-2</v>
      </c>
      <c r="U36" s="8">
        <f>athero!U36/athero!$F36</f>
        <v>6.4481123993374842E-2</v>
      </c>
      <c r="V36" s="8">
        <f>athero!V36/athero!$F36</f>
        <v>9.1752812839111311E-2</v>
      </c>
      <c r="W36" s="8">
        <f>athero!W36/athero!$F36</f>
        <v>5.4172140042263978E-2</v>
      </c>
      <c r="X36" s="8">
        <f>athero!X36/athero!$F36</f>
        <v>7.795990633388543E-3</v>
      </c>
      <c r="Y36" s="8">
        <f>athero!Y36/athero!$F36</f>
        <v>7.253412530698498E-3</v>
      </c>
      <c r="Z36" s="8">
        <f>athero!Z36/athero!$F36</f>
        <v>2.1046319035924382E-2</v>
      </c>
      <c r="AA36" s="8">
        <f>athero!AA36/athero!$F36</f>
        <v>4.5976355017419614E-3</v>
      </c>
      <c r="AB36" s="8">
        <f>athero!AB36/athero!$F36</f>
        <v>1.396424695870695E-2</v>
      </c>
      <c r="AC36" s="8">
        <f>athero!AC36/athero!$F36</f>
        <v>3.9122736878176934E-3</v>
      </c>
      <c r="AD36" s="8">
        <f>athero!AD36/athero!$F36</f>
        <v>6.4538237477868524E-3</v>
      </c>
      <c r="AE36" s="8">
        <f>athero!AE36/athero!$F36</f>
        <v>0.2713176080872694</v>
      </c>
      <c r="AF36" s="8">
        <f>athero!AF36/athero!$F36</f>
        <v>1.313610143354846E-3</v>
      </c>
      <c r="AG36" s="8">
        <f>athero!AG36/athero!$F36</f>
        <v>0.42461020046833059</v>
      </c>
      <c r="AH36" s="8">
        <f>athero!AH36/athero!$F36</f>
        <v>0.36923867725169912</v>
      </c>
      <c r="AI36" s="8">
        <f>athero!AI36/athero!$F36</f>
        <v>5.9969158718373411E-4</v>
      </c>
      <c r="AJ36" s="8">
        <f>athero!AJ36/athero!$F36</f>
        <v>1.2850534011080016E-3</v>
      </c>
      <c r="AK36" s="8">
        <f>athero!AK36/athero!$F36</f>
        <v>0.36209949168998801</v>
      </c>
      <c r="AL36" s="8">
        <f>athero!AL36/athero!$F36</f>
        <v>0.18387686332743161</v>
      </c>
      <c r="AM36" s="8">
        <f>athero!AM36/athero!$F36</f>
        <v>1.2564966588611572E-3</v>
      </c>
      <c r="AN36" s="8">
        <f>athero!AN36/athero!$F36</f>
        <v>6.3053286881032608E-2</v>
      </c>
      <c r="AO36" s="8">
        <f>athero!AO36/athero!$F36</f>
        <v>2.530127363070421E-2</v>
      </c>
      <c r="AP36" s="8">
        <f>athero!AP36/athero!$F36</f>
        <v>3.1155405791307329E-2</v>
      </c>
      <c r="AQ36" s="8">
        <f>athero!AQ36/athero!$F36</f>
        <v>0.10140499171854475</v>
      </c>
      <c r="AR36" s="8">
        <f>athero!AR36/athero!$F36</f>
        <v>9.4894054486264201E-2</v>
      </c>
      <c r="AS36" s="8">
        <f>athero!AS36/athero!$F36</f>
        <v>1.1165686218516192E-2</v>
      </c>
      <c r="AT36" s="8">
        <f>athero!AT36/athero!$F36</f>
        <v>2.3702096064880918E-3</v>
      </c>
      <c r="AU36" s="8">
        <f>athero!AU36/athero!$F36</f>
        <v>0.16348734936318465</v>
      </c>
      <c r="AV36" s="8">
        <f>athero!AV36/athero!$F36</f>
        <v>1.4735278999371751E-2</v>
      </c>
      <c r="AW36" s="8">
        <f>athero!AW36/athero!$F36</f>
        <v>2.7985607401907592E-3</v>
      </c>
      <c r="AX36" s="8">
        <f>athero!AX36/athero!$F36</f>
        <v>6.1568336284196702E-2</v>
      </c>
      <c r="AY36" s="8">
        <f>athero!AY36/athero!$F36</f>
        <v>3.398252327374493E-3</v>
      </c>
      <c r="AZ36" s="8">
        <f>athero!AZ36/athero!$F36</f>
        <v>5.6028328288308872E-2</v>
      </c>
      <c r="BA36" s="8">
        <f>athero!BA36/athero!$F36</f>
        <v>8.4042492432463298E-2</v>
      </c>
      <c r="BB36" s="8">
        <f>athero!BB36/athero!$F36</f>
        <v>5.1973270889256955E-2</v>
      </c>
      <c r="BC36" s="8">
        <f>athero!BC36/athero!$F36</f>
        <v>3.997943914558227E-4</v>
      </c>
    </row>
    <row r="37" spans="1:55" ht="17.100000000000001">
      <c r="A37" s="5">
        <v>1306</v>
      </c>
      <c r="B37" s="6" t="s">
        <v>107</v>
      </c>
      <c r="C37" s="8" t="s">
        <v>235</v>
      </c>
      <c r="D37" s="8">
        <v>531658</v>
      </c>
      <c r="E37" s="8">
        <v>526326</v>
      </c>
      <c r="F37" s="8">
        <v>525070</v>
      </c>
      <c r="G37" s="8">
        <f>athero!G37/athero!$F37</f>
        <v>0.929083741215457</v>
      </c>
      <c r="H37" s="8">
        <f>athero!H37/athero!$F37</f>
        <v>2.6472660788085396E-4</v>
      </c>
      <c r="I37" s="8">
        <f>athero!I37/athero!$F37</f>
        <v>2.5329956005865886E-4</v>
      </c>
      <c r="J37" s="8">
        <f>athero!J37/athero!$F37</f>
        <v>2.3996800426609785E-4</v>
      </c>
      <c r="K37" s="8">
        <f>athero!K37/athero!$F37</f>
        <v>2.38063496295732E-4</v>
      </c>
      <c r="L37" s="8">
        <f>athero!L37/athero!$F37</f>
        <v>2.38063496295732E-4</v>
      </c>
      <c r="M37" s="8">
        <f>athero!M37/athero!$F37</f>
        <v>1.4855162168853677E-4</v>
      </c>
      <c r="N37" s="8">
        <f>athero!N37/athero!$F37</f>
        <v>4.5708191288780541E-5</v>
      </c>
      <c r="O37" s="8">
        <f>athero!O37/athero!$F37</f>
        <v>0</v>
      </c>
      <c r="P37" s="8">
        <f>athero!P37/athero!$F37</f>
        <v>3.809015940731712E-6</v>
      </c>
      <c r="Q37" s="8">
        <f>athero!Q37/athero!$F37</f>
        <v>0.32699259146399529</v>
      </c>
      <c r="R37" s="8">
        <f>athero!R37/athero!$F37</f>
        <v>0.21518845106366771</v>
      </c>
      <c r="S37" s="8">
        <f>athero!S37/athero!$F37</f>
        <v>0.1059458738834822</v>
      </c>
      <c r="T37" s="8">
        <f>athero!T37/athero!$F37</f>
        <v>2.074009179728417E-3</v>
      </c>
      <c r="U37" s="8">
        <f>athero!U37/athero!$F37</f>
        <v>1.163654369893538E-3</v>
      </c>
      <c r="V37" s="8">
        <f>athero!V37/athero!$F37</f>
        <v>8.4445883406022056E-3</v>
      </c>
      <c r="W37" s="8">
        <f>athero!W37/athero!$F37</f>
        <v>1.7704306092520997E-2</v>
      </c>
      <c r="X37" s="8">
        <f>athero!X37/athero!$F37</f>
        <v>1.0699525777515378E-2</v>
      </c>
      <c r="Y37" s="8">
        <f>athero!Y37/athero!$F37</f>
        <v>6.1706058239853739E-4</v>
      </c>
      <c r="Z37" s="8">
        <f>athero!Z37/athero!$F37</f>
        <v>1.1049955244062696E-2</v>
      </c>
      <c r="AA37" s="8">
        <f>athero!AA37/athero!$F37</f>
        <v>9.1606833374597674E-4</v>
      </c>
      <c r="AB37" s="8">
        <f>athero!AB37/athero!$F37</f>
        <v>9.3835107699925726E-3</v>
      </c>
      <c r="AC37" s="8">
        <f>athero!AC37/athero!$F37</f>
        <v>2.6263164911345155E-3</v>
      </c>
      <c r="AD37" s="8">
        <f>athero!AD37/athero!$F37</f>
        <v>5.9325423276896418E-3</v>
      </c>
      <c r="AE37" s="8">
        <f>athero!AE37/athero!$F37</f>
        <v>6.9895442512426909E-2</v>
      </c>
      <c r="AF37" s="8">
        <f>athero!AF37/athero!$F37</f>
        <v>1.0122459862494524E-2</v>
      </c>
      <c r="AG37" s="8">
        <f>athero!AG37/athero!$F37</f>
        <v>0.5764698040261298</v>
      </c>
      <c r="AH37" s="8">
        <f>athero!AH37/athero!$F37</f>
        <v>0.46121279067552895</v>
      </c>
      <c r="AI37" s="8">
        <f>athero!AI37/athero!$F37</f>
        <v>1.9749747652693926E-3</v>
      </c>
      <c r="AJ37" s="8">
        <f>athero!AJ37/athero!$F37</f>
        <v>4.0108937855904926E-3</v>
      </c>
      <c r="AK37" s="8">
        <f>athero!AK37/athero!$F37</f>
        <v>0.44654046127183045</v>
      </c>
      <c r="AL37" s="8">
        <f>athero!AL37/athero!$F37</f>
        <v>0.24467975698478298</v>
      </c>
      <c r="AM37" s="8">
        <f>athero!AM37/athero!$F37</f>
        <v>6.3801017007256177E-4</v>
      </c>
      <c r="AN37" s="8">
        <f>athero!AN37/athero!$F37</f>
        <v>3.9196678538099682E-2</v>
      </c>
      <c r="AO37" s="8">
        <f>athero!AO37/athero!$F37</f>
        <v>1.0051993067590987E-2</v>
      </c>
      <c r="AP37" s="8">
        <f>athero!AP37/athero!$F37</f>
        <v>2.679833165101796E-2</v>
      </c>
      <c r="AQ37" s="8">
        <f>athero!AQ37/athero!$F37</f>
        <v>0.18612565943588474</v>
      </c>
      <c r="AR37" s="8">
        <f>athero!AR37/athero!$F37</f>
        <v>0.17892852381587218</v>
      </c>
      <c r="AS37" s="8">
        <f>athero!AS37/athero!$F37</f>
        <v>5.0793227569657382E-3</v>
      </c>
      <c r="AT37" s="8">
        <f>athero!AT37/athero!$F37</f>
        <v>1.3864818024263432E-3</v>
      </c>
      <c r="AU37" s="8">
        <f>athero!AU37/athero!$F37</f>
        <v>0.17258651227455388</v>
      </c>
      <c r="AV37" s="8">
        <f>athero!AV37/athero!$F37</f>
        <v>8.0998723979659858E-3</v>
      </c>
      <c r="AW37" s="8">
        <f>athero!AW37/athero!$F37</f>
        <v>1.6988211095663435E-3</v>
      </c>
      <c r="AX37" s="8">
        <f>athero!AX37/athero!$F37</f>
        <v>2.4850019997333689E-2</v>
      </c>
      <c r="AY37" s="8">
        <f>athero!AY37/athero!$F37</f>
        <v>9.1264021939931814E-3</v>
      </c>
      <c r="AZ37" s="8">
        <f>athero!AZ37/athero!$F37</f>
        <v>1.4510446226217456E-2</v>
      </c>
      <c r="BA37" s="8">
        <f>athero!BA37/athero!$F37</f>
        <v>0.13697792675262346</v>
      </c>
      <c r="BB37" s="8">
        <f>athero!BB37/athero!$F37</f>
        <v>8.9054792694307425E-2</v>
      </c>
      <c r="BC37" s="8">
        <f>athero!BC37/athero!$F37</f>
        <v>1.6950120936256118E-4</v>
      </c>
    </row>
    <row r="38" spans="1:55" ht="33.950000000000003">
      <c r="A38" s="5">
        <v>1309</v>
      </c>
      <c r="B38" s="6" t="s">
        <v>108</v>
      </c>
      <c r="C38" s="8" t="s">
        <v>236</v>
      </c>
      <c r="D38" s="8">
        <v>23831</v>
      </c>
      <c r="E38" s="8">
        <v>22120</v>
      </c>
      <c r="F38" s="8">
        <v>20852</v>
      </c>
      <c r="G38" s="8">
        <f>athero!G38/athero!$F38</f>
        <v>0.62104354498369463</v>
      </c>
      <c r="H38" s="8">
        <f>athero!H38/athero!$F38</f>
        <v>1.0886245923652407E-2</v>
      </c>
      <c r="I38" s="8">
        <f>athero!I38/athero!$F38</f>
        <v>1.0886245923652407E-2</v>
      </c>
      <c r="J38" s="8">
        <f>athero!J38/athero!$F38</f>
        <v>1.0070976405140994E-2</v>
      </c>
      <c r="K38" s="8">
        <f>athero!K38/athero!$F38</f>
        <v>1.0070976405140994E-2</v>
      </c>
      <c r="L38" s="8">
        <f>athero!L38/athero!$F38</f>
        <v>1.0070976405140994E-2</v>
      </c>
      <c r="M38" s="8">
        <f>athero!M38/athero!$F38</f>
        <v>1.3907538845194705E-3</v>
      </c>
      <c r="N38" s="8">
        <f>athero!N38/athero!$F38</f>
        <v>7.2415116056013815E-3</v>
      </c>
      <c r="O38" s="8">
        <f>athero!O38/athero!$F38</f>
        <v>5.7548436600805678E-4</v>
      </c>
      <c r="P38" s="8">
        <f>athero!P38/athero!$F38</f>
        <v>0</v>
      </c>
      <c r="Q38" s="8">
        <f>athero!Q38/athero!$F38</f>
        <v>0.30529445616727413</v>
      </c>
      <c r="R38" s="8">
        <f>athero!R38/athero!$F38</f>
        <v>3.7262612699021674E-2</v>
      </c>
      <c r="S38" s="8">
        <f>athero!S38/athero!$F38</f>
        <v>0.25513140226357184</v>
      </c>
      <c r="T38" s="8">
        <f>athero!T38/athero!$F38</f>
        <v>8.1526951851141373E-3</v>
      </c>
      <c r="U38" s="8">
        <f>athero!U38/athero!$F38</f>
        <v>7.5292537886054098E-3</v>
      </c>
      <c r="V38" s="8">
        <f>athero!V38/athero!$F38</f>
        <v>1.7120659888739689E-2</v>
      </c>
      <c r="W38" s="8">
        <f>athero!W38/athero!$F38</f>
        <v>0.10425858430845962</v>
      </c>
      <c r="X38" s="8">
        <f>athero!X38/athero!$F38</f>
        <v>5.7068866295798965E-3</v>
      </c>
      <c r="Y38" s="8">
        <f>athero!Y38/athero!$F38</f>
        <v>4.316132745060426E-3</v>
      </c>
      <c r="Z38" s="8">
        <f>athero!Z38/athero!$F38</f>
        <v>5.3711874160751967E-2</v>
      </c>
      <c r="AA38" s="8">
        <f>athero!AA38/athero!$F38</f>
        <v>7.0017264530980242E-3</v>
      </c>
      <c r="AB38" s="8">
        <f>athero!AB38/athero!$F38</f>
        <v>4.1434874352580087E-2</v>
      </c>
      <c r="AC38" s="8">
        <f>athero!AC38/athero!$F38</f>
        <v>8.6322654901208517E-4</v>
      </c>
      <c r="AD38" s="8">
        <f>athero!AD38/athero!$F38</f>
        <v>3.8605409553040475E-2</v>
      </c>
      <c r="AE38" s="8">
        <f>athero!AE38/athero!$F38</f>
        <v>7.8457701899098412E-2</v>
      </c>
      <c r="AF38" s="8">
        <f>athero!AF38/athero!$F38</f>
        <v>3.8365624400537121E-4</v>
      </c>
      <c r="AG38" s="8">
        <f>athero!AG38/athero!$F38</f>
        <v>0.29584692115864186</v>
      </c>
      <c r="AH38" s="8">
        <f>athero!AH38/athero!$F38</f>
        <v>0.26803184346825243</v>
      </c>
      <c r="AI38" s="8">
        <f>athero!AI38/athero!$F38</f>
        <v>1.9182812200268559E-3</v>
      </c>
      <c r="AJ38" s="8">
        <f>athero!AJ38/athero!$F38</f>
        <v>2.541722616535584E-3</v>
      </c>
      <c r="AK38" s="8">
        <f>athero!AK38/athero!$F38</f>
        <v>0.25340494916554768</v>
      </c>
      <c r="AL38" s="8">
        <f>athero!AL38/athero!$F38</f>
        <v>0.13547861116439669</v>
      </c>
      <c r="AM38" s="8">
        <f>athero!AM38/athero!$F38</f>
        <v>9.1118357951275656E-4</v>
      </c>
      <c r="AN38" s="8">
        <f>athero!AN38/athero!$F38</f>
        <v>3.9756378285056591E-2</v>
      </c>
      <c r="AO38" s="8">
        <f>athero!AO38/athero!$F38</f>
        <v>1.7024745827738347E-2</v>
      </c>
      <c r="AP38" s="8">
        <f>athero!AP38/athero!$F38</f>
        <v>2.0285823901784003E-2</v>
      </c>
      <c r="AQ38" s="8">
        <f>athero!AQ38/athero!$F38</f>
        <v>9.1454057164780361E-2</v>
      </c>
      <c r="AR38" s="8">
        <f>athero!AR38/athero!$F38</f>
        <v>9.0878572798772303E-2</v>
      </c>
      <c r="AS38" s="8">
        <f>athero!AS38/athero!$F38</f>
        <v>2.5129483982351812E-2</v>
      </c>
      <c r="AT38" s="8">
        <f>athero!AT38/athero!$F38</f>
        <v>3.2610780740456552E-3</v>
      </c>
      <c r="AU38" s="8">
        <f>athero!AU38/athero!$F38</f>
        <v>9.8168041434874356E-2</v>
      </c>
      <c r="AV38" s="8">
        <f>athero!AV38/athero!$F38</f>
        <v>2.0717437176290043E-2</v>
      </c>
      <c r="AW38" s="8">
        <f>athero!AW38/athero!$F38</f>
        <v>3.3569921350469979E-3</v>
      </c>
      <c r="AX38" s="8">
        <f>athero!AX38/athero!$F38</f>
        <v>2.7575292537886053E-2</v>
      </c>
      <c r="AY38" s="8">
        <f>athero!AY38/athero!$F38</f>
        <v>2.6855937080375982E-3</v>
      </c>
      <c r="AZ38" s="8">
        <f>athero!AZ38/athero!$F38</f>
        <v>2.4122386341837714E-2</v>
      </c>
      <c r="BA38" s="8">
        <f>athero!BA38/athero!$F38</f>
        <v>6.766737003644735E-2</v>
      </c>
      <c r="BB38" s="8">
        <f>athero!BB38/athero!$F38</f>
        <v>4.2489929023594858E-2</v>
      </c>
      <c r="BC38" s="8">
        <f>athero!BC38/athero!$F38</f>
        <v>1.1030117015154422E-3</v>
      </c>
    </row>
    <row r="39" spans="1:55" ht="33.950000000000003">
      <c r="A39" s="5">
        <v>1315</v>
      </c>
      <c r="B39" s="6" t="s">
        <v>109</v>
      </c>
      <c r="C39" s="8" t="s">
        <v>237</v>
      </c>
      <c r="D39" s="8">
        <v>150567</v>
      </c>
      <c r="E39" s="8">
        <v>146792</v>
      </c>
      <c r="F39" s="8">
        <v>145799</v>
      </c>
      <c r="G39" s="8">
        <f>athero!G39/athero!$F39</f>
        <v>0.81231009814882127</v>
      </c>
      <c r="H39" s="8">
        <f>athero!H39/athero!$F39</f>
        <v>8.6420345818558422E-4</v>
      </c>
      <c r="I39" s="8">
        <f>athero!I39/athero!$F39</f>
        <v>8.5734470058093681E-4</v>
      </c>
      <c r="J39" s="8">
        <f>athero!J39/athero!$F39</f>
        <v>8.0933339734840426E-4</v>
      </c>
      <c r="K39" s="8">
        <f>athero!K39/athero!$F39</f>
        <v>8.0933339734840426E-4</v>
      </c>
      <c r="L39" s="8">
        <f>athero!L39/athero!$F39</f>
        <v>8.0933339734840426E-4</v>
      </c>
      <c r="M39" s="8">
        <f>athero!M39/athero!$F39</f>
        <v>3.7037291065096468E-4</v>
      </c>
      <c r="N39" s="8">
        <f>athero!N39/athero!$F39</f>
        <v>2.8120906179054727E-4</v>
      </c>
      <c r="O39" s="8">
        <f>athero!O39/athero!$F39</f>
        <v>0</v>
      </c>
      <c r="P39" s="8">
        <f>athero!P39/athero!$F39</f>
        <v>6.8587576046474943E-6</v>
      </c>
      <c r="Q39" s="8">
        <f>athero!Q39/athero!$F39</f>
        <v>0.35702576835232064</v>
      </c>
      <c r="R39" s="8">
        <f>athero!R39/athero!$F39</f>
        <v>3.8806850527095524E-2</v>
      </c>
      <c r="S39" s="8">
        <f>athero!S39/athero!$F39</f>
        <v>0.31377444289741357</v>
      </c>
      <c r="T39" s="8">
        <f>athero!T39/athero!$F39</f>
        <v>7.4074582130192936E-3</v>
      </c>
      <c r="U39" s="8">
        <f>athero!U39/athero!$F39</f>
        <v>3.5939889848352869E-3</v>
      </c>
      <c r="V39" s="8">
        <f>athero!V39/athero!$F39</f>
        <v>1.3264837207388254E-2</v>
      </c>
      <c r="W39" s="8">
        <f>athero!W39/athero!$F39</f>
        <v>0.17344426230632584</v>
      </c>
      <c r="X39" s="8">
        <f>athero!X39/athero!$F39</f>
        <v>2.8991968394844959E-2</v>
      </c>
      <c r="Y39" s="8">
        <f>athero!Y39/athero!$F39</f>
        <v>2.7496759237031803E-2</v>
      </c>
      <c r="Z39" s="8">
        <f>athero!Z39/athero!$F39</f>
        <v>2.7688804449961933E-2</v>
      </c>
      <c r="AA39" s="8">
        <f>athero!AA39/athero!$F39</f>
        <v>3.4362375599283944E-3</v>
      </c>
      <c r="AB39" s="8">
        <f>athero!AB39/athero!$F39</f>
        <v>2.2098917002174225E-2</v>
      </c>
      <c r="AC39" s="8">
        <f>athero!AC39/athero!$F39</f>
        <v>1.0013786102785341E-3</v>
      </c>
      <c r="AD39" s="8">
        <f>athero!AD39/athero!$F39</f>
        <v>2.0144171084849689E-2</v>
      </c>
      <c r="AE39" s="8">
        <f>athero!AE39/athero!$F39</f>
        <v>0.1004396463624579</v>
      </c>
      <c r="AF39" s="8">
        <f>athero!AF39/athero!$F39</f>
        <v>1.8930170988827083E-3</v>
      </c>
      <c r="AG39" s="8">
        <f>athero!AG39/athero!$F39</f>
        <v>0.44818551567569048</v>
      </c>
      <c r="AH39" s="8">
        <f>athero!AH39/athero!$F39</f>
        <v>0.42203993168677428</v>
      </c>
      <c r="AI39" s="8">
        <f>athero!AI39/athero!$F39</f>
        <v>1.6598193403246937E-3</v>
      </c>
      <c r="AJ39" s="8">
        <f>athero!AJ39/athero!$F39</f>
        <v>1.289446429673729E-3</v>
      </c>
      <c r="AK39" s="8">
        <f>athero!AK39/athero!$F39</f>
        <v>0.41137456361154739</v>
      </c>
      <c r="AL39" s="8">
        <f>athero!AL39/athero!$F39</f>
        <v>0.28283458734284872</v>
      </c>
      <c r="AM39" s="8">
        <f>athero!AM39/athero!$F39</f>
        <v>1.3717515209294988E-3</v>
      </c>
      <c r="AN39" s="8">
        <f>athero!AN39/athero!$F39</f>
        <v>0.17550188958772009</v>
      </c>
      <c r="AO39" s="8">
        <f>athero!AO39/athero!$F39</f>
        <v>8.4582198780512902E-2</v>
      </c>
      <c r="AP39" s="8">
        <f>athero!AP39/athero!$F39</f>
        <v>7.3059486004705104E-2</v>
      </c>
      <c r="AQ39" s="8">
        <f>athero!AQ39/athero!$F39</f>
        <v>7.8923723756678721E-2</v>
      </c>
      <c r="AR39" s="8">
        <f>athero!AR39/athero!$F39</f>
        <v>7.4637000253774025E-2</v>
      </c>
      <c r="AS39" s="8">
        <f>athero!AS39/athero!$F39</f>
        <v>1.2716136599016454E-2</v>
      </c>
      <c r="AT39" s="8">
        <f>athero!AT39/athero!$F39</f>
        <v>6.8107463014149619E-3</v>
      </c>
      <c r="AU39" s="8">
        <f>athero!AU39/athero!$F39</f>
        <v>0.104698934834944</v>
      </c>
      <c r="AV39" s="8">
        <f>athero!AV39/athero!$F39</f>
        <v>8.5803057634140159E-3</v>
      </c>
      <c r="AW39" s="8">
        <f>athero!AW39/athero!$F39</f>
        <v>2.8463844059287099E-3</v>
      </c>
      <c r="AX39" s="8">
        <f>athero!AX39/athero!$F39</f>
        <v>5.2833009828599647E-2</v>
      </c>
      <c r="AY39" s="8">
        <f>athero!AY39/athero!$F39</f>
        <v>4.1358308356024389E-3</v>
      </c>
      <c r="AZ39" s="8">
        <f>athero!AZ39/athero!$F39</f>
        <v>4.5850794587068498E-2</v>
      </c>
      <c r="BA39" s="8">
        <f>athero!BA39/athero!$F39</f>
        <v>4.6214308740114812E-2</v>
      </c>
      <c r="BB39" s="8">
        <f>athero!BB39/athero!$F39</f>
        <v>2.4677809861521682E-2</v>
      </c>
      <c r="BC39" s="8">
        <f>athero!BC39/athero!$F39</f>
        <v>6.8587576046474937E-5</v>
      </c>
    </row>
    <row r="40" spans="1:55" ht="33.950000000000003">
      <c r="A40" s="5">
        <v>1321</v>
      </c>
      <c r="B40" s="6" t="s">
        <v>110</v>
      </c>
      <c r="C40" s="8" t="s">
        <v>238</v>
      </c>
      <c r="D40" s="8">
        <v>202436</v>
      </c>
      <c r="E40" s="8">
        <v>196874</v>
      </c>
      <c r="F40" s="8">
        <v>194481</v>
      </c>
      <c r="G40" s="8">
        <f>athero!G40/athero!$F40</f>
        <v>0.9045253778004021</v>
      </c>
      <c r="H40" s="8">
        <f>athero!H40/athero!$F40</f>
        <v>7.4557411778014299E-4</v>
      </c>
      <c r="I40" s="8">
        <f>athero!I40/athero!$F40</f>
        <v>7.352903368452445E-4</v>
      </c>
      <c r="J40" s="8">
        <f>athero!J40/athero!$F40</f>
        <v>6.8901332263820113E-4</v>
      </c>
      <c r="K40" s="8">
        <f>athero!K40/athero!$F40</f>
        <v>6.8387143217075194E-4</v>
      </c>
      <c r="L40" s="8">
        <f>athero!L40/athero!$F40</f>
        <v>6.8387143217075194E-4</v>
      </c>
      <c r="M40" s="8">
        <f>athero!M40/athero!$F40</f>
        <v>1.6968238542582566E-4</v>
      </c>
      <c r="N40" s="8">
        <f>athero!N40/athero!$F40</f>
        <v>3.5479044225399911E-4</v>
      </c>
      <c r="O40" s="8">
        <f>athero!O40/athero!$F40</f>
        <v>0</v>
      </c>
      <c r="P40" s="8">
        <f>athero!P40/athero!$F40</f>
        <v>1.5425671402347786E-5</v>
      </c>
      <c r="Q40" s="8">
        <f>athero!Q40/athero!$F40</f>
        <v>0.42390773391745207</v>
      </c>
      <c r="R40" s="8">
        <f>athero!R40/athero!$F40</f>
        <v>9.2086116381548844E-2</v>
      </c>
      <c r="S40" s="8">
        <f>athero!S40/athero!$F40</f>
        <v>0.31993870866562801</v>
      </c>
      <c r="T40" s="8">
        <f>athero!T40/athero!$F40</f>
        <v>2.9802397149335923E-2</v>
      </c>
      <c r="U40" s="8">
        <f>athero!U40/athero!$F40</f>
        <v>8.3504301191376015E-3</v>
      </c>
      <c r="V40" s="8">
        <f>athero!V40/athero!$F40</f>
        <v>1.2988415320776837E-2</v>
      </c>
      <c r="W40" s="8">
        <f>athero!W40/athero!$F40</f>
        <v>0.14034790030902761</v>
      </c>
      <c r="X40" s="8">
        <f>athero!X40/athero!$F40</f>
        <v>3.5160247016418053E-2</v>
      </c>
      <c r="Y40" s="8">
        <f>athero!Y40/athero!$F40</f>
        <v>1.5425671402347786E-5</v>
      </c>
      <c r="Z40" s="8">
        <f>athero!Z40/athero!$F40</f>
        <v>2.6984641173173729E-2</v>
      </c>
      <c r="AA40" s="8">
        <f>athero!AA40/athero!$F40</f>
        <v>4.859086491739553E-3</v>
      </c>
      <c r="AB40" s="8">
        <f>athero!AB40/athero!$F40</f>
        <v>2.0588129431666848E-2</v>
      </c>
      <c r="AC40" s="8">
        <f>athero!AC40/athero!$F40</f>
        <v>2.4166885197011534E-3</v>
      </c>
      <c r="AD40" s="8">
        <f>athero!AD40/athero!$F40</f>
        <v>1.7071076351931551E-2</v>
      </c>
      <c r="AE40" s="8">
        <f>athero!AE40/athero!$F40</f>
        <v>0.13989027205742463</v>
      </c>
      <c r="AF40" s="8">
        <f>athero!AF40/athero!$F40</f>
        <v>1.5219995783649816E-3</v>
      </c>
      <c r="AG40" s="8">
        <f>athero!AG40/athero!$F40</f>
        <v>0.47744509746453379</v>
      </c>
      <c r="AH40" s="8">
        <f>athero!AH40/athero!$F40</f>
        <v>0.44175009383950103</v>
      </c>
      <c r="AI40" s="8">
        <f>athero!AI40/athero!$F40</f>
        <v>2.5349520004524862E-3</v>
      </c>
      <c r="AJ40" s="8">
        <f>athero!AJ40/athero!$F40</f>
        <v>1.0695132172294465E-3</v>
      </c>
      <c r="AK40" s="8">
        <f>athero!AK40/athero!$F40</f>
        <v>0.42963579989819056</v>
      </c>
      <c r="AL40" s="8">
        <f>athero!AL40/athero!$F40</f>
        <v>0.31680215548048396</v>
      </c>
      <c r="AM40" s="8">
        <f>athero!AM40/athero!$F40</f>
        <v>7.7642546058483857E-4</v>
      </c>
      <c r="AN40" s="8">
        <f>athero!AN40/athero!$F40</f>
        <v>0.21863832456641008</v>
      </c>
      <c r="AO40" s="8">
        <f>athero!AO40/athero!$F40</f>
        <v>8.321635532519886E-2</v>
      </c>
      <c r="AP40" s="8">
        <f>athero!AP40/athero!$F40</f>
        <v>0.11272566471789018</v>
      </c>
      <c r="AQ40" s="8">
        <f>athero!AQ40/athero!$F40</f>
        <v>7.5328695348131691E-2</v>
      </c>
      <c r="AR40" s="8">
        <f>athero!AR40/athero!$F40</f>
        <v>7.4655107696895845E-2</v>
      </c>
      <c r="AS40" s="8">
        <f>athero!AS40/athero!$F40</f>
        <v>1.8356548968793868E-2</v>
      </c>
      <c r="AT40" s="8">
        <f>athero!AT40/athero!$F40</f>
        <v>7.3426195875175466E-3</v>
      </c>
      <c r="AU40" s="8">
        <f>athero!AU40/athero!$F40</f>
        <v>9.9459587311871087E-2</v>
      </c>
      <c r="AV40" s="8">
        <f>athero!AV40/athero!$F40</f>
        <v>7.106092626014881E-3</v>
      </c>
      <c r="AW40" s="8">
        <f>athero!AW40/athero!$F40</f>
        <v>2.7869046333575003E-3</v>
      </c>
      <c r="AX40" s="8">
        <f>athero!AX40/athero!$F40</f>
        <v>4.8117810994390199E-2</v>
      </c>
      <c r="AY40" s="8">
        <f>athero!AY40/athero!$F40</f>
        <v>8.8440516040127308E-3</v>
      </c>
      <c r="AZ40" s="8">
        <f>athero!AZ40/athero!$F40</f>
        <v>3.5437909101660316E-2</v>
      </c>
      <c r="BA40" s="8">
        <f>athero!BA40/athero!$F40</f>
        <v>4.5197217208879016E-2</v>
      </c>
      <c r="BB40" s="8">
        <f>athero!BB40/athero!$F40</f>
        <v>3.3160051624580293E-2</v>
      </c>
      <c r="BC40" s="8">
        <f>athero!BC40/athero!$F40</f>
        <v>5.1933093721237555E-4</v>
      </c>
    </row>
    <row r="41" spans="1:55">
      <c r="G41" s="8" t="e">
        <f>athero!G41/athero!$F41</f>
        <v>#DIV/0!</v>
      </c>
      <c r="H41" s="8" t="e">
        <f>athero!H41/athero!$F41</f>
        <v>#DIV/0!</v>
      </c>
      <c r="I41" s="8" t="e">
        <f>athero!I41/athero!$F41</f>
        <v>#DIV/0!</v>
      </c>
      <c r="J41" s="8" t="e">
        <f>athero!J41/athero!$F41</f>
        <v>#DIV/0!</v>
      </c>
      <c r="K41" s="8" t="e">
        <f>athero!K41/athero!$F41</f>
        <v>#DIV/0!</v>
      </c>
      <c r="L41" s="8" t="e">
        <f>athero!L41/athero!$F41</f>
        <v>#DIV/0!</v>
      </c>
      <c r="M41" s="8" t="e">
        <f>athero!M41/athero!$F41</f>
        <v>#DIV/0!</v>
      </c>
      <c r="N41" s="8" t="e">
        <f>athero!N41/athero!$F41</f>
        <v>#DIV/0!</v>
      </c>
      <c r="O41" s="8" t="e">
        <f>athero!O41/athero!$F41</f>
        <v>#DIV/0!</v>
      </c>
      <c r="P41" s="8" t="e">
        <f>athero!P41/athero!$F41</f>
        <v>#DIV/0!</v>
      </c>
      <c r="Q41" s="8" t="e">
        <f>athero!Q41/athero!$F41</f>
        <v>#DIV/0!</v>
      </c>
      <c r="R41" s="8" t="e">
        <f>athero!R41/athero!$F41</f>
        <v>#DIV/0!</v>
      </c>
      <c r="S41" s="8" t="e">
        <f>athero!S41/athero!$F41</f>
        <v>#DIV/0!</v>
      </c>
      <c r="T41" s="8" t="e">
        <f>athero!T41/athero!$F41</f>
        <v>#DIV/0!</v>
      </c>
      <c r="U41" s="8" t="e">
        <f>athero!U41/athero!$F41</f>
        <v>#DIV/0!</v>
      </c>
      <c r="V41" s="8" t="e">
        <f>athero!V41/athero!$F41</f>
        <v>#DIV/0!</v>
      </c>
      <c r="W41" s="8" t="e">
        <f>athero!W41/athero!$F41</f>
        <v>#DIV/0!</v>
      </c>
      <c r="X41" s="8" t="e">
        <f>athero!X41/athero!$F41</f>
        <v>#DIV/0!</v>
      </c>
      <c r="Y41" s="8" t="e">
        <f>athero!Y41/athero!$F41</f>
        <v>#DIV/0!</v>
      </c>
      <c r="Z41" s="8" t="e">
        <f>athero!Z41/athero!$F41</f>
        <v>#DIV/0!</v>
      </c>
      <c r="AA41" s="8" t="e">
        <f>athero!AA41/athero!$F41</f>
        <v>#DIV/0!</v>
      </c>
      <c r="AB41" s="8" t="e">
        <f>athero!AB41/athero!$F41</f>
        <v>#DIV/0!</v>
      </c>
      <c r="AC41" s="8" t="e">
        <f>athero!AC41/athero!$F41</f>
        <v>#DIV/0!</v>
      </c>
      <c r="AD41" s="8" t="e">
        <f>athero!AD41/athero!$F41</f>
        <v>#DIV/0!</v>
      </c>
      <c r="AE41" s="8" t="e">
        <f>athero!AE41/athero!$F41</f>
        <v>#DIV/0!</v>
      </c>
      <c r="AF41" s="8" t="e">
        <f>athero!AF41/athero!$F41</f>
        <v>#DIV/0!</v>
      </c>
      <c r="AG41" s="8" t="e">
        <f>athero!AG41/athero!$F41</f>
        <v>#DIV/0!</v>
      </c>
      <c r="AH41" s="8" t="e">
        <f>athero!AH41/athero!$F41</f>
        <v>#DIV/0!</v>
      </c>
      <c r="AI41" s="8" t="e">
        <f>athero!AI41/athero!$F41</f>
        <v>#DIV/0!</v>
      </c>
      <c r="AJ41" s="8" t="e">
        <f>athero!AJ41/athero!$F41</f>
        <v>#DIV/0!</v>
      </c>
      <c r="AK41" s="8" t="e">
        <f>athero!AK41/athero!$F41</f>
        <v>#DIV/0!</v>
      </c>
      <c r="AL41" s="8" t="e">
        <f>athero!AL41/athero!$F41</f>
        <v>#DIV/0!</v>
      </c>
      <c r="AM41" s="8" t="e">
        <f>athero!AM41/athero!$F41</f>
        <v>#DIV/0!</v>
      </c>
      <c r="AN41" s="8" t="e">
        <f>athero!AN41/athero!$F41</f>
        <v>#DIV/0!</v>
      </c>
      <c r="AO41" s="8" t="e">
        <f>athero!AO41/athero!$F41</f>
        <v>#DIV/0!</v>
      </c>
      <c r="AP41" s="8" t="e">
        <f>athero!AP41/athero!$F41</f>
        <v>#DIV/0!</v>
      </c>
      <c r="AQ41" s="8" t="e">
        <f>athero!AQ41/athero!$F41</f>
        <v>#DIV/0!</v>
      </c>
      <c r="AR41" s="8" t="e">
        <f>athero!AR41/athero!$F41</f>
        <v>#DIV/0!</v>
      </c>
      <c r="AS41" s="8" t="e">
        <f>athero!AS41/athero!$F41</f>
        <v>#DIV/0!</v>
      </c>
      <c r="AT41" s="8" t="e">
        <f>athero!AT41/athero!$F41</f>
        <v>#DIV/0!</v>
      </c>
      <c r="AU41" s="8" t="e">
        <f>athero!AU41/athero!$F41</f>
        <v>#DIV/0!</v>
      </c>
      <c r="AV41" s="8" t="e">
        <f>athero!AV41/athero!$F41</f>
        <v>#DIV/0!</v>
      </c>
      <c r="AW41" s="8" t="e">
        <f>athero!AW41/athero!$F41</f>
        <v>#DIV/0!</v>
      </c>
      <c r="AX41" s="8" t="e">
        <f>athero!AX41/athero!$F41</f>
        <v>#DIV/0!</v>
      </c>
      <c r="AY41" s="8" t="e">
        <f>athero!AY41/athero!$F41</f>
        <v>#DIV/0!</v>
      </c>
      <c r="AZ41" s="8" t="e">
        <f>athero!AZ41/athero!$F41</f>
        <v>#DIV/0!</v>
      </c>
      <c r="BA41" s="8" t="e">
        <f>athero!BA41/athero!$F41</f>
        <v>#DIV/0!</v>
      </c>
      <c r="BB41" s="8" t="e">
        <f>athero!BB41/athero!$F41</f>
        <v>#DIV/0!</v>
      </c>
      <c r="BC41" s="8" t="e">
        <f>athero!BC41/athero!$F41</f>
        <v>#DIV/0!</v>
      </c>
    </row>
    <row r="42" spans="1:55" s="11" customFormat="1" ht="17.100000000000001">
      <c r="A42" s="9">
        <v>1156</v>
      </c>
      <c r="B42" s="10" t="s">
        <v>85</v>
      </c>
      <c r="C42" s="11" t="s">
        <v>210</v>
      </c>
      <c r="D42" s="11">
        <v>94953</v>
      </c>
      <c r="E42" s="11">
        <v>87185</v>
      </c>
      <c r="F42" s="11">
        <v>85970</v>
      </c>
      <c r="G42" s="8">
        <f>athero!G42/athero!$F42</f>
        <v>0.64492264743515182</v>
      </c>
      <c r="H42" s="8">
        <f>athero!H42/athero!$F42</f>
        <v>7.4560893334884261E-3</v>
      </c>
      <c r="I42" s="8">
        <f>athero!I42/athero!$F42</f>
        <v>7.1536582528789116E-3</v>
      </c>
      <c r="J42" s="8">
        <f>athero!J42/athero!$F42</f>
        <v>6.5604280562987088E-3</v>
      </c>
      <c r="K42" s="8">
        <f>athero!K42/athero!$F42</f>
        <v>6.4790043038269168E-3</v>
      </c>
      <c r="L42" s="8">
        <f>athero!L42/athero!$F42</f>
        <v>6.385948586716296E-3</v>
      </c>
      <c r="M42" s="8">
        <f>athero!M42/athero!$F42</f>
        <v>1.7680586251017797E-3</v>
      </c>
      <c r="N42" s="8">
        <f>athero!N42/athero!$F42</f>
        <v>3.8850761893683841E-3</v>
      </c>
      <c r="O42" s="8">
        <f>athero!O42/athero!$F42</f>
        <v>7.4444573688495989E-4</v>
      </c>
      <c r="P42" s="8">
        <f>athero!P42/athero!$F42</f>
        <v>1.3958357566592997E-4</v>
      </c>
      <c r="Q42" s="8">
        <f>athero!Q42/athero!$F42</f>
        <v>0.31013144120041874</v>
      </c>
      <c r="R42" s="8">
        <f>athero!R42/athero!$F42</f>
        <v>7.092008840293125E-2</v>
      </c>
      <c r="S42" s="8">
        <f>athero!S42/athero!$F42</f>
        <v>0.22275212283354659</v>
      </c>
      <c r="T42" s="8">
        <f>athero!T42/athero!$F42</f>
        <v>1.5982319413748981E-2</v>
      </c>
      <c r="U42" s="8">
        <f>athero!U42/athero!$F42</f>
        <v>3.3104571362103062E-2</v>
      </c>
      <c r="V42" s="8">
        <f>athero!V42/athero!$F42</f>
        <v>3.2930091892520649E-2</v>
      </c>
      <c r="W42" s="8">
        <f>athero!W42/athero!$F42</f>
        <v>0.10692101896010237</v>
      </c>
      <c r="X42" s="8">
        <f>athero!X42/athero!$F42</f>
        <v>5.2902175177387462E-2</v>
      </c>
      <c r="Y42" s="8">
        <f>athero!Y42/athero!$F42</f>
        <v>5.0692101896010235E-2</v>
      </c>
      <c r="Z42" s="8">
        <f>athero!Z42/athero!$F42</f>
        <v>2.4310806095149472E-2</v>
      </c>
      <c r="AA42" s="8">
        <f>athero!AA42/athero!$F42</f>
        <v>3.1289984878445968E-3</v>
      </c>
      <c r="AB42" s="8">
        <f>athero!AB42/athero!$F42</f>
        <v>1.6424334070024426E-2</v>
      </c>
      <c r="AC42" s="8">
        <f>athero!AC42/athero!$F42</f>
        <v>2.0006979178783298E-3</v>
      </c>
      <c r="AD42" s="8">
        <f>athero!AD42/athero!$F42</f>
        <v>1.3516342910317553E-2</v>
      </c>
      <c r="AE42" s="8">
        <f>athero!AE42/athero!$F42</f>
        <v>7.8620448993835065E-2</v>
      </c>
      <c r="AF42" s="8">
        <f>athero!AF42/athero!$F42</f>
        <v>8.3750145399557989E-4</v>
      </c>
      <c r="AG42" s="8">
        <f>athero!AG42/athero!$F42</f>
        <v>0.30614167732930092</v>
      </c>
      <c r="AH42" s="8">
        <f>athero!AH42/athero!$F42</f>
        <v>0.28475049435849714</v>
      </c>
      <c r="AI42" s="8">
        <f>athero!AI42/athero!$F42</f>
        <v>3.7105967197859717E-3</v>
      </c>
      <c r="AJ42" s="8">
        <f>athero!AJ42/athero!$F42</f>
        <v>3.152262417122252E-3</v>
      </c>
      <c r="AK42" s="8">
        <f>athero!AK42/athero!$F42</f>
        <v>0.26533674537629404</v>
      </c>
      <c r="AL42" s="8">
        <f>athero!AL42/athero!$F42</f>
        <v>0.21137606141677329</v>
      </c>
      <c r="AM42" s="8">
        <f>athero!AM42/athero!$F42</f>
        <v>3.9316040479236945E-3</v>
      </c>
      <c r="AN42" s="8">
        <f>athero!AN42/athero!$F42</f>
        <v>0.10173316273118529</v>
      </c>
      <c r="AO42" s="8">
        <f>athero!AO42/athero!$F42</f>
        <v>4.8737931836687218E-2</v>
      </c>
      <c r="AP42" s="8">
        <f>athero!AP42/athero!$F42</f>
        <v>4.6144003722228683E-2</v>
      </c>
      <c r="AQ42" s="8">
        <f>athero!AQ42/athero!$F42</f>
        <v>8.6111434221239971E-2</v>
      </c>
      <c r="AR42" s="8">
        <f>athero!AR42/athero!$F42</f>
        <v>8.4401535419332319E-2</v>
      </c>
      <c r="AS42" s="8">
        <f>athero!AS42/athero!$F42</f>
        <v>4.7237408398278467E-2</v>
      </c>
      <c r="AT42" s="8">
        <f>athero!AT42/athero!$F42</f>
        <v>2.6392927765499594E-2</v>
      </c>
      <c r="AU42" s="8">
        <f>athero!AU42/athero!$F42</f>
        <v>4.3282540421077119E-2</v>
      </c>
      <c r="AV42" s="8">
        <f>athero!AV42/athero!$F42</f>
        <v>2.500872397347912E-2</v>
      </c>
      <c r="AW42" s="8">
        <f>athero!AW42/athero!$F42</f>
        <v>1.120158194719088E-2</v>
      </c>
      <c r="AX42" s="8">
        <f>athero!AX42/athero!$F42</f>
        <v>8.9100849133418626E-3</v>
      </c>
      <c r="AY42" s="8">
        <f>athero!AY42/athero!$F42</f>
        <v>2.6288240083750147E-3</v>
      </c>
      <c r="AZ42" s="8">
        <f>athero!AZ42/athero!$F42</f>
        <v>6.0369896475514712E-3</v>
      </c>
      <c r="BA42" s="8">
        <f>athero!BA42/athero!$F42</f>
        <v>2.7870187274630684E-2</v>
      </c>
      <c r="BB42" s="8">
        <f>athero!BB42/athero!$F42</f>
        <v>2.1216703501221356E-2</v>
      </c>
      <c r="BC42" s="8">
        <f>athero!BC42/athero!$F42</f>
        <v>1.7447946958241246E-4</v>
      </c>
    </row>
    <row r="43" spans="1:55" s="11" customFormat="1" ht="51">
      <c r="A43" s="9">
        <v>1158</v>
      </c>
      <c r="B43" s="10" t="s">
        <v>87</v>
      </c>
      <c r="C43" s="11" t="s">
        <v>212</v>
      </c>
      <c r="D43" s="11">
        <v>214097</v>
      </c>
      <c r="E43" s="11">
        <v>190556</v>
      </c>
      <c r="F43" s="11">
        <v>189560</v>
      </c>
      <c r="G43" s="8">
        <f>athero!G43/athero!$F43</f>
        <v>0.65764401772525849</v>
      </c>
      <c r="H43" s="8">
        <f>athero!H43/athero!$F43</f>
        <v>1.2713652669339524E-3</v>
      </c>
      <c r="I43" s="8">
        <f>athero!I43/athero!$F43</f>
        <v>1.2397130196243934E-3</v>
      </c>
      <c r="J43" s="8">
        <f>athero!J43/athero!$F43</f>
        <v>1.1711331504536823E-3</v>
      </c>
      <c r="K43" s="8">
        <f>athero!K43/athero!$F43</f>
        <v>1.1447562776957165E-3</v>
      </c>
      <c r="L43" s="8">
        <f>athero!L43/athero!$F43</f>
        <v>1.0972779067313779E-3</v>
      </c>
      <c r="M43" s="8">
        <f>athero!M43/athero!$F43</f>
        <v>2.9542097488921711E-4</v>
      </c>
      <c r="N43" s="8">
        <f>athero!N43/athero!$F43</f>
        <v>4.0092846592108041E-4</v>
      </c>
      <c r="O43" s="8">
        <f>athero!O43/athero!$F43</f>
        <v>5.2753745515931628E-6</v>
      </c>
      <c r="P43" s="8">
        <f>athero!P43/athero!$F43</f>
        <v>5.2753745515931628E-6</v>
      </c>
      <c r="Q43" s="8">
        <f>athero!Q43/athero!$F43</f>
        <v>0.25556552015193079</v>
      </c>
      <c r="R43" s="8">
        <f>athero!R43/athero!$F43</f>
        <v>3.6737708377294787E-2</v>
      </c>
      <c r="S43" s="8">
        <f>athero!S43/athero!$F43</f>
        <v>0.2137265245832454</v>
      </c>
      <c r="T43" s="8">
        <f>athero!T43/athero!$F43</f>
        <v>1.2270521207005697E-2</v>
      </c>
      <c r="U43" s="8">
        <f>athero!U43/athero!$F43</f>
        <v>1.2439333192656679E-2</v>
      </c>
      <c r="V43" s="8">
        <f>athero!V43/athero!$F43</f>
        <v>1.9634944081029754E-2</v>
      </c>
      <c r="W43" s="8">
        <f>athero!W43/athero!$F43</f>
        <v>8.2559611732433008E-2</v>
      </c>
      <c r="X43" s="8">
        <f>athero!X43/athero!$F43</f>
        <v>2.4045157206161637E-2</v>
      </c>
      <c r="Y43" s="8">
        <f>athero!Y43/athero!$F43</f>
        <v>2.2504747837096432E-2</v>
      </c>
      <c r="Z43" s="8">
        <f>athero!Z43/athero!$F43</f>
        <v>2.1613209537877189E-2</v>
      </c>
      <c r="AA43" s="8">
        <f>athero!AA43/athero!$F43</f>
        <v>3.2127031019202365E-3</v>
      </c>
      <c r="AB43" s="8">
        <f>athero!AB43/athero!$F43</f>
        <v>1.6812618695927411E-2</v>
      </c>
      <c r="AC43" s="8">
        <f>athero!AC43/athero!$F43</f>
        <v>1.2449883941759866E-3</v>
      </c>
      <c r="AD43" s="8">
        <f>athero!AD43/athero!$F43</f>
        <v>1.4254062038404727E-2</v>
      </c>
      <c r="AE43" s="8">
        <f>athero!AE43/athero!$F43</f>
        <v>8.9855454737286344E-2</v>
      </c>
      <c r="AF43" s="8">
        <f>athero!AF43/athero!$F43</f>
        <v>9.231905465288035E-4</v>
      </c>
      <c r="AG43" s="8">
        <f>athero!AG43/athero!$F43</f>
        <v>0.3846381093057607</v>
      </c>
      <c r="AH43" s="8">
        <f>athero!AH43/athero!$F43</f>
        <v>0.34819582190335513</v>
      </c>
      <c r="AI43" s="8">
        <f>athero!AI43/athero!$F43</f>
        <v>5.8873179995779703E-3</v>
      </c>
      <c r="AJ43" s="8">
        <f>athero!AJ43/athero!$F43</f>
        <v>1.4502004642329605E-2</v>
      </c>
      <c r="AK43" s="8">
        <f>athero!AK43/athero!$F43</f>
        <v>0.3028539776324119</v>
      </c>
      <c r="AL43" s="8">
        <f>athero!AL43/athero!$F43</f>
        <v>0.19222409791095169</v>
      </c>
      <c r="AM43" s="8">
        <f>athero!AM43/athero!$F43</f>
        <v>1.4929309981008651E-3</v>
      </c>
      <c r="AN43" s="8">
        <f>athero!AN43/athero!$F43</f>
        <v>0.12937328550327074</v>
      </c>
      <c r="AO43" s="8">
        <f>athero!AO43/athero!$F43</f>
        <v>5.8809875501160583E-2</v>
      </c>
      <c r="AP43" s="8">
        <f>athero!AP43/athero!$F43</f>
        <v>6.3394175986495035E-2</v>
      </c>
      <c r="AQ43" s="8">
        <f>athero!AQ43/athero!$F43</f>
        <v>4.6075121333614688E-2</v>
      </c>
      <c r="AR43" s="8">
        <f>athero!AR43/athero!$F43</f>
        <v>4.5231061405359783E-2</v>
      </c>
      <c r="AS43" s="8">
        <f>athero!AS43/athero!$F43</f>
        <v>4.3247520573960752E-2</v>
      </c>
      <c r="AT43" s="8">
        <f>athero!AT43/athero!$F43</f>
        <v>2.850284870225786E-2</v>
      </c>
      <c r="AU43" s="8">
        <f>athero!AU43/athero!$F43</f>
        <v>9.3126186959274104E-2</v>
      </c>
      <c r="AV43" s="8">
        <f>athero!AV43/athero!$F43</f>
        <v>3.0175142435112892E-2</v>
      </c>
      <c r="AW43" s="8">
        <f>athero!AW43/athero!$F43</f>
        <v>1.9872335935851446E-2</v>
      </c>
      <c r="AX43" s="8">
        <f>athero!AX43/athero!$F43</f>
        <v>6.4844903988183156E-2</v>
      </c>
      <c r="AY43" s="8">
        <f>athero!AY43/athero!$F43</f>
        <v>7.4857564887106983E-3</v>
      </c>
      <c r="AZ43" s="8">
        <f>athero!AZ43/athero!$F43</f>
        <v>5.6198565098121968E-2</v>
      </c>
      <c r="BA43" s="8">
        <f>athero!BA43/athero!$F43</f>
        <v>2.1296687064781598E-2</v>
      </c>
      <c r="BB43" s="8">
        <f>athero!BB43/athero!$F43</f>
        <v>1.6580502215657312E-2</v>
      </c>
      <c r="BC43" s="8">
        <f>athero!BC43/athero!$F43</f>
        <v>2.5321797847647186E-4</v>
      </c>
    </row>
    <row r="44" spans="1:55" s="11" customFormat="1" ht="33.950000000000003">
      <c r="A44" s="9">
        <v>1040</v>
      </c>
      <c r="B44" s="10" t="s">
        <v>54</v>
      </c>
      <c r="C44" s="11" t="s">
        <v>183</v>
      </c>
      <c r="D44" s="11">
        <v>69173</v>
      </c>
      <c r="E44" s="11">
        <v>66483</v>
      </c>
      <c r="F44" s="11">
        <v>62058</v>
      </c>
      <c r="G44" s="8">
        <f>athero!G44/athero!$F44</f>
        <v>0.64127106899996777</v>
      </c>
      <c r="H44" s="8">
        <f>athero!H44/athero!$F44</f>
        <v>1.4712043572142189E-2</v>
      </c>
      <c r="I44" s="8">
        <f>athero!I44/athero!$F44</f>
        <v>1.4341422540204325E-2</v>
      </c>
      <c r="J44" s="8">
        <f>athero!J44/athero!$F44</f>
        <v>1.2762254664990815E-2</v>
      </c>
      <c r="K44" s="8">
        <f>athero!K44/athero!$F44</f>
        <v>1.2746140707080474E-2</v>
      </c>
      <c r="L44" s="8">
        <f>athero!L44/athero!$F44</f>
        <v>1.2697798833349446E-2</v>
      </c>
      <c r="M44" s="8">
        <f>athero!M44/athero!$F44</f>
        <v>2.5298913919236843E-3</v>
      </c>
      <c r="N44" s="8">
        <f>athero!N44/athero!$F44</f>
        <v>8.6048535241225951E-3</v>
      </c>
      <c r="O44" s="8">
        <f>athero!O44/athero!$F44</f>
        <v>8.5403976924812268E-4</v>
      </c>
      <c r="P44" s="8">
        <f>athero!P44/athero!$F44</f>
        <v>2.094814528344452E-4</v>
      </c>
      <c r="Q44" s="8">
        <f>athero!Q44/athero!$F44</f>
        <v>0.36465886751103804</v>
      </c>
      <c r="R44" s="8">
        <f>athero!R44/athero!$F44</f>
        <v>3.4177704727835254E-2</v>
      </c>
      <c r="S44" s="8">
        <f>athero!S44/athero!$F44</f>
        <v>0.32696831995874825</v>
      </c>
      <c r="T44" s="8">
        <f>athero!T44/athero!$F44</f>
        <v>1.5856134583776466E-2</v>
      </c>
      <c r="U44" s="8">
        <f>athero!U44/athero!$F44</f>
        <v>1.6323439363176383E-2</v>
      </c>
      <c r="V44" s="8">
        <f>athero!V44/athero!$F44</f>
        <v>1.6097843952431596E-2</v>
      </c>
      <c r="W44" s="8">
        <f>athero!W44/athero!$F44</f>
        <v>0.19426987656708242</v>
      </c>
      <c r="X44" s="8">
        <f>athero!X44/athero!$F44</f>
        <v>4.9453736826839408E-2</v>
      </c>
      <c r="Y44" s="8">
        <f>athero!Y44/athero!$F44</f>
        <v>4.8551355183860258E-2</v>
      </c>
      <c r="Z44" s="8">
        <f>athero!Z44/athero!$F44</f>
        <v>5.1226272196977021E-2</v>
      </c>
      <c r="AA44" s="8">
        <f>athero!AA44/athero!$F44</f>
        <v>7.0256856489090847E-3</v>
      </c>
      <c r="AB44" s="8">
        <f>athero!AB44/athero!$F44</f>
        <v>3.7980598794675947E-2</v>
      </c>
      <c r="AC44" s="8">
        <f>athero!AC44/athero!$F44</f>
        <v>1.2085468432756453E-3</v>
      </c>
      <c r="AD44" s="8">
        <f>athero!AD44/athero!$F44</f>
        <v>3.150278771471849E-2</v>
      </c>
      <c r="AE44" s="8">
        <f>athero!AE44/athero!$F44</f>
        <v>6.0959102774823554E-2</v>
      </c>
      <c r="AF44" s="8">
        <f>athero!AF44/athero!$F44</f>
        <v>7.7346997969641302E-4</v>
      </c>
      <c r="AG44" s="8">
        <f>athero!AG44/athero!$F44</f>
        <v>0.24652744207032132</v>
      </c>
      <c r="AH44" s="8">
        <f>athero!AH44/athero!$F44</f>
        <v>0.23816429791485386</v>
      </c>
      <c r="AI44" s="8">
        <f>athero!AI44/athero!$F44</f>
        <v>3.0777659608753104E-3</v>
      </c>
      <c r="AJ44" s="8">
        <f>athero!AJ44/athero!$F44</f>
        <v>4.6408198781784779E-3</v>
      </c>
      <c r="AK44" s="8">
        <f>athero!AK44/athero!$F44</f>
        <v>0.21690998743111284</v>
      </c>
      <c r="AL44" s="8">
        <f>athero!AL44/athero!$F44</f>
        <v>0.11992007476876471</v>
      </c>
      <c r="AM44" s="8">
        <f>athero!AM44/athero!$F44</f>
        <v>5.8010248477230973E-4</v>
      </c>
      <c r="AN44" s="8">
        <f>athero!AN44/athero!$F44</f>
        <v>7.4027522640110865E-2</v>
      </c>
      <c r="AO44" s="8">
        <f>athero!AO44/athero!$F44</f>
        <v>2.0899803409713494E-2</v>
      </c>
      <c r="AP44" s="8">
        <f>athero!AP44/athero!$F44</f>
        <v>4.7600631667150083E-2</v>
      </c>
      <c r="AQ44" s="8">
        <f>athero!AQ44/athero!$F44</f>
        <v>3.5515163234393632E-2</v>
      </c>
      <c r="AR44" s="8">
        <f>athero!AR44/athero!$F44</f>
        <v>3.522511199200748E-2</v>
      </c>
      <c r="AS44" s="8">
        <f>athero!AS44/athero!$F44</f>
        <v>1.0699668052467047E-2</v>
      </c>
      <c r="AT44" s="8">
        <f>athero!AT44/athero!$F44</f>
        <v>3.3033613716200974E-3</v>
      </c>
      <c r="AU44" s="8">
        <f>athero!AU44/athero!$F44</f>
        <v>8.0779271004544143E-2</v>
      </c>
      <c r="AV44" s="8">
        <f>athero!AV44/athero!$F44</f>
        <v>2.8296110090560444E-2</v>
      </c>
      <c r="AW44" s="8">
        <f>athero!AW44/athero!$F44</f>
        <v>1.9175609913306907E-3</v>
      </c>
      <c r="AX44" s="8">
        <f>athero!AX44/athero!$F44</f>
        <v>1.6258983531535015E-2</v>
      </c>
      <c r="AY44" s="8">
        <f>athero!AY44/athero!$F44</f>
        <v>9.4588932933707178E-3</v>
      </c>
      <c r="AZ44" s="8">
        <f>athero!AZ44/athero!$F44</f>
        <v>5.6559992265300205E-3</v>
      </c>
      <c r="BA44" s="8">
        <f>athero!BA44/athero!$F44</f>
        <v>5.8654806793644654E-2</v>
      </c>
      <c r="BB44" s="8">
        <f>athero!BB44/athero!$F44</f>
        <v>4.1509555577040835E-2</v>
      </c>
      <c r="BC44" s="8">
        <f>athero!BC44/athero!$F44</f>
        <v>1.1279770537239356E-4</v>
      </c>
    </row>
    <row r="45" spans="1:55" s="11" customFormat="1" ht="33.950000000000003">
      <c r="A45" s="9">
        <v>1154</v>
      </c>
      <c r="B45" s="10" t="s">
        <v>83</v>
      </c>
      <c r="C45" s="11" t="s">
        <v>208</v>
      </c>
      <c r="D45" s="11">
        <v>105939</v>
      </c>
      <c r="E45" s="11">
        <v>97892</v>
      </c>
      <c r="F45" s="11">
        <v>91684</v>
      </c>
      <c r="G45" s="8">
        <f>athero!G45/athero!$F45</f>
        <v>0.66018062039178049</v>
      </c>
      <c r="H45" s="8">
        <f>athero!H45/athero!$F45</f>
        <v>3.6538545438680684E-3</v>
      </c>
      <c r="I45" s="8">
        <f>athero!I45/athero!$F45</f>
        <v>3.5011561450198508E-3</v>
      </c>
      <c r="J45" s="8">
        <f>athero!J45/athero!$F45</f>
        <v>3.3593647746607913E-3</v>
      </c>
      <c r="K45" s="8">
        <f>athero!K45/athero!$F45</f>
        <v>3.3048296322149995E-3</v>
      </c>
      <c r="L45" s="8">
        <f>athero!L45/athero!$F45</f>
        <v>3.2939226037258409E-3</v>
      </c>
      <c r="M45" s="8">
        <f>athero!M45/athero!$F45</f>
        <v>1.1561450198507919E-3</v>
      </c>
      <c r="N45" s="8">
        <f>athero!N45/athero!$F45</f>
        <v>1.4615418175472274E-3</v>
      </c>
      <c r="O45" s="8">
        <f>athero!O45/athero!$F45</f>
        <v>2.1814056978316828E-5</v>
      </c>
      <c r="P45" s="8">
        <f>athero!P45/athero!$F45</f>
        <v>3.272108546747524E-5</v>
      </c>
      <c r="Q45" s="8">
        <f>athero!Q45/athero!$F45</f>
        <v>0.35116268923694427</v>
      </c>
      <c r="R45" s="8">
        <f>athero!R45/athero!$F45</f>
        <v>8.1628201212861573E-2</v>
      </c>
      <c r="S45" s="8">
        <f>athero!S45/athero!$F45</f>
        <v>0.2608306792897343</v>
      </c>
      <c r="T45" s="8">
        <f>athero!T45/athero!$F45</f>
        <v>1.5498887483094106E-2</v>
      </c>
      <c r="U45" s="8">
        <f>athero!U45/athero!$F45</f>
        <v>1.9021857685092274E-2</v>
      </c>
      <c r="V45" s="8">
        <f>athero!V45/athero!$F45</f>
        <v>4.1174032546573008E-2</v>
      </c>
      <c r="W45" s="8">
        <f>athero!W45/athero!$F45</f>
        <v>9.7487020636097904E-2</v>
      </c>
      <c r="X45" s="8">
        <f>athero!X45/athero!$F45</f>
        <v>2.0003490249116532E-2</v>
      </c>
      <c r="Y45" s="8">
        <f>athero!Y45/athero!$F45</f>
        <v>1.9643558308974303E-2</v>
      </c>
      <c r="Z45" s="8">
        <f>athero!Z45/athero!$F45</f>
        <v>4.7816412896470484E-2</v>
      </c>
      <c r="AA45" s="8">
        <f>athero!AA45/athero!$F45</f>
        <v>4.351904367174207E-3</v>
      </c>
      <c r="AB45" s="8">
        <f>athero!AB45/athero!$F45</f>
        <v>3.1128659308058113E-2</v>
      </c>
      <c r="AC45" s="8">
        <f>athero!AC45/athero!$F45</f>
        <v>6.1951921818419794E-3</v>
      </c>
      <c r="AD45" s="8">
        <f>athero!AD45/athero!$F45</f>
        <v>2.0745168186379302E-2</v>
      </c>
      <c r="AE45" s="8">
        <f>athero!AE45/athero!$F45</f>
        <v>9.5894594476680778E-2</v>
      </c>
      <c r="AF45" s="8">
        <f>athero!AF45/athero!$F45</f>
        <v>4.9081628201212864E-4</v>
      </c>
      <c r="AG45" s="8">
        <f>athero!AG45/athero!$F45</f>
        <v>0.29976877099602983</v>
      </c>
      <c r="AH45" s="8">
        <f>athero!AH45/athero!$F45</f>
        <v>0.2770712447100912</v>
      </c>
      <c r="AI45" s="8">
        <f>athero!AI45/athero!$F45</f>
        <v>4.3191832817067316E-3</v>
      </c>
      <c r="AJ45" s="8">
        <f>athero!AJ45/athero!$F45</f>
        <v>2.3668251821473757E-3</v>
      </c>
      <c r="AK45" s="8">
        <f>athero!AK45/athero!$F45</f>
        <v>0.25939095152916541</v>
      </c>
      <c r="AL45" s="8">
        <f>athero!AL45/athero!$F45</f>
        <v>0.18220191091139129</v>
      </c>
      <c r="AM45" s="8">
        <f>athero!AM45/athero!$F45</f>
        <v>2.4868024955281183E-3</v>
      </c>
      <c r="AN45" s="8">
        <f>athero!AN45/athero!$F45</f>
        <v>6.9597748789319833E-2</v>
      </c>
      <c r="AO45" s="8">
        <f>athero!AO45/athero!$F45</f>
        <v>1.6131495135465294E-2</v>
      </c>
      <c r="AP45" s="8">
        <f>athero!AP45/athero!$F45</f>
        <v>5.1306662013001179E-2</v>
      </c>
      <c r="AQ45" s="8">
        <f>athero!AQ45/athero!$F45</f>
        <v>9.909035382400419E-2</v>
      </c>
      <c r="AR45" s="8">
        <f>athero!AR45/athero!$F45</f>
        <v>9.0550150516993153E-2</v>
      </c>
      <c r="AS45" s="8">
        <f>athero!AS45/athero!$F45</f>
        <v>3.841455433881593E-2</v>
      </c>
      <c r="AT45" s="8">
        <f>athero!AT45/athero!$F45</f>
        <v>1.1245146372322325E-2</v>
      </c>
      <c r="AU45" s="8">
        <f>athero!AU45/athero!$F45</f>
        <v>6.9630469874787312E-2</v>
      </c>
      <c r="AV45" s="8">
        <f>athero!AV45/athero!$F45</f>
        <v>1.7353082326251035E-2</v>
      </c>
      <c r="AW45" s="8">
        <f>athero!AW45/athero!$F45</f>
        <v>2.4322673530823261E-3</v>
      </c>
      <c r="AX45" s="8">
        <f>athero!AX45/athero!$F45</f>
        <v>1.3088434186990097E-2</v>
      </c>
      <c r="AY45" s="8">
        <f>athero!AY45/athero!$F45</f>
        <v>4.5700449369573751E-3</v>
      </c>
      <c r="AZ45" s="8">
        <f>athero!AZ45/athero!$F45</f>
        <v>7.8312464552157419E-3</v>
      </c>
      <c r="BA45" s="8">
        <f>athero!BA45/athero!$F45</f>
        <v>5.3411718511408753E-2</v>
      </c>
      <c r="BB45" s="8">
        <f>athero!BB45/athero!$F45</f>
        <v>2.3886392391256926E-2</v>
      </c>
      <c r="BC45" s="8">
        <f>athero!BC45/athero!$F45</f>
        <v>9.4891147855678197E-4</v>
      </c>
    </row>
    <row r="46" spans="1:55" s="11" customFormat="1" ht="17.100000000000001">
      <c r="A46" s="9">
        <v>1046</v>
      </c>
      <c r="B46" s="10" t="s">
        <v>56</v>
      </c>
      <c r="C46" s="11" t="s">
        <v>184</v>
      </c>
      <c r="D46" s="11">
        <v>56307</v>
      </c>
      <c r="E46" s="11">
        <v>54235</v>
      </c>
      <c r="F46" s="11">
        <v>51105</v>
      </c>
      <c r="G46" s="8">
        <f>athero!G46/athero!$F46</f>
        <v>0.43240387437628414</v>
      </c>
      <c r="H46" s="8">
        <f>athero!H46/athero!$F46</f>
        <v>1.0116426964093534E-2</v>
      </c>
      <c r="I46" s="8">
        <f>athero!I46/athero!$F46</f>
        <v>1.0057724293122003E-2</v>
      </c>
      <c r="J46" s="8">
        <f>athero!J46/athero!$F46</f>
        <v>9.8620487232169065E-3</v>
      </c>
      <c r="K46" s="8">
        <f>athero!K46/athero!$F46</f>
        <v>9.8620487232169065E-3</v>
      </c>
      <c r="L46" s="8">
        <f>athero!L46/athero!$F46</f>
        <v>9.8620487232169065E-3</v>
      </c>
      <c r="M46" s="8">
        <f>athero!M46/athero!$F46</f>
        <v>3.6982682712063397E-3</v>
      </c>
      <c r="N46" s="8">
        <f>athero!N46/athero!$F46</f>
        <v>4.4418354368457097E-3</v>
      </c>
      <c r="O46" s="8">
        <f>athero!O46/athero!$F46</f>
        <v>0</v>
      </c>
      <c r="P46" s="8">
        <f>athero!P46/athero!$F46</f>
        <v>5.8702670971529207E-5</v>
      </c>
      <c r="Q46" s="8">
        <f>athero!Q46/athero!$F46</f>
        <v>0.24649251540945114</v>
      </c>
      <c r="R46" s="8">
        <f>athero!R46/athero!$F46</f>
        <v>4.2774679581254284E-2</v>
      </c>
      <c r="S46" s="8">
        <f>athero!S46/athero!$F46</f>
        <v>0.19888464925154095</v>
      </c>
      <c r="T46" s="8">
        <f>athero!T46/athero!$F46</f>
        <v>5.6941590842383332E-3</v>
      </c>
      <c r="U46" s="8">
        <f>athero!U46/athero!$F46</f>
        <v>1.1936209764210938E-3</v>
      </c>
      <c r="V46" s="8">
        <f>athero!V46/athero!$F46</f>
        <v>5.518051071323745E-3</v>
      </c>
      <c r="W46" s="8">
        <f>athero!W46/athero!$F46</f>
        <v>7.7467958125428046E-2</v>
      </c>
      <c r="X46" s="8">
        <f>athero!X46/athero!$F46</f>
        <v>1.8256530672145582E-2</v>
      </c>
      <c r="Y46" s="8">
        <f>athero!Y46/athero!$F46</f>
        <v>1.7239017708639077E-2</v>
      </c>
      <c r="Z46" s="8">
        <f>athero!Z46/athero!$F46</f>
        <v>6.218569611583994E-2</v>
      </c>
      <c r="AA46" s="8">
        <f>athero!AA46/athero!$F46</f>
        <v>6.5551315918207613E-3</v>
      </c>
      <c r="AB46" s="8">
        <f>athero!AB46/athero!$F46</f>
        <v>4.0348302514431077E-2</v>
      </c>
      <c r="AC46" s="8">
        <f>athero!AC46/athero!$F46</f>
        <v>6.8486449466784074E-4</v>
      </c>
      <c r="AD46" s="8">
        <f>athero!AD46/athero!$F46</f>
        <v>3.8391546815380102E-2</v>
      </c>
      <c r="AE46" s="8">
        <f>athero!AE46/athero!$F46</f>
        <v>4.2031112415614913E-2</v>
      </c>
      <c r="AF46" s="8">
        <f>athero!AF46/athero!$F46</f>
        <v>2.7394579786713629E-4</v>
      </c>
      <c r="AG46" s="8">
        <f>athero!AG46/athero!$F46</f>
        <v>0.16790920653556404</v>
      </c>
      <c r="AH46" s="8">
        <f>athero!AH46/athero!$F46</f>
        <v>0.16102142647490461</v>
      </c>
      <c r="AI46" s="8">
        <f>athero!AI46/athero!$F46</f>
        <v>8.4140495059191857E-4</v>
      </c>
      <c r="AJ46" s="8">
        <f>athero!AJ46/athero!$F46</f>
        <v>7.4356716563936994E-4</v>
      </c>
      <c r="AK46" s="8">
        <f>athero!AK46/athero!$F46</f>
        <v>0.15474024068095099</v>
      </c>
      <c r="AL46" s="8">
        <f>athero!AL46/athero!$F46</f>
        <v>5.2558458076509149E-2</v>
      </c>
      <c r="AM46" s="8">
        <f>athero!AM46/athero!$F46</f>
        <v>3.3264846883866549E-4</v>
      </c>
      <c r="AN46" s="8">
        <f>athero!AN46/athero!$F46</f>
        <v>2.956657861266021E-2</v>
      </c>
      <c r="AO46" s="8">
        <f>athero!AO46/athero!$F46</f>
        <v>2.9547011055669698E-3</v>
      </c>
      <c r="AP46" s="8">
        <f>athero!AP46/athero!$F46</f>
        <v>2.4870364934937873E-2</v>
      </c>
      <c r="AQ46" s="8">
        <f>athero!AQ46/athero!$F46</f>
        <v>2.0076313472262988E-2</v>
      </c>
      <c r="AR46" s="8">
        <f>athero!AR46/athero!$F46</f>
        <v>1.9939340573329419E-2</v>
      </c>
      <c r="AS46" s="8">
        <f>athero!AS46/athero!$F46</f>
        <v>6.1442128950200568E-3</v>
      </c>
      <c r="AT46" s="8">
        <f>athero!AT46/athero!$F46</f>
        <v>2.2502690539086194E-3</v>
      </c>
      <c r="AU46" s="8">
        <f>athero!AU46/athero!$F46</f>
        <v>9.4863516289991193E-2</v>
      </c>
      <c r="AV46" s="8">
        <f>athero!AV46/athero!$F46</f>
        <v>3.0995010272967419E-2</v>
      </c>
      <c r="AW46" s="8">
        <f>athero!AW46/athero!$F46</f>
        <v>2.9938362195479893E-3</v>
      </c>
      <c r="AX46" s="8">
        <f>athero!AX46/athero!$F46</f>
        <v>2.0800313080911847E-2</v>
      </c>
      <c r="AY46" s="8">
        <f>athero!AY46/athero!$F46</f>
        <v>8.4727521768907157E-3</v>
      </c>
      <c r="AZ46" s="8">
        <f>athero!AZ46/athero!$F46</f>
        <v>1.0625183445846786E-2</v>
      </c>
      <c r="BA46" s="8">
        <f>athero!BA46/athero!$F46</f>
        <v>6.9660502886214656E-2</v>
      </c>
      <c r="BB46" s="8">
        <f>athero!BB46/athero!$F46</f>
        <v>6.0718129341551706E-2</v>
      </c>
      <c r="BC46" s="8">
        <f>athero!BC46/athero!$F46</f>
        <v>1.761080129145876E-4</v>
      </c>
    </row>
    <row r="47" spans="1:55" s="11" customFormat="1" ht="33.950000000000003">
      <c r="A47" s="9">
        <v>1033</v>
      </c>
      <c r="B47" s="10" t="s">
        <v>51</v>
      </c>
      <c r="C47" s="11" t="s">
        <v>181</v>
      </c>
      <c r="D47" s="11">
        <v>128942</v>
      </c>
      <c r="E47" s="11">
        <v>125796</v>
      </c>
      <c r="F47" s="11">
        <v>122517</v>
      </c>
      <c r="G47" s="8">
        <f>athero!G47/athero!$F47</f>
        <v>0.44904788723197597</v>
      </c>
      <c r="H47" s="8">
        <f>athero!H47/athero!$F47</f>
        <v>2.4568019132038821E-3</v>
      </c>
      <c r="I47" s="8">
        <f>athero!I47/athero!$F47</f>
        <v>2.4323155153978633E-3</v>
      </c>
      <c r="J47" s="8">
        <f>athero!J47/athero!$F47</f>
        <v>2.3098835263677692E-3</v>
      </c>
      <c r="K47" s="8">
        <f>athero!K47/athero!$F47</f>
        <v>2.293559261163757E-3</v>
      </c>
      <c r="L47" s="8">
        <f>athero!L47/athero!$F47</f>
        <v>2.2853971285617504E-3</v>
      </c>
      <c r="M47" s="8">
        <f>athero!M47/athero!$F47</f>
        <v>8.8151032101667522E-4</v>
      </c>
      <c r="N47" s="8">
        <f>athero!N47/athero!$F47</f>
        <v>2.1221544765216254E-4</v>
      </c>
      <c r="O47" s="8">
        <f>athero!O47/athero!$F47</f>
        <v>0</v>
      </c>
      <c r="P47" s="8">
        <f>athero!P47/athero!$F47</f>
        <v>0</v>
      </c>
      <c r="Q47" s="8">
        <f>athero!Q47/athero!$F47</f>
        <v>0.31869046744533414</v>
      </c>
      <c r="R47" s="8">
        <f>athero!R47/athero!$F47</f>
        <v>3.3791228972305881E-2</v>
      </c>
      <c r="S47" s="8">
        <f>athero!S47/athero!$F47</f>
        <v>0.27739823861178448</v>
      </c>
      <c r="T47" s="8">
        <f>athero!T47/athero!$F47</f>
        <v>1.3271627610862166E-2</v>
      </c>
      <c r="U47" s="8">
        <f>athero!U47/athero!$F47</f>
        <v>1.6324265204012506E-2</v>
      </c>
      <c r="V47" s="8">
        <f>athero!V47/athero!$F47</f>
        <v>3.3423933005215602E-2</v>
      </c>
      <c r="W47" s="8">
        <f>athero!W47/athero!$F47</f>
        <v>0.11851416538113078</v>
      </c>
      <c r="X47" s="8">
        <f>athero!X47/athero!$F47</f>
        <v>1.6258968143196453E-2</v>
      </c>
      <c r="Y47" s="8">
        <f>athero!Y47/athero!$F47</f>
        <v>1.4471461103357085E-2</v>
      </c>
      <c r="Z47" s="8">
        <f>athero!Z47/athero!$F47</f>
        <v>5.259678248732829E-2</v>
      </c>
      <c r="AA47" s="8">
        <f>athero!AA47/athero!$F47</f>
        <v>5.1339814066619326E-3</v>
      </c>
      <c r="AB47" s="8">
        <f>athero!AB47/athero!$F47</f>
        <v>3.6574516189590019E-2</v>
      </c>
      <c r="AC47" s="8">
        <f>athero!AC47/athero!$F47</f>
        <v>1.1018879012708439E-3</v>
      </c>
      <c r="AD47" s="8">
        <f>athero!AD47/athero!$F47</f>
        <v>3.3268852485777482E-2</v>
      </c>
      <c r="AE47" s="8">
        <f>athero!AE47/athero!$F47</f>
        <v>8.5628933127647591E-2</v>
      </c>
      <c r="AF47" s="8">
        <f>athero!AF47/athero!$F47</f>
        <v>6.9378127117053143E-4</v>
      </c>
      <c r="AG47" s="8">
        <f>athero!AG47/athero!$F47</f>
        <v>0.12326452655549842</v>
      </c>
      <c r="AH47" s="8">
        <f>athero!AH47/athero!$F47</f>
        <v>0.11408212737824139</v>
      </c>
      <c r="AI47" s="8">
        <f>athero!AI47/athero!$F47</f>
        <v>1.5508051943811879E-3</v>
      </c>
      <c r="AJ47" s="8">
        <f>athero!AJ47/athero!$F47</f>
        <v>7.345919341805627E-4</v>
      </c>
      <c r="AK47" s="8">
        <f>athero!AK47/athero!$F47</f>
        <v>0.10870328199351927</v>
      </c>
      <c r="AL47" s="8">
        <f>athero!AL47/athero!$F47</f>
        <v>6.3607499367434719E-2</v>
      </c>
      <c r="AM47" s="8">
        <f>athero!AM47/athero!$F47</f>
        <v>3.1016103887623756E-4</v>
      </c>
      <c r="AN47" s="8">
        <f>athero!AN47/athero!$F47</f>
        <v>1.3867463290808622E-2</v>
      </c>
      <c r="AO47" s="8">
        <f>athero!AO47/athero!$F47</f>
        <v>2.334369924173788E-3</v>
      </c>
      <c r="AP47" s="8">
        <f>athero!AP47/athero!$F47</f>
        <v>1.095358195189239E-2</v>
      </c>
      <c r="AQ47" s="8">
        <f>athero!AQ47/athero!$F47</f>
        <v>4.5136593289094577E-2</v>
      </c>
      <c r="AR47" s="8">
        <f>athero!AR47/athero!$F47</f>
        <v>4.4834594382820343E-2</v>
      </c>
      <c r="AS47" s="8">
        <f>athero!AS47/athero!$F47</f>
        <v>1.1492282703624804E-2</v>
      </c>
      <c r="AT47" s="8">
        <f>athero!AT47/athero!$F47</f>
        <v>1.6242643877992442E-3</v>
      </c>
      <c r="AU47" s="8">
        <f>athero!AU47/athero!$F47</f>
        <v>4.1251418170539601E-2</v>
      </c>
      <c r="AV47" s="8">
        <f>athero!AV47/athero!$F47</f>
        <v>1.8397446884922092E-2</v>
      </c>
      <c r="AW47" s="8">
        <f>athero!AW47/athero!$F47</f>
        <v>9.9578017744476281E-4</v>
      </c>
      <c r="AX47" s="8">
        <f>athero!AX47/athero!$F47</f>
        <v>2.8159357476921572E-3</v>
      </c>
      <c r="AY47" s="8">
        <f>athero!AY47/athero!$F47</f>
        <v>1.9670739570835068E-3</v>
      </c>
      <c r="AZ47" s="8">
        <f>athero!AZ47/athero!$F47</f>
        <v>6.6113274076250639E-4</v>
      </c>
      <c r="BA47" s="8">
        <f>athero!BA47/athero!$F47</f>
        <v>3.68112180350482E-2</v>
      </c>
      <c r="BB47" s="8">
        <f>athero!BB47/athero!$F47</f>
        <v>2.4910828701323082E-2</v>
      </c>
      <c r="BC47" s="8">
        <f>athero!BC47/athero!$F47</f>
        <v>5.5502501693642514E-4</v>
      </c>
    </row>
    <row r="48" spans="1:55" s="11" customFormat="1" ht="51">
      <c r="A48" s="9">
        <v>1103</v>
      </c>
      <c r="B48" s="10" t="s">
        <v>72</v>
      </c>
      <c r="C48" s="11" t="s">
        <v>199</v>
      </c>
      <c r="D48" s="11">
        <v>247391</v>
      </c>
      <c r="E48" s="11">
        <v>242168</v>
      </c>
      <c r="F48" s="11">
        <v>230207</v>
      </c>
      <c r="G48" s="8">
        <f>athero!G48/athero!$F48</f>
        <v>0.30837898065653957</v>
      </c>
      <c r="H48" s="8">
        <f>athero!H48/athero!$F48</f>
        <v>2.936487595946257E-3</v>
      </c>
      <c r="I48" s="8">
        <f>athero!I48/athero!$F48</f>
        <v>2.897392346887801E-3</v>
      </c>
      <c r="J48" s="8">
        <f>athero!J48/athero!$F48</f>
        <v>2.8061700990847367E-3</v>
      </c>
      <c r="K48" s="8">
        <f>athero!K48/athero!$F48</f>
        <v>2.7844505162744836E-3</v>
      </c>
      <c r="L48" s="8">
        <f>athero!L48/athero!$F48</f>
        <v>2.7801065997124326E-3</v>
      </c>
      <c r="M48" s="8">
        <f>athero!M48/athero!$F48</f>
        <v>1.4465242151628752E-3</v>
      </c>
      <c r="N48" s="8">
        <f>athero!N48/athero!$F48</f>
        <v>2.3457149435073652E-4</v>
      </c>
      <c r="O48" s="8">
        <f>athero!O48/athero!$F48</f>
        <v>4.343916562050676E-6</v>
      </c>
      <c r="P48" s="8">
        <f>athero!P48/athero!$F48</f>
        <v>0</v>
      </c>
      <c r="Q48" s="8">
        <f>athero!Q48/athero!$F48</f>
        <v>0.2095070957877041</v>
      </c>
      <c r="R48" s="8">
        <f>athero!R48/athero!$F48</f>
        <v>4.4633742675070698E-2</v>
      </c>
      <c r="S48" s="8">
        <f>athero!S48/athero!$F48</f>
        <v>0.15759294895463649</v>
      </c>
      <c r="T48" s="8">
        <f>athero!T48/athero!$F48</f>
        <v>2.0981116994704765E-3</v>
      </c>
      <c r="U48" s="8">
        <f>athero!U48/athero!$F48</f>
        <v>4.2657260639337637E-3</v>
      </c>
      <c r="V48" s="8">
        <f>athero!V48/athero!$F48</f>
        <v>2.2427641209867642E-2</v>
      </c>
      <c r="W48" s="8">
        <f>athero!W48/athero!$F48</f>
        <v>7.9658741914885298E-2</v>
      </c>
      <c r="X48" s="8">
        <f>athero!X48/athero!$F48</f>
        <v>3.0967781170859271E-2</v>
      </c>
      <c r="Y48" s="8">
        <f>athero!Y48/athero!$F48</f>
        <v>2.8630754060476007E-2</v>
      </c>
      <c r="Z48" s="8">
        <f>athero!Z48/athero!$F48</f>
        <v>2.653264236100553E-2</v>
      </c>
      <c r="AA48" s="8">
        <f>athero!AA48/athero!$F48</f>
        <v>5.4689909516218013E-3</v>
      </c>
      <c r="AB48" s="8">
        <f>athero!AB48/athero!$F48</f>
        <v>1.5968237282098285E-2</v>
      </c>
      <c r="AC48" s="8">
        <f>athero!AC48/athero!$F48</f>
        <v>1.0686034742644662E-3</v>
      </c>
      <c r="AD48" s="8">
        <f>athero!AD48/athero!$F48</f>
        <v>1.3088220601458688E-2</v>
      </c>
      <c r="AE48" s="8">
        <f>athero!AE48/athero!$F48</f>
        <v>3.9321132719682718E-2</v>
      </c>
      <c r="AF48" s="8">
        <f>athero!AF48/athero!$F48</f>
        <v>2.9104240965739528E-4</v>
      </c>
      <c r="AG48" s="8">
        <f>athero!AG48/athero!$F48</f>
        <v>9.1704422541451822E-2</v>
      </c>
      <c r="AH48" s="8">
        <f>athero!AH48/athero!$F48</f>
        <v>8.2495319429904387E-2</v>
      </c>
      <c r="AI48" s="8">
        <f>athero!AI48/athero!$F48</f>
        <v>4.6045515557737165E-4</v>
      </c>
      <c r="AJ48" s="8">
        <f>athero!AJ48/athero!$F48</f>
        <v>1.4812755476592806E-3</v>
      </c>
      <c r="AK48" s="8">
        <f>athero!AK48/athero!$F48</f>
        <v>7.8538011441876221E-2</v>
      </c>
      <c r="AL48" s="8">
        <f>athero!AL48/athero!$F48</f>
        <v>3.7105735273036879E-2</v>
      </c>
      <c r="AM48" s="8">
        <f>athero!AM48/athero!$F48</f>
        <v>2.4760324403688856E-4</v>
      </c>
      <c r="AN48" s="8">
        <f>athero!AN48/athero!$F48</f>
        <v>1.2823241691173597E-2</v>
      </c>
      <c r="AO48" s="8">
        <f>athero!AO48/athero!$F48</f>
        <v>7.2890919911210343E-3</v>
      </c>
      <c r="AP48" s="8">
        <f>athero!AP48/athero!$F48</f>
        <v>4.4264509767296392E-3</v>
      </c>
      <c r="AQ48" s="8">
        <f>athero!AQ48/athero!$F48</f>
        <v>1.9908169603878249E-2</v>
      </c>
      <c r="AR48" s="8">
        <f>athero!AR48/athero!$F48</f>
        <v>1.8422550139656917E-2</v>
      </c>
      <c r="AS48" s="8">
        <f>athero!AS48/athero!$F48</f>
        <v>4.6306150551460208E-3</v>
      </c>
      <c r="AT48" s="8">
        <f>athero!AT48/athero!$F48</f>
        <v>4.9520648807377713E-4</v>
      </c>
      <c r="AU48" s="8">
        <f>athero!AU48/athero!$F48</f>
        <v>3.9264661804376058E-2</v>
      </c>
      <c r="AV48" s="8">
        <f>athero!AV48/athero!$F48</f>
        <v>1.4439178652256447E-2</v>
      </c>
      <c r="AW48" s="8">
        <f>athero!AW48/athero!$F48</f>
        <v>7.2109014930041228E-4</v>
      </c>
      <c r="AX48" s="8">
        <f>athero!AX48/athero!$F48</f>
        <v>1.7636301241925746E-3</v>
      </c>
      <c r="AY48" s="8">
        <f>athero!AY48/athero!$F48</f>
        <v>7.4715364867271631E-4</v>
      </c>
      <c r="AZ48" s="8">
        <f>athero!AZ48/athero!$F48</f>
        <v>8.5140764616193254E-4</v>
      </c>
      <c r="BA48" s="8">
        <f>athero!BA48/athero!$F48</f>
        <v>3.5837311636918077E-2</v>
      </c>
      <c r="BB48" s="8">
        <f>athero!BB48/athero!$F48</f>
        <v>2.4369371913104294E-2</v>
      </c>
      <c r="BC48" s="8">
        <f>athero!BC48/athero!$F48</f>
        <v>2.3891541091278719E-4</v>
      </c>
    </row>
    <row r="49" spans="1:55" s="11" customFormat="1" ht="17.100000000000001">
      <c r="A49" s="9">
        <v>1205</v>
      </c>
      <c r="B49" s="10" t="s">
        <v>77</v>
      </c>
      <c r="C49" s="11" t="s">
        <v>226</v>
      </c>
      <c r="D49" s="11">
        <v>35601</v>
      </c>
      <c r="E49" s="11">
        <v>32502</v>
      </c>
      <c r="F49" s="11">
        <v>31893</v>
      </c>
      <c r="G49" s="8">
        <f>athero!G49/athero!$F49</f>
        <v>0.39284482488320321</v>
      </c>
      <c r="H49" s="8">
        <f>athero!H49/athero!$F49</f>
        <v>4.3583231430094375E-3</v>
      </c>
      <c r="I49" s="8">
        <f>athero!I49/athero!$F49</f>
        <v>4.1388392437211926E-3</v>
      </c>
      <c r="J49" s="8">
        <f>athero!J49/athero!$F49</f>
        <v>3.7939359734110935E-3</v>
      </c>
      <c r="K49" s="8">
        <f>athero!K49/athero!$F49</f>
        <v>3.7939359734110935E-3</v>
      </c>
      <c r="L49" s="8">
        <f>athero!L49/athero!$F49</f>
        <v>3.7939359734110935E-3</v>
      </c>
      <c r="M49" s="8">
        <f>athero!M49/athero!$F49</f>
        <v>8.1522591164205312E-4</v>
      </c>
      <c r="N49" s="8">
        <f>athero!N49/athero!$F49</f>
        <v>2.2889035211488416E-3</v>
      </c>
      <c r="O49" s="8">
        <f>athero!O49/athero!$F49</f>
        <v>6.2709685510927156E-5</v>
      </c>
      <c r="P49" s="8">
        <f>athero!P49/athero!$F49</f>
        <v>0</v>
      </c>
      <c r="Q49" s="8">
        <f>athero!Q49/athero!$F49</f>
        <v>9.6133947888251345E-2</v>
      </c>
      <c r="R49" s="8">
        <f>athero!R49/athero!$F49</f>
        <v>1.8812905653278148E-2</v>
      </c>
      <c r="S49" s="8">
        <f>athero!S49/athero!$F49</f>
        <v>7.2900009406452831E-2</v>
      </c>
      <c r="T49" s="8">
        <f>athero!T49/athero!$F49</f>
        <v>1.8812905653278148E-3</v>
      </c>
      <c r="U49" s="8">
        <f>athero!U49/athero!$F49</f>
        <v>4.0761295582102656E-4</v>
      </c>
      <c r="V49" s="8">
        <f>athero!V49/athero!$F49</f>
        <v>7.054839619979306E-3</v>
      </c>
      <c r="W49" s="8">
        <f>athero!W49/athero!$F49</f>
        <v>2.1697551186780798E-2</v>
      </c>
      <c r="X49" s="8">
        <f>athero!X49/athero!$F49</f>
        <v>2.0694196218605963E-3</v>
      </c>
      <c r="Y49" s="8">
        <f>athero!Y49/athero!$F49</f>
        <v>8.1522591164205312E-4</v>
      </c>
      <c r="Z49" s="8">
        <f>athero!Z49/athero!$F49</f>
        <v>1.5395227792932618E-2</v>
      </c>
      <c r="AA49" s="8">
        <f>athero!AA49/athero!$F49</f>
        <v>4.170194086476656E-3</v>
      </c>
      <c r="AB49" s="8">
        <f>athero!AB49/athero!$F49</f>
        <v>9.8454206252155639E-3</v>
      </c>
      <c r="AC49" s="8">
        <f>athero!AC49/athero!$F49</f>
        <v>2.1948389928824508E-4</v>
      </c>
      <c r="AD49" s="8">
        <f>athero!AD49/athero!$F49</f>
        <v>9.4378076693945375E-3</v>
      </c>
      <c r="AE49" s="8">
        <f>athero!AE49/athero!$F49</f>
        <v>3.2859875207725833E-2</v>
      </c>
      <c r="AF49" s="8">
        <f>athero!AF49/athero!$F49</f>
        <v>1.0347098109302981E-3</v>
      </c>
      <c r="AG49" s="8">
        <f>athero!AG49/athero!$F49</f>
        <v>0.28896623083435236</v>
      </c>
      <c r="AH49" s="8">
        <f>athero!AH49/athero!$F49</f>
        <v>0.27228545448844577</v>
      </c>
      <c r="AI49" s="8">
        <f>athero!AI49/athero!$F49</f>
        <v>1.2855485529740069E-3</v>
      </c>
      <c r="AJ49" s="8">
        <f>athero!AJ49/athero!$F49</f>
        <v>1.5677421377731791E-4</v>
      </c>
      <c r="AK49" s="8">
        <f>athero!AK49/athero!$F49</f>
        <v>0.26469758254162357</v>
      </c>
      <c r="AL49" s="8">
        <f>athero!AL49/athero!$F49</f>
        <v>0.19446273476938514</v>
      </c>
      <c r="AM49" s="8">
        <f>athero!AM49/athero!$F49</f>
        <v>1.4109679239958611E-3</v>
      </c>
      <c r="AN49" s="8">
        <f>athero!AN49/athero!$F49</f>
        <v>9.7701690026024524E-2</v>
      </c>
      <c r="AO49" s="8">
        <f>athero!AO49/athero!$F49</f>
        <v>3.2953939735992227E-2</v>
      </c>
      <c r="AP49" s="8">
        <f>athero!AP49/athero!$F49</f>
        <v>5.5184523249615904E-2</v>
      </c>
      <c r="AQ49" s="8">
        <f>athero!AQ49/athero!$F49</f>
        <v>8.218104286207005E-2</v>
      </c>
      <c r="AR49" s="8">
        <f>athero!AR49/athero!$F49</f>
        <v>8.0989558837362433E-2</v>
      </c>
      <c r="AS49" s="8">
        <f>athero!AS49/athero!$F49</f>
        <v>1.294955005800646E-2</v>
      </c>
      <c r="AT49" s="8">
        <f>athero!AT49/athero!$F49</f>
        <v>7.054839619979306E-3</v>
      </c>
      <c r="AU49" s="8">
        <f>athero!AU49/athero!$F49</f>
        <v>6.004452387671276E-2</v>
      </c>
      <c r="AV49" s="8">
        <f>athero!AV49/athero!$F49</f>
        <v>8.9361301853071208E-3</v>
      </c>
      <c r="AW49" s="8">
        <f>athero!AW49/athero!$F49</f>
        <v>1.4736776095067884E-3</v>
      </c>
      <c r="AX49" s="8">
        <f>athero!AX49/athero!$F49</f>
        <v>1.6994324773461262E-2</v>
      </c>
      <c r="AY49" s="8">
        <f>athero!AY49/athero!$F49</f>
        <v>6.7726460351801333E-3</v>
      </c>
      <c r="AZ49" s="8">
        <f>athero!AZ49/athero!$F49</f>
        <v>9.3123882983726838E-3</v>
      </c>
      <c r="BA49" s="8">
        <f>athero!BA49/athero!$F49</f>
        <v>3.9256263129840402E-2</v>
      </c>
      <c r="BB49" s="8">
        <f>athero!BB49/athero!$F49</f>
        <v>3.3016649421503154E-2</v>
      </c>
      <c r="BC49" s="8">
        <f>athero!BC49/athero!$F49</f>
        <v>3.7625811306556296E-4</v>
      </c>
    </row>
    <row r="50" spans="1:55" s="11" customFormat="1" ht="17.100000000000001">
      <c r="A50" s="9">
        <v>1145</v>
      </c>
      <c r="B50" s="10" t="s">
        <v>77</v>
      </c>
      <c r="C50" s="11" t="s">
        <v>203</v>
      </c>
      <c r="D50" s="11">
        <v>90582</v>
      </c>
      <c r="E50" s="11">
        <v>82483</v>
      </c>
      <c r="F50" s="11">
        <v>79796</v>
      </c>
      <c r="G50" s="8">
        <f>athero!G50/athero!$F50</f>
        <v>0.52393603689407986</v>
      </c>
      <c r="H50" s="8">
        <f>athero!H50/athero!$F50</f>
        <v>4.5115043360569448E-3</v>
      </c>
      <c r="I50" s="8">
        <f>athero!I50/athero!$F50</f>
        <v>4.4613765101007572E-3</v>
      </c>
      <c r="J50" s="8">
        <f>athero!J50/athero!$F50</f>
        <v>4.0979497719183921E-3</v>
      </c>
      <c r="K50" s="8">
        <f>athero!K50/athero!$F50</f>
        <v>4.0728858589402974E-3</v>
      </c>
      <c r="L50" s="8">
        <f>athero!L50/athero!$F50</f>
        <v>4.0603539024512509E-3</v>
      </c>
      <c r="M50" s="8">
        <f>athero!M50/athero!$F50</f>
        <v>1.3158554313499424E-3</v>
      </c>
      <c r="N50" s="8">
        <f>athero!N50/athero!$F50</f>
        <v>2.1053686901599078E-3</v>
      </c>
      <c r="O50" s="8">
        <f>athero!O50/athero!$F50</f>
        <v>8.7723695423329491E-5</v>
      </c>
      <c r="P50" s="8">
        <f>athero!P50/athero!$F50</f>
        <v>6.2659782445235351E-5</v>
      </c>
      <c r="Q50" s="8">
        <f>athero!Q50/athero!$F50</f>
        <v>0.26795829364880447</v>
      </c>
      <c r="R50" s="8">
        <f>athero!R50/athero!$F50</f>
        <v>8.2084315003258315E-3</v>
      </c>
      <c r="S50" s="8">
        <f>athero!S50/athero!$F50</f>
        <v>0.25417314151085268</v>
      </c>
      <c r="T50" s="8">
        <f>athero!T50/athero!$F50</f>
        <v>1.5577221915885509E-2</v>
      </c>
      <c r="U50" s="8">
        <f>athero!U50/athero!$F50</f>
        <v>2.3184119504737078E-2</v>
      </c>
      <c r="V50" s="8">
        <f>athero!V50/athero!$F50</f>
        <v>2.7983858840042106E-2</v>
      </c>
      <c r="W50" s="8">
        <f>athero!W50/athero!$F50</f>
        <v>0.11029374906010327</v>
      </c>
      <c r="X50" s="8">
        <f>athero!X50/athero!$F50</f>
        <v>2.5314552107875081E-2</v>
      </c>
      <c r="Y50" s="8">
        <f>athero!Y50/athero!$F50</f>
        <v>2.4625294500977491E-2</v>
      </c>
      <c r="Z50" s="8">
        <f>athero!Z50/athero!$F50</f>
        <v>4.1982054238307684E-2</v>
      </c>
      <c r="AA50" s="8">
        <f>athero!AA50/athero!$F50</f>
        <v>4.6117599879693218E-3</v>
      </c>
      <c r="AB50" s="8">
        <f>athero!AB50/athero!$F50</f>
        <v>2.6830918843049778E-2</v>
      </c>
      <c r="AC50" s="8">
        <f>athero!AC50/athero!$F50</f>
        <v>2.3058799939846609E-3</v>
      </c>
      <c r="AD50" s="8">
        <f>athero!AD50/athero!$F50</f>
        <v>2.2507393854328539E-2</v>
      </c>
      <c r="AE50" s="8">
        <f>athero!AE50/athero!$F50</f>
        <v>8.4365131084264869E-2</v>
      </c>
      <c r="AF50" s="8">
        <f>athero!AF50/athero!$F50</f>
        <v>3.1329891222617675E-4</v>
      </c>
      <c r="AG50" s="8">
        <f>athero!AG50/athero!$F50</f>
        <v>0.24499974936087021</v>
      </c>
      <c r="AH50" s="8">
        <f>athero!AH50/athero!$F50</f>
        <v>0.23514963156047922</v>
      </c>
      <c r="AI50" s="8">
        <f>athero!AI50/athero!$F50</f>
        <v>2.7181813624743093E-2</v>
      </c>
      <c r="AJ50" s="8">
        <f>athero!AJ50/athero!$F50</f>
        <v>1.3822748007418919E-2</v>
      </c>
      <c r="AK50" s="8">
        <f>athero!AK50/athero!$F50</f>
        <v>0.17136197303122963</v>
      </c>
      <c r="AL50" s="8">
        <f>athero!AL50/athero!$F50</f>
        <v>9.8024963657326186E-2</v>
      </c>
      <c r="AM50" s="8">
        <f>athero!AM50/athero!$F50</f>
        <v>5.012782595618828E-4</v>
      </c>
      <c r="AN50" s="8">
        <f>athero!AN50/athero!$F50</f>
        <v>1.36848964860394E-2</v>
      </c>
      <c r="AO50" s="8">
        <f>athero!AO50/athero!$F50</f>
        <v>3.5340117299112739E-3</v>
      </c>
      <c r="AP50" s="8">
        <f>athero!AP50/athero!$F50</f>
        <v>9.173392149982456E-3</v>
      </c>
      <c r="AQ50" s="8">
        <f>athero!AQ50/athero!$F50</f>
        <v>8.1069226527645491E-2</v>
      </c>
      <c r="AR50" s="8">
        <f>athero!AR50/athero!$F50</f>
        <v>7.8487643490901801E-2</v>
      </c>
      <c r="AS50" s="8">
        <f>athero!AS50/athero!$F50</f>
        <v>1.3308937791367988E-2</v>
      </c>
      <c r="AT50" s="8">
        <f>athero!AT50/athero!$F50</f>
        <v>1.1153441275251893E-3</v>
      </c>
      <c r="AU50" s="8">
        <f>athero!AU50/athero!$F50</f>
        <v>6.1080755927615422E-2</v>
      </c>
      <c r="AV50" s="8">
        <f>athero!AV50/athero!$F50</f>
        <v>1.1604591708857586E-2</v>
      </c>
      <c r="AW50" s="8">
        <f>athero!AW50/athero!$F50</f>
        <v>7.3938543285377708E-4</v>
      </c>
      <c r="AX50" s="8">
        <f>athero!AX50/athero!$F50</f>
        <v>2.3810717329189432E-3</v>
      </c>
      <c r="AY50" s="8">
        <f>athero!AY50/athero!$F50</f>
        <v>1.4035791267732719E-3</v>
      </c>
      <c r="AZ50" s="8">
        <f>athero!AZ50/athero!$F50</f>
        <v>8.5217304125520077E-4</v>
      </c>
      <c r="BA50" s="8">
        <f>athero!BA50/athero!$F50</f>
        <v>5.7684595719083666E-2</v>
      </c>
      <c r="BB50" s="8">
        <f>athero!BB50/athero!$F50</f>
        <v>4.120507293598677E-2</v>
      </c>
      <c r="BC50" s="8">
        <f>athero!BC50/athero!$F50</f>
        <v>4.3861847711664745E-4</v>
      </c>
    </row>
    <row r="51" spans="1:55" s="11" customFormat="1" ht="33.950000000000003">
      <c r="A51" s="9">
        <v>1226</v>
      </c>
      <c r="B51" s="10" t="s">
        <v>102</v>
      </c>
      <c r="C51" s="11" t="s">
        <v>229</v>
      </c>
      <c r="D51" s="11">
        <v>38823</v>
      </c>
      <c r="E51" s="11">
        <v>36155</v>
      </c>
      <c r="F51" s="11">
        <v>35289</v>
      </c>
      <c r="G51" s="8">
        <f>athero!G51/athero!$F51</f>
        <v>0.53554932131825783</v>
      </c>
      <c r="H51" s="8">
        <f>athero!H51/athero!$F51</f>
        <v>3.2304684179205985E-3</v>
      </c>
      <c r="I51" s="8">
        <f>athero!I51/athero!$F51</f>
        <v>3.1454560911332143E-3</v>
      </c>
      <c r="J51" s="8">
        <f>athero!J51/athero!$F51</f>
        <v>2.9187565530335233E-3</v>
      </c>
      <c r="K51" s="8">
        <f>athero!K51/athero!$F51</f>
        <v>2.9187565530335233E-3</v>
      </c>
      <c r="L51" s="8">
        <f>athero!L51/athero!$F51</f>
        <v>2.890419110771062E-3</v>
      </c>
      <c r="M51" s="8">
        <f>athero!M51/athero!$F51</f>
        <v>7.6511094108645751E-4</v>
      </c>
      <c r="N51" s="8">
        <f>athero!N51/athero!$F51</f>
        <v>1.898608631584913E-3</v>
      </c>
      <c r="O51" s="8">
        <f>athero!O51/athero!$F51</f>
        <v>2.8337442262461391E-5</v>
      </c>
      <c r="P51" s="8">
        <f>athero!P51/athero!$F51</f>
        <v>5.6674884524922782E-5</v>
      </c>
      <c r="Q51" s="8">
        <f>athero!Q51/athero!$F51</f>
        <v>0.16815438238544589</v>
      </c>
      <c r="R51" s="8">
        <f>athero!R51/athero!$F51</f>
        <v>4.1004278953781628E-2</v>
      </c>
      <c r="S51" s="8">
        <f>athero!S51/athero!$F51</f>
        <v>0.10847572898070221</v>
      </c>
      <c r="T51" s="8">
        <f>athero!T51/athero!$F51</f>
        <v>3.6470288191787811E-2</v>
      </c>
      <c r="U51" s="8">
        <f>athero!U51/athero!$F51</f>
        <v>1.671909093485222E-3</v>
      </c>
      <c r="V51" s="8">
        <f>athero!V51/athero!$F51</f>
        <v>1.5868967666978378E-3</v>
      </c>
      <c r="W51" s="8">
        <f>athero!W51/athero!$F51</f>
        <v>8.9262943126753383E-3</v>
      </c>
      <c r="X51" s="8">
        <f>athero!X51/athero!$F51</f>
        <v>1.8419337470599903E-3</v>
      </c>
      <c r="Y51" s="8">
        <f>athero!Y51/athero!$F51</f>
        <v>1.6152342089602993E-3</v>
      </c>
      <c r="Z51" s="8">
        <f>athero!Z51/athero!$F51</f>
        <v>2.5758735016577404E-2</v>
      </c>
      <c r="AA51" s="8">
        <f>athero!AA51/athero!$F51</f>
        <v>7.6511094108645756E-3</v>
      </c>
      <c r="AB51" s="8">
        <f>athero!AB51/athero!$F51</f>
        <v>9.1529938507750284E-3</v>
      </c>
      <c r="AC51" s="8">
        <f>athero!AC51/athero!$F51</f>
        <v>2.8337442262461388E-4</v>
      </c>
      <c r="AD51" s="8">
        <f>athero!AD51/athero!$F51</f>
        <v>8.3595454674261094E-3</v>
      </c>
      <c r="AE51" s="8">
        <f>athero!AE51/athero!$F51</f>
        <v>6.5856215817960265E-2</v>
      </c>
      <c r="AF51" s="8">
        <f>athero!AF51/athero!$F51</f>
        <v>8.2178582561138027E-4</v>
      </c>
      <c r="AG51" s="8">
        <f>athero!AG51/athero!$F51</f>
        <v>0.35532318852900335</v>
      </c>
      <c r="AH51" s="8">
        <f>athero!AH51/athero!$F51</f>
        <v>0.33160474935532319</v>
      </c>
      <c r="AI51" s="8">
        <f>athero!AI51/athero!$F51</f>
        <v>2.0119584006347588E-3</v>
      </c>
      <c r="AJ51" s="8">
        <f>athero!AJ51/athero!$F51</f>
        <v>9.0679815239876451E-4</v>
      </c>
      <c r="AK51" s="8">
        <f>athero!AK51/athero!$F51</f>
        <v>0.32009974779676387</v>
      </c>
      <c r="AL51" s="8">
        <f>athero!AL51/athero!$F51</f>
        <v>0.25228824846269376</v>
      </c>
      <c r="AM51" s="8">
        <f>athero!AM51/athero!$F51</f>
        <v>7.6511094108645751E-4</v>
      </c>
      <c r="AN51" s="8">
        <f>athero!AN51/athero!$F51</f>
        <v>0.10833404176938989</v>
      </c>
      <c r="AO51" s="8">
        <f>athero!AO51/athero!$F51</f>
        <v>3.547847771260166E-2</v>
      </c>
      <c r="AP51" s="8">
        <f>athero!AP51/athero!$F51</f>
        <v>6.1492249709541216E-2</v>
      </c>
      <c r="AQ51" s="8">
        <f>athero!AQ51/athero!$F51</f>
        <v>0.11230128368613448</v>
      </c>
      <c r="AR51" s="8">
        <f>athero!AR51/athero!$F51</f>
        <v>0.10096630678114993</v>
      </c>
      <c r="AS51" s="8">
        <f>athero!AS51/athero!$F51</f>
        <v>1.4707132534217461E-2</v>
      </c>
      <c r="AT51" s="8">
        <f>athero!AT51/athero!$F51</f>
        <v>6.3475870667913511E-3</v>
      </c>
      <c r="AU51" s="8">
        <f>athero!AU51/athero!$F51</f>
        <v>5.7298308254696929E-2</v>
      </c>
      <c r="AV51" s="8">
        <f>athero!AV51/athero!$F51</f>
        <v>8.2745331406387252E-3</v>
      </c>
      <c r="AW51" s="8">
        <f>athero!AW51/athero!$F51</f>
        <v>2.0686332851596813E-3</v>
      </c>
      <c r="AX51" s="8">
        <f>athero!AX51/athero!$F51</f>
        <v>1.7597551644988524E-2</v>
      </c>
      <c r="AY51" s="8">
        <f>athero!AY51/athero!$F51</f>
        <v>2.7770693417212161E-3</v>
      </c>
      <c r="AZ51" s="8">
        <f>athero!AZ51/athero!$F51</f>
        <v>1.3800334381818697E-2</v>
      </c>
      <c r="BA51" s="8">
        <f>athero!BA51/athero!$F51</f>
        <v>3.5648502366176428E-2</v>
      </c>
      <c r="BB51" s="8">
        <f>athero!BB51/athero!$F51</f>
        <v>2.1111394485533737E-2</v>
      </c>
      <c r="BC51" s="8">
        <f>athero!BC51/athero!$F51</f>
        <v>1.1334976904984556E-4</v>
      </c>
    </row>
    <row r="52" spans="1:55" ht="68.099999999999994">
      <c r="A52" s="5">
        <v>1107</v>
      </c>
      <c r="B52" s="6" t="s">
        <v>73</v>
      </c>
      <c r="C52" s="8" t="s">
        <v>200</v>
      </c>
      <c r="D52" s="8">
        <v>19490</v>
      </c>
      <c r="E52" s="8">
        <v>18962</v>
      </c>
      <c r="F52" s="8">
        <v>18555</v>
      </c>
      <c r="G52" s="8">
        <f>athero!G52/athero!$F52</f>
        <v>0.58032875235785497</v>
      </c>
      <c r="H52" s="8">
        <f>athero!H52/athero!$F52</f>
        <v>1.1479385610347614E-2</v>
      </c>
      <c r="I52" s="8">
        <f>athero!I52/athero!$F52</f>
        <v>1.1479385610347614E-2</v>
      </c>
      <c r="J52" s="8">
        <f>athero!J52/athero!$F52</f>
        <v>1.0940447318782E-2</v>
      </c>
      <c r="K52" s="8">
        <f>athero!K52/athero!$F52</f>
        <v>1.0940447318782E-2</v>
      </c>
      <c r="L52" s="8">
        <f>athero!L52/athero!$F52</f>
        <v>1.0832659660468875E-2</v>
      </c>
      <c r="M52" s="8">
        <f>athero!M52/athero!$F52</f>
        <v>4.7426569657774186E-3</v>
      </c>
      <c r="N52" s="8">
        <f>athero!N52/athero!$F52</f>
        <v>3.5569927243330637E-3</v>
      </c>
      <c r="O52" s="8">
        <f>athero!O52/athero!$F52</f>
        <v>1.0778765831312315E-4</v>
      </c>
      <c r="P52" s="8">
        <f>athero!P52/athero!$F52</f>
        <v>5.3893829156561574E-5</v>
      </c>
      <c r="Q52" s="8">
        <f>athero!Q52/athero!$F52</f>
        <v>0.35273511182969552</v>
      </c>
      <c r="R52" s="8">
        <f>athero!R52/athero!$F52</f>
        <v>8.4343842630018859E-2</v>
      </c>
      <c r="S52" s="8">
        <f>athero!S52/athero!$F52</f>
        <v>0.24963621665319322</v>
      </c>
      <c r="T52" s="8">
        <f>athero!T52/athero!$F52</f>
        <v>7.1678792778226896E-3</v>
      </c>
      <c r="U52" s="8">
        <f>athero!U52/athero!$F52</f>
        <v>4.4731878199946104E-3</v>
      </c>
      <c r="V52" s="8">
        <f>athero!V52/athero!$F52</f>
        <v>8.7308003233629757E-3</v>
      </c>
      <c r="W52" s="8">
        <f>athero!W52/athero!$F52</f>
        <v>9.673942333602803E-2</v>
      </c>
      <c r="X52" s="8">
        <f>athero!X52/athero!$F52</f>
        <v>6.0145513338722714E-2</v>
      </c>
      <c r="Y52" s="8">
        <f>athero!Y52/athero!$F52</f>
        <v>5.9229318243061171E-2</v>
      </c>
      <c r="Z52" s="8">
        <f>athero!Z52/athero!$F52</f>
        <v>3.907302613850714E-2</v>
      </c>
      <c r="AA52" s="8">
        <f>athero!AA52/athero!$F52</f>
        <v>1.7784963621665319E-3</v>
      </c>
      <c r="AB52" s="8">
        <f>athero!AB52/athero!$F52</f>
        <v>3.2012934518997574E-2</v>
      </c>
      <c r="AC52" s="8">
        <f>athero!AC52/athero!$F52</f>
        <v>1.8323901913230936E-3</v>
      </c>
      <c r="AD52" s="8">
        <f>athero!AD52/athero!$F52</f>
        <v>2.6946914578280787E-2</v>
      </c>
      <c r="AE52" s="8">
        <f>athero!AE52/athero!$F52</f>
        <v>8.3589329021827002E-2</v>
      </c>
      <c r="AF52" s="8">
        <f>athero!AF52/athero!$F52</f>
        <v>1.2934518997574779E-3</v>
      </c>
      <c r="AG52" s="8">
        <f>athero!AG52/athero!$F52</f>
        <v>0.20296416060361089</v>
      </c>
      <c r="AH52" s="8">
        <f>athero!AH52/athero!$F52</f>
        <v>0.19046079223928861</v>
      </c>
      <c r="AI52" s="8">
        <f>athero!AI52/athero!$F52</f>
        <v>8.0840743734842356E-4</v>
      </c>
      <c r="AJ52" s="8">
        <f>athero!AJ52/athero!$F52</f>
        <v>6.0361088655348965E-3</v>
      </c>
      <c r="AK52" s="8">
        <f>athero!AK52/athero!$F52</f>
        <v>0.17316087308003233</v>
      </c>
      <c r="AL52" s="8">
        <f>athero!AL52/athero!$F52</f>
        <v>7.8523309081110215E-2</v>
      </c>
      <c r="AM52" s="8">
        <f>athero!AM52/athero!$F52</f>
        <v>1.2395580706009162E-3</v>
      </c>
      <c r="AN52" s="8">
        <f>athero!AN52/athero!$F52</f>
        <v>2.6946914578280787E-2</v>
      </c>
      <c r="AO52" s="8">
        <f>athero!AO52/athero!$F52</f>
        <v>2.1557531662624628E-3</v>
      </c>
      <c r="AP52" s="8">
        <f>athero!AP52/athero!$F52</f>
        <v>2.4252223120452707E-2</v>
      </c>
      <c r="AQ52" s="8">
        <f>athero!AQ52/athero!$F52</f>
        <v>4.3707895445971437E-2</v>
      </c>
      <c r="AR52" s="8">
        <f>athero!AR52/athero!$F52</f>
        <v>4.354621395850175E-2</v>
      </c>
      <c r="AS52" s="8">
        <f>athero!AS52/athero!$F52</f>
        <v>8.7846941525195361E-3</v>
      </c>
      <c r="AT52" s="8">
        <f>athero!AT52/athero!$F52</f>
        <v>1.9940716787927781E-3</v>
      </c>
      <c r="AU52" s="8">
        <f>athero!AU52/athero!$F52</f>
        <v>8.3373753705200754E-2</v>
      </c>
      <c r="AV52" s="8">
        <f>athero!AV52/athero!$F52</f>
        <v>1.8647264888170305E-2</v>
      </c>
      <c r="AW52" s="8">
        <f>athero!AW52/athero!$F52</f>
        <v>1.4551333872271624E-3</v>
      </c>
      <c r="AX52" s="8">
        <f>athero!AX52/athero!$F52</f>
        <v>1.2934518997574777E-2</v>
      </c>
      <c r="AY52" s="8">
        <f>athero!AY52/athero!$F52</f>
        <v>1.0239827539746699E-2</v>
      </c>
      <c r="AZ52" s="8">
        <f>athero!AZ52/athero!$F52</f>
        <v>2.1557531662624628E-3</v>
      </c>
      <c r="BA52" s="8">
        <f>athero!BA52/athero!$F52</f>
        <v>6.2624629479924546E-2</v>
      </c>
      <c r="BB52" s="8">
        <f>athero!BB52/athero!$F52</f>
        <v>5.4378873618970626E-2</v>
      </c>
      <c r="BC52" s="8">
        <f>athero!BC52/athero!$F52</f>
        <v>3.7725680409593103E-4</v>
      </c>
    </row>
    <row r="53" spans="1:55" ht="17.100000000000001">
      <c r="A53" s="5">
        <v>1013</v>
      </c>
      <c r="B53" s="6" t="s">
        <v>38</v>
      </c>
      <c r="C53" s="8" t="s">
        <v>171</v>
      </c>
      <c r="D53" s="8">
        <v>36817</v>
      </c>
      <c r="E53" s="8">
        <v>34554</v>
      </c>
      <c r="F53" s="8">
        <v>33806</v>
      </c>
      <c r="G53" s="8">
        <f>athero!G53/athero!$F53</f>
        <v>0.31455954564278532</v>
      </c>
      <c r="H53" s="8">
        <f>athero!H53/athero!$F53</f>
        <v>6.3598177838253564E-3</v>
      </c>
      <c r="I53" s="8">
        <f>athero!I53/athero!$F53</f>
        <v>6.3598177838253564E-3</v>
      </c>
      <c r="J53" s="8">
        <f>athero!J53/athero!$F53</f>
        <v>6.004851209844406E-3</v>
      </c>
      <c r="K53" s="8">
        <f>athero!K53/athero!$F53</f>
        <v>6.004851209844406E-3</v>
      </c>
      <c r="L53" s="8">
        <f>athero!L53/athero!$F53</f>
        <v>6.004851209844406E-3</v>
      </c>
      <c r="M53" s="8">
        <f>athero!M53/athero!$F53</f>
        <v>3.5200851919777554E-3</v>
      </c>
      <c r="N53" s="8">
        <f>athero!N53/athero!$F53</f>
        <v>1.7748328699047507E-3</v>
      </c>
      <c r="O53" s="8">
        <f>athero!O53/athero!$F53</f>
        <v>2.3664438265396675E-4</v>
      </c>
      <c r="P53" s="8">
        <f>athero!P53/athero!$F53</f>
        <v>1.1832219132698337E-4</v>
      </c>
      <c r="Q53" s="8">
        <f>athero!Q53/athero!$F53</f>
        <v>0.17127137194580844</v>
      </c>
      <c r="R53" s="8">
        <f>athero!R53/athero!$F53</f>
        <v>3.2361119327929955E-2</v>
      </c>
      <c r="S53" s="8">
        <f>athero!S53/athero!$F53</f>
        <v>0.13405904277347216</v>
      </c>
      <c r="T53" s="8">
        <f>athero!T53/athero!$F53</f>
        <v>1.2867538306809442E-2</v>
      </c>
      <c r="U53" s="8">
        <f>athero!U53/athero!$F53</f>
        <v>2.4048985387209371E-2</v>
      </c>
      <c r="V53" s="8">
        <f>athero!V53/athero!$F53</f>
        <v>2.7302845648701415E-2</v>
      </c>
      <c r="W53" s="8">
        <f>athero!W53/athero!$F53</f>
        <v>2.3220730047920489E-2</v>
      </c>
      <c r="X53" s="8">
        <f>athero!X53/athero!$F53</f>
        <v>6.4781399751523399E-3</v>
      </c>
      <c r="Y53" s="8">
        <f>athero!Y53/athero!$F53</f>
        <v>5.3836597053777439E-3</v>
      </c>
      <c r="Z53" s="8">
        <f>athero!Z53/athero!$F53</f>
        <v>2.6385848665917293E-2</v>
      </c>
      <c r="AA53" s="8">
        <f>athero!AA53/athero!$F53</f>
        <v>3.8454712181269597E-3</v>
      </c>
      <c r="AB53" s="8">
        <f>athero!AB53/athero!$F53</f>
        <v>1.7630006507720522E-2</v>
      </c>
      <c r="AC53" s="8">
        <f>athero!AC53/athero!$F53</f>
        <v>1.7452523220730049E-3</v>
      </c>
      <c r="AD53" s="8">
        <f>athero!AD53/athero!$F53</f>
        <v>1.3547890906939596E-2</v>
      </c>
      <c r="AE53" s="8">
        <f>athero!AE53/athero!$F53</f>
        <v>7.4306336153345559E-2</v>
      </c>
      <c r="AF53" s="8">
        <f>athero!AF53/athero!$F53</f>
        <v>2.9580547831745845E-4</v>
      </c>
      <c r="AG53" s="8">
        <f>athero!AG53/athero!$F53</f>
        <v>0.13006566881618647</v>
      </c>
      <c r="AH53" s="8">
        <f>athero!AH53/athero!$F53</f>
        <v>0.12341004555404365</v>
      </c>
      <c r="AI53" s="8">
        <f>athero!AI53/athero!$F53</f>
        <v>2.0114772525587172E-3</v>
      </c>
      <c r="AJ53" s="8">
        <f>athero!AJ53/athero!$F53</f>
        <v>3.0467964266698219E-3</v>
      </c>
      <c r="AK53" s="8">
        <f>athero!AK53/athero!$F53</f>
        <v>0.1106608294385612</v>
      </c>
      <c r="AL53" s="8">
        <f>athero!AL53/athero!$F53</f>
        <v>7.8418032301958235E-2</v>
      </c>
      <c r="AM53" s="8">
        <f>athero!AM53/athero!$F53</f>
        <v>3.5496657398095013E-4</v>
      </c>
      <c r="AN53" s="8">
        <f>athero!AN53/athero!$F53</f>
        <v>3.7774359581139443E-2</v>
      </c>
      <c r="AO53" s="8">
        <f>athero!AO53/athero!$F53</f>
        <v>7.1289120274507485E-3</v>
      </c>
      <c r="AP53" s="8">
        <f>athero!AP53/athero!$F53</f>
        <v>2.8279003727149025E-2</v>
      </c>
      <c r="AQ53" s="8">
        <f>athero!AQ53/athero!$F53</f>
        <v>3.2627344258415666E-2</v>
      </c>
      <c r="AR53" s="8">
        <f>athero!AR53/athero!$F53</f>
        <v>3.2420280423593448E-2</v>
      </c>
      <c r="AS53" s="8">
        <f>athero!AS53/athero!$F53</f>
        <v>6.0935928533396438E-3</v>
      </c>
      <c r="AT53" s="8">
        <f>athero!AT53/athero!$F53</f>
        <v>2.1889605395491924E-3</v>
      </c>
      <c r="AU53" s="8">
        <f>athero!AU53/athero!$F53</f>
        <v>2.7776134414009349E-2</v>
      </c>
      <c r="AV53" s="8">
        <f>athero!AV53/athero!$F53</f>
        <v>6.7147843578063068E-3</v>
      </c>
      <c r="AW53" s="8">
        <f>athero!AW53/athero!$F53</f>
        <v>1.9523161568952257E-3</v>
      </c>
      <c r="AX53" s="8">
        <f>athero!AX53/athero!$F53</f>
        <v>5.62030408803171E-3</v>
      </c>
      <c r="AY53" s="8">
        <f>athero!AY53/athero!$F53</f>
        <v>2.2185410873809381E-3</v>
      </c>
      <c r="AZ53" s="8">
        <f>athero!AZ53/athero!$F53</f>
        <v>3.1059575223333137E-3</v>
      </c>
      <c r="BA53" s="8">
        <f>athero!BA53/athero!$F53</f>
        <v>2.0499319647399868E-2</v>
      </c>
      <c r="BB53" s="8">
        <f>athero!BB53/athero!$F53</f>
        <v>1.295627995030468E-2</v>
      </c>
      <c r="BC53" s="8">
        <f>athero!BC53/athero!$F53</f>
        <v>8.8741643495237533E-5</v>
      </c>
    </row>
    <row r="54" spans="1:55" ht="17.100000000000001">
      <c r="A54" s="5">
        <v>1149</v>
      </c>
      <c r="B54" s="6" t="s">
        <v>80</v>
      </c>
      <c r="C54" s="8" t="s">
        <v>205</v>
      </c>
      <c r="D54" s="8">
        <v>26524</v>
      </c>
      <c r="E54" s="8">
        <v>24333</v>
      </c>
      <c r="F54" s="8">
        <v>22879</v>
      </c>
      <c r="G54" s="8">
        <f>athero!G54/athero!$F54</f>
        <v>0.6812360680099655</v>
      </c>
      <c r="H54" s="8">
        <f>athero!H54/athero!$F54</f>
        <v>2.4039512216443028E-3</v>
      </c>
      <c r="I54" s="8">
        <f>athero!I54/athero!$F54</f>
        <v>2.4039512216443028E-3</v>
      </c>
      <c r="J54" s="8">
        <f>athero!J54/athero!$F54</f>
        <v>2.4039512216443028E-3</v>
      </c>
      <c r="K54" s="8">
        <f>athero!K54/athero!$F54</f>
        <v>2.4039512216443028E-3</v>
      </c>
      <c r="L54" s="8">
        <f>athero!L54/athero!$F54</f>
        <v>2.4039512216443028E-3</v>
      </c>
      <c r="M54" s="8">
        <f>athero!M54/athero!$F54</f>
        <v>1.3112461208968924E-3</v>
      </c>
      <c r="N54" s="8">
        <f>athero!N54/athero!$F54</f>
        <v>9.6158048865772102E-4</v>
      </c>
      <c r="O54" s="8">
        <f>athero!O54/athero!$F54</f>
        <v>0</v>
      </c>
      <c r="P54" s="8">
        <f>athero!P54/athero!$F54</f>
        <v>0</v>
      </c>
      <c r="Q54" s="8">
        <f>athero!Q54/athero!$F54</f>
        <v>0.3436776082870755</v>
      </c>
      <c r="R54" s="8">
        <f>athero!R54/athero!$F54</f>
        <v>5.3804799160802483E-2</v>
      </c>
      <c r="S54" s="8">
        <f>athero!S54/athero!$F54</f>
        <v>0.27947025656715768</v>
      </c>
      <c r="T54" s="8">
        <f>athero!T54/athero!$F54</f>
        <v>2.3209056339874995E-2</v>
      </c>
      <c r="U54" s="8">
        <f>athero!U54/athero!$F54</f>
        <v>1.8881944140915249E-2</v>
      </c>
      <c r="V54" s="8">
        <f>athero!V54/athero!$F54</f>
        <v>3.1688447921674898E-2</v>
      </c>
      <c r="W54" s="8">
        <f>athero!W54/athero!$F54</f>
        <v>0.10319506971458543</v>
      </c>
      <c r="X54" s="8">
        <f>athero!X54/athero!$F54</f>
        <v>1.2282005332400892E-2</v>
      </c>
      <c r="Y54" s="8">
        <f>athero!Y54/athero!$F54</f>
        <v>1.1538965863892652E-2</v>
      </c>
      <c r="Z54" s="8">
        <f>athero!Z54/athero!$F54</f>
        <v>2.4214345032562611E-2</v>
      </c>
      <c r="AA54" s="8">
        <f>athero!AA54/athero!$F54</f>
        <v>3.0158660780628525E-3</v>
      </c>
      <c r="AB54" s="8">
        <f>athero!AB54/athero!$F54</f>
        <v>1.8007780060317322E-2</v>
      </c>
      <c r="AC54" s="8">
        <f>athero!AC54/athero!$F54</f>
        <v>3.5403645264216093E-3</v>
      </c>
      <c r="AD54" s="8">
        <f>athero!AD54/athero!$F54</f>
        <v>1.2544254556580271E-2</v>
      </c>
      <c r="AE54" s="8">
        <f>athero!AE54/athero!$F54</f>
        <v>0.14200795489313345</v>
      </c>
      <c r="AF54" s="8">
        <f>athero!AF54/athero!$F54</f>
        <v>1.3112461208968922E-4</v>
      </c>
      <c r="AG54" s="8">
        <f>athero!AG54/athero!$F54</f>
        <v>0.33073997989422615</v>
      </c>
      <c r="AH54" s="8">
        <f>athero!AH54/athero!$F54</f>
        <v>0.26391013593251456</v>
      </c>
      <c r="AI54" s="8">
        <f>athero!AI54/athero!$F54</f>
        <v>7.3429782770225976E-3</v>
      </c>
      <c r="AJ54" s="8">
        <f>athero!AJ54/athero!$F54</f>
        <v>4.9827352594081905E-3</v>
      </c>
      <c r="AK54" s="8">
        <f>athero!AK54/athero!$F54</f>
        <v>0.23580576074129114</v>
      </c>
      <c r="AL54" s="8">
        <f>athero!AL54/athero!$F54</f>
        <v>0.14113379081253552</v>
      </c>
      <c r="AM54" s="8">
        <f>athero!AM54/athero!$F54</f>
        <v>1.923160977315442E-3</v>
      </c>
      <c r="AN54" s="8">
        <f>athero!AN54/athero!$F54</f>
        <v>7.8499934437693958E-2</v>
      </c>
      <c r="AO54" s="8">
        <f>athero!AO54/athero!$F54</f>
        <v>2.8366624415402771E-2</v>
      </c>
      <c r="AP54" s="8">
        <f>athero!AP54/athero!$F54</f>
        <v>4.3664495825866512E-2</v>
      </c>
      <c r="AQ54" s="8">
        <f>athero!AQ54/athero!$F54</f>
        <v>5.4766379649460205E-2</v>
      </c>
      <c r="AR54" s="8">
        <f>athero!AR54/athero!$F54</f>
        <v>5.3673674548712795E-2</v>
      </c>
      <c r="AS54" s="8">
        <f>athero!AS54/athero!$F54</f>
        <v>1.8663403120765767E-2</v>
      </c>
      <c r="AT54" s="8">
        <f>athero!AT54/athero!$F54</f>
        <v>5.4635255037370515E-3</v>
      </c>
      <c r="AU54" s="8">
        <f>athero!AU54/athero!$F54</f>
        <v>6.3770269679618866E-2</v>
      </c>
      <c r="AV54" s="8">
        <f>athero!AV54/athero!$F54</f>
        <v>1.315616941299882E-2</v>
      </c>
      <c r="AW54" s="8">
        <f>athero!AW54/athero!$F54</f>
        <v>8.3045587656803183E-4</v>
      </c>
      <c r="AX54" s="8">
        <f>athero!AX54/athero!$F54</f>
        <v>4.414528607019538E-3</v>
      </c>
      <c r="AY54" s="8">
        <f>athero!AY54/athero!$F54</f>
        <v>2.666200445823681E-3</v>
      </c>
      <c r="AZ54" s="8">
        <f>athero!AZ54/athero!$F54</f>
        <v>1.4423707329865815E-3</v>
      </c>
      <c r="BA54" s="8">
        <f>athero!BA54/athero!$F54</f>
        <v>5.7738537523493158E-2</v>
      </c>
      <c r="BB54" s="8">
        <f>athero!BB54/athero!$F54</f>
        <v>3.9599632851086149E-2</v>
      </c>
      <c r="BC54" s="8">
        <f>athero!BC54/athero!$F54</f>
        <v>2.4039512216443028E-3</v>
      </c>
    </row>
    <row r="55" spans="1:55" ht="17.100000000000001">
      <c r="A55" s="5">
        <v>1155</v>
      </c>
      <c r="B55" s="6" t="s">
        <v>80</v>
      </c>
      <c r="C55" s="8" t="s">
        <v>209</v>
      </c>
      <c r="D55" s="8">
        <v>348111</v>
      </c>
      <c r="E55" s="8">
        <v>320999</v>
      </c>
      <c r="F55" s="8">
        <v>317961</v>
      </c>
      <c r="G55" s="8">
        <f>athero!G55/athero!$F55</f>
        <v>0.59715185195668652</v>
      </c>
      <c r="H55" s="8">
        <f>athero!H55/athero!$F55</f>
        <v>2.1417721041259779E-3</v>
      </c>
      <c r="I55" s="8">
        <f>athero!I55/athero!$F55</f>
        <v>2.0788713081164043E-3</v>
      </c>
      <c r="J55" s="8">
        <f>athero!J55/athero!$F55</f>
        <v>2.0159705121068306E-3</v>
      </c>
      <c r="K55" s="8">
        <f>athero!K55/athero!$F55</f>
        <v>1.9971002733039588E-3</v>
      </c>
      <c r="L55" s="8">
        <f>athero!L55/athero!$F55</f>
        <v>1.9876651539025227E-3</v>
      </c>
      <c r="M55" s="8">
        <f>athero!M55/athero!$F55</f>
        <v>7.0134387550674457E-4</v>
      </c>
      <c r="N55" s="8">
        <f>athero!N55/athero!$F55</f>
        <v>9.1835162173977314E-4</v>
      </c>
      <c r="O55" s="8">
        <f>athero!O55/athero!$F55</f>
        <v>3.1450398004786752E-6</v>
      </c>
      <c r="P55" s="8">
        <f>athero!P55/athero!$F55</f>
        <v>6.2900796009573503E-6</v>
      </c>
      <c r="Q55" s="8">
        <f>athero!Q55/athero!$F55</f>
        <v>0.23287132698664301</v>
      </c>
      <c r="R55" s="8">
        <f>athero!R55/athero!$F55</f>
        <v>4.3634282191841137E-2</v>
      </c>
      <c r="S55" s="8">
        <f>athero!S55/athero!$F55</f>
        <v>0.18649457008878448</v>
      </c>
      <c r="T55" s="8">
        <f>athero!T55/athero!$F55</f>
        <v>9.1269055009891142E-3</v>
      </c>
      <c r="U55" s="8">
        <f>athero!U55/athero!$F55</f>
        <v>1.1847364928403169E-2</v>
      </c>
      <c r="V55" s="8">
        <f>athero!V55/athero!$F55</f>
        <v>1.478797714185073E-2</v>
      </c>
      <c r="W55" s="8">
        <f>athero!W55/athero!$F55</f>
        <v>0.10988454558892442</v>
      </c>
      <c r="X55" s="8">
        <f>athero!X55/athero!$F55</f>
        <v>1.4995549768682323E-2</v>
      </c>
      <c r="Y55" s="8">
        <f>athero!Y55/athero!$F55</f>
        <v>2.1574973031283709E-3</v>
      </c>
      <c r="Z55" s="8">
        <f>athero!Z55/athero!$F55</f>
        <v>2.0930239872185584E-2</v>
      </c>
      <c r="AA55" s="8">
        <f>athero!AA55/athero!$F55</f>
        <v>7.0889197102789337E-3</v>
      </c>
      <c r="AB55" s="8">
        <f>athero!AB55/athero!$F55</f>
        <v>1.1089410336487809E-2</v>
      </c>
      <c r="AC55" s="8">
        <f>athero!AC55/athero!$F55</f>
        <v>1.1353593679728016E-3</v>
      </c>
      <c r="AD55" s="8">
        <f>athero!AD55/athero!$F55</f>
        <v>9.0294092671742762E-3</v>
      </c>
      <c r="AE55" s="8">
        <f>athero!AE55/athero!$F55</f>
        <v>4.8285796056749097E-2</v>
      </c>
      <c r="AF55" s="8">
        <f>athero!AF55/athero!$F55</f>
        <v>3.931299750598344E-4</v>
      </c>
      <c r="AG55" s="8">
        <f>athero!AG55/athero!$F55</f>
        <v>0.35823890351332394</v>
      </c>
      <c r="AH55" s="8">
        <f>athero!AH55/athero!$F55</f>
        <v>0.32849940715999759</v>
      </c>
      <c r="AI55" s="8">
        <f>athero!AI55/athero!$F55</f>
        <v>2.9657725318513904E-3</v>
      </c>
      <c r="AJ55" s="8">
        <f>athero!AJ55/athero!$F55</f>
        <v>4.5099870738864204E-3</v>
      </c>
      <c r="AK55" s="8">
        <f>athero!AK55/athero!$F55</f>
        <v>0.30997512273517819</v>
      </c>
      <c r="AL55" s="8">
        <f>athero!AL55/athero!$F55</f>
        <v>0.2233041159135869</v>
      </c>
      <c r="AM55" s="8">
        <f>athero!AM55/athero!$F55</f>
        <v>5.1264148747802408E-4</v>
      </c>
      <c r="AN55" s="8">
        <f>athero!AN55/athero!$F55</f>
        <v>0.13157274005302538</v>
      </c>
      <c r="AO55" s="8">
        <f>athero!AO55/athero!$F55</f>
        <v>3.3416047880085925E-2</v>
      </c>
      <c r="AP55" s="8">
        <f>athero!AP55/athero!$F55</f>
        <v>8.6183525652517134E-2</v>
      </c>
      <c r="AQ55" s="8">
        <f>athero!AQ55/athero!$F55</f>
        <v>7.0926937580395075E-2</v>
      </c>
      <c r="AR55" s="8">
        <f>athero!AR55/athero!$F55</f>
        <v>6.7146599740219706E-2</v>
      </c>
      <c r="AS55" s="8">
        <f>athero!AS55/athero!$F55</f>
        <v>9.8534096948996886E-3</v>
      </c>
      <c r="AT55" s="8">
        <f>athero!AT55/athero!$F55</f>
        <v>1.4247030296168398E-3</v>
      </c>
      <c r="AU55" s="8">
        <f>athero!AU55/athero!$F55</f>
        <v>7.6547123703850473E-2</v>
      </c>
      <c r="AV55" s="8">
        <f>athero!AV55/athero!$F55</f>
        <v>8.1016225260330671E-3</v>
      </c>
      <c r="AW55" s="8">
        <f>athero!AW55/athero!$F55</f>
        <v>4.4974069146845055E-4</v>
      </c>
      <c r="AX55" s="8">
        <f>athero!AX55/athero!$F55</f>
        <v>9.1803711775972525E-3</v>
      </c>
      <c r="AY55" s="8">
        <f>athero!AY55/athero!$F55</f>
        <v>2.7487647856183619E-3</v>
      </c>
      <c r="AZ55" s="8">
        <f>athero!AZ55/athero!$F55</f>
        <v>5.6862319592654448E-3</v>
      </c>
      <c r="BA55" s="8">
        <f>athero!BA55/athero!$F55</f>
        <v>6.4630567899836774E-2</v>
      </c>
      <c r="BB55" s="8">
        <f>athero!BB55/athero!$F55</f>
        <v>3.0019404895568952E-2</v>
      </c>
      <c r="BC55" s="8">
        <f>athero!BC55/athero!$F55</f>
        <v>1.6825962932560912E-3</v>
      </c>
    </row>
    <row r="56" spans="1:55" ht="17.100000000000001">
      <c r="A56" s="5">
        <v>1159</v>
      </c>
      <c r="B56" s="6" t="s">
        <v>88</v>
      </c>
      <c r="C56" s="8" t="s">
        <v>213</v>
      </c>
      <c r="D56" s="8">
        <v>152950</v>
      </c>
      <c r="E56" s="8">
        <v>139335</v>
      </c>
      <c r="F56" s="8">
        <v>134934</v>
      </c>
      <c r="G56" s="8">
        <f>athero!G56/athero!$F56</f>
        <v>0.64281055923636743</v>
      </c>
      <c r="H56" s="8">
        <f>athero!H56/athero!$F56</f>
        <v>5.7880148813494008E-3</v>
      </c>
      <c r="I56" s="8">
        <f>athero!I56/athero!$F56</f>
        <v>5.6694383921028057E-3</v>
      </c>
      <c r="J56" s="8">
        <f>athero!J56/athero!$F56</f>
        <v>5.3729971689863189E-3</v>
      </c>
      <c r="K56" s="8">
        <f>athero!K56/athero!$F56</f>
        <v>5.3137089243630222E-3</v>
      </c>
      <c r="L56" s="8">
        <f>athero!L56/athero!$F56</f>
        <v>5.2914758326292853E-3</v>
      </c>
      <c r="M56" s="8">
        <f>athero!M56/athero!$F56</f>
        <v>8.5226851645989893E-4</v>
      </c>
      <c r="N56" s="8">
        <f>athero!N56/athero!$F56</f>
        <v>3.6314049831769604E-3</v>
      </c>
      <c r="O56" s="8">
        <f>athero!O56/athero!$F56</f>
        <v>1.0375442809077031E-4</v>
      </c>
      <c r="P56" s="8">
        <f>athero!P56/athero!$F56</f>
        <v>7.4110305779121648E-5</v>
      </c>
      <c r="Q56" s="8">
        <f>athero!Q56/athero!$F56</f>
        <v>0.28694028191560317</v>
      </c>
      <c r="R56" s="8">
        <f>athero!R56/athero!$F56</f>
        <v>5.9799605733173257E-2</v>
      </c>
      <c r="S56" s="8">
        <f>athero!S56/athero!$F56</f>
        <v>0.22187143344153437</v>
      </c>
      <c r="T56" s="8">
        <f>athero!T56/athero!$F56</f>
        <v>6.2993759912253399E-3</v>
      </c>
      <c r="U56" s="8">
        <f>athero!U56/athero!$F56</f>
        <v>6.484651755673144E-3</v>
      </c>
      <c r="V56" s="8">
        <f>athero!V56/athero!$F56</f>
        <v>2.4819541405427838E-2</v>
      </c>
      <c r="W56" s="8">
        <f>athero!W56/athero!$F56</f>
        <v>9.7988646301154642E-2</v>
      </c>
      <c r="X56" s="8">
        <f>athero!X56/athero!$F56</f>
        <v>1.287296011383343E-2</v>
      </c>
      <c r="Y56" s="8">
        <f>athero!Y56/athero!$F56</f>
        <v>5.469340566499177E-3</v>
      </c>
      <c r="Z56" s="8">
        <f>athero!Z56/athero!$F56</f>
        <v>4.1998310285028234E-2</v>
      </c>
      <c r="AA56" s="8">
        <f>athero!AA56/athero!$F56</f>
        <v>6.9070804986141373E-3</v>
      </c>
      <c r="AB56" s="8">
        <f>athero!AB56/athero!$F56</f>
        <v>2.362636548238398E-2</v>
      </c>
      <c r="AC56" s="8">
        <f>athero!AC56/athero!$F56</f>
        <v>2.890301925385744E-4</v>
      </c>
      <c r="AD56" s="8">
        <f>athero!AD56/athero!$F56</f>
        <v>2.2759274904768256E-2</v>
      </c>
      <c r="AE56" s="8">
        <f>athero!AE56/athero!$F56</f>
        <v>7.3450724057687461E-2</v>
      </c>
      <c r="AF56" s="8">
        <f>athero!AF56/athero!$F56</f>
        <v>7.9298027183660161E-4</v>
      </c>
      <c r="AG56" s="8">
        <f>athero!AG56/athero!$F56</f>
        <v>0.34359019965316379</v>
      </c>
      <c r="AH56" s="8">
        <f>athero!AH56/athero!$F56</f>
        <v>0.32577408214386294</v>
      </c>
      <c r="AI56" s="8">
        <f>athero!AI56/athero!$F56</f>
        <v>1.8082914610105681E-3</v>
      </c>
      <c r="AJ56" s="8">
        <f>athero!AJ56/athero!$F56</f>
        <v>6.0325788904205015E-3</v>
      </c>
      <c r="AK56" s="8">
        <f>athero!AK56/athero!$F56</f>
        <v>0.30471934427201447</v>
      </c>
      <c r="AL56" s="8">
        <f>athero!AL56/athero!$F56</f>
        <v>0.17599715416425807</v>
      </c>
      <c r="AM56" s="8">
        <f>athero!AM56/athero!$F56</f>
        <v>1.8305245527443046E-3</v>
      </c>
      <c r="AN56" s="8">
        <f>athero!AN56/athero!$F56</f>
        <v>7.2465056990825144E-2</v>
      </c>
      <c r="AO56" s="8">
        <f>athero!AO56/athero!$F56</f>
        <v>1.9676286184356798E-2</v>
      </c>
      <c r="AP56" s="8">
        <f>athero!AP56/athero!$F56</f>
        <v>5.0513584419049316E-2</v>
      </c>
      <c r="AQ56" s="8">
        <f>athero!AQ56/athero!$F56</f>
        <v>7.9364726458861376E-2</v>
      </c>
      <c r="AR56" s="8">
        <f>athero!AR56/athero!$F56</f>
        <v>7.8838543287829604E-2</v>
      </c>
      <c r="AS56" s="8">
        <f>athero!AS56/athero!$F56</f>
        <v>1.591889368135533E-2</v>
      </c>
      <c r="AT56" s="8">
        <f>athero!AT56/athero!$F56</f>
        <v>2.26036432626321E-3</v>
      </c>
      <c r="AU56" s="8">
        <f>athero!AU56/athero!$F56</f>
        <v>0.10266500659581722</v>
      </c>
      <c r="AV56" s="8">
        <f>athero!AV56/athero!$F56</f>
        <v>2.7405991077119184E-2</v>
      </c>
      <c r="AW56" s="8">
        <f>athero!AW56/athero!$F56</f>
        <v>1.2005869536217705E-3</v>
      </c>
      <c r="AX56" s="8">
        <f>athero!AX56/athero!$F56</f>
        <v>1.1716839343679132E-2</v>
      </c>
      <c r="AY56" s="8">
        <f>athero!AY56/athero!$F56</f>
        <v>5.098789037603569E-3</v>
      </c>
      <c r="AZ56" s="8">
        <f>athero!AZ56/athero!$F56</f>
        <v>6.2623208383357793E-3</v>
      </c>
      <c r="BA56" s="8">
        <f>athero!BA56/athero!$F56</f>
        <v>8.6219929743430124E-2</v>
      </c>
      <c r="BB56" s="8">
        <f>athero!BB56/athero!$F56</f>
        <v>6.6580698711962885E-2</v>
      </c>
      <c r="BC56" s="8">
        <f>athero!BC56/athero!$F56</f>
        <v>4.372508040968177E-4</v>
      </c>
    </row>
    <row r="57" spans="1:55" ht="17.100000000000001">
      <c r="A57" s="5">
        <v>1162</v>
      </c>
      <c r="B57" s="6" t="s">
        <v>91</v>
      </c>
      <c r="C57" s="8" t="s">
        <v>215</v>
      </c>
      <c r="D57" s="8">
        <v>135286</v>
      </c>
      <c r="E57" s="8">
        <v>129503</v>
      </c>
      <c r="F57" s="8">
        <v>117499</v>
      </c>
      <c r="G57" s="8">
        <f>athero!G57/athero!$F57</f>
        <v>0.60777538532242825</v>
      </c>
      <c r="H57" s="8">
        <f>athero!H57/athero!$F57</f>
        <v>5.4468548668499305E-3</v>
      </c>
      <c r="I57" s="8">
        <f>athero!I57/athero!$F57</f>
        <v>5.3787691810143062E-3</v>
      </c>
      <c r="J57" s="8">
        <f>athero!J57/athero!$F57</f>
        <v>5.1149371484012626E-3</v>
      </c>
      <c r="K57" s="8">
        <f>athero!K57/athero!$F57</f>
        <v>5.1064264376718101E-3</v>
      </c>
      <c r="L57" s="8">
        <f>athero!L57/athero!$F57</f>
        <v>5.0979157269423567E-3</v>
      </c>
      <c r="M57" s="8">
        <f>athero!M57/athero!$F57</f>
        <v>2.2127847896577842E-3</v>
      </c>
      <c r="N57" s="8">
        <f>athero!N57/athero!$F57</f>
        <v>2.1702312360105192E-3</v>
      </c>
      <c r="O57" s="8">
        <f>athero!O57/athero!$F57</f>
        <v>4.2553553647265082E-5</v>
      </c>
      <c r="P57" s="8">
        <f>athero!P57/athero!$F57</f>
        <v>1.7021421458906032E-5</v>
      </c>
      <c r="Q57" s="8">
        <f>athero!Q57/athero!$F57</f>
        <v>0.36552651511927758</v>
      </c>
      <c r="R57" s="8">
        <f>athero!R57/athero!$F57</f>
        <v>4.3234410505621323E-2</v>
      </c>
      <c r="S57" s="8">
        <f>athero!S57/athero!$F57</f>
        <v>0.3103685988816926</v>
      </c>
      <c r="T57" s="8">
        <f>athero!T57/athero!$F57</f>
        <v>8.3575179363228631E-3</v>
      </c>
      <c r="U57" s="8">
        <f>athero!U57/athero!$F57</f>
        <v>7.4128290453535778E-3</v>
      </c>
      <c r="V57" s="8">
        <f>athero!V57/athero!$F57</f>
        <v>1.8902288530115149E-2</v>
      </c>
      <c r="W57" s="8">
        <f>athero!W57/athero!$F57</f>
        <v>0.13749053183431348</v>
      </c>
      <c r="X57" s="8">
        <f>athero!X57/athero!$F57</f>
        <v>5.4289823743180796E-2</v>
      </c>
      <c r="Y57" s="8">
        <f>athero!Y57/athero!$F57</f>
        <v>5.2664277993855264E-2</v>
      </c>
      <c r="Z57" s="8">
        <f>athero!Z57/athero!$F57</f>
        <v>5.3991948867649936E-2</v>
      </c>
      <c r="AA57" s="8">
        <f>athero!AA57/athero!$F57</f>
        <v>7.0553791947165507E-3</v>
      </c>
      <c r="AB57" s="8">
        <f>athero!AB57/athero!$F57</f>
        <v>3.8740755240470132E-2</v>
      </c>
      <c r="AC57" s="8">
        <f>athero!AC57/athero!$F57</f>
        <v>1.7021421458906033E-4</v>
      </c>
      <c r="AD57" s="8">
        <f>athero!AD57/athero!$F57</f>
        <v>3.6723716797589769E-2</v>
      </c>
      <c r="AE57" s="8">
        <f>athero!AE57/athero!$F57</f>
        <v>9.3796542949301689E-2</v>
      </c>
      <c r="AF57" s="8">
        <f>athero!AF57/athero!$F57</f>
        <v>1.2595851879590465E-3</v>
      </c>
      <c r="AG57" s="8">
        <f>athero!AG57/athero!$F57</f>
        <v>0.2289296079115567</v>
      </c>
      <c r="AH57" s="8">
        <f>athero!AH57/athero!$F57</f>
        <v>0.2101805121745717</v>
      </c>
      <c r="AI57" s="8">
        <f>athero!AI57/athero!$F57</f>
        <v>3.6085413492880792E-3</v>
      </c>
      <c r="AJ57" s="8">
        <f>athero!AJ57/athero!$F57</f>
        <v>1.2000102128528754E-3</v>
      </c>
      <c r="AK57" s="8">
        <f>athero!AK57/athero!$F57</f>
        <v>0.19518463986927548</v>
      </c>
      <c r="AL57" s="8">
        <f>athero!AL57/athero!$F57</f>
        <v>0.10023915097149763</v>
      </c>
      <c r="AM57" s="8">
        <f>athero!AM57/athero!$F57</f>
        <v>9.7873173388709697E-4</v>
      </c>
      <c r="AN57" s="8">
        <f>athero!AN57/athero!$F57</f>
        <v>4.7753597902960875E-2</v>
      </c>
      <c r="AO57" s="8">
        <f>athero!AO57/athero!$F57</f>
        <v>1.3753308538796074E-2</v>
      </c>
      <c r="AP57" s="8">
        <f>athero!AP57/athero!$F57</f>
        <v>3.1974740210554985E-2</v>
      </c>
      <c r="AQ57" s="8">
        <f>athero!AQ57/athero!$F57</f>
        <v>4.5174852551936609E-2</v>
      </c>
      <c r="AR57" s="8">
        <f>athero!AR57/athero!$F57</f>
        <v>4.4936552651511925E-2</v>
      </c>
      <c r="AS57" s="8">
        <f>athero!AS57/athero!$F57</f>
        <v>1.154052374913829E-2</v>
      </c>
      <c r="AT57" s="8">
        <f>athero!AT57/athero!$F57</f>
        <v>5.8894118247814877E-3</v>
      </c>
      <c r="AU57" s="8">
        <f>athero!AU57/athero!$F57</f>
        <v>7.9209184759019224E-2</v>
      </c>
      <c r="AV57" s="8">
        <f>athero!AV57/athero!$F57</f>
        <v>2.5744899956595374E-2</v>
      </c>
      <c r="AW57" s="8">
        <f>athero!AW57/athero!$F57</f>
        <v>3.4553485561579248E-3</v>
      </c>
      <c r="AX57" s="8">
        <f>athero!AX57/athero!$F57</f>
        <v>1.8195899539570549E-2</v>
      </c>
      <c r="AY57" s="8">
        <f>athero!AY57/athero!$F57</f>
        <v>6.8000578728329604E-3</v>
      </c>
      <c r="AZ57" s="8">
        <f>athero!AZ57/athero!$F57</f>
        <v>1.1063923948288921E-2</v>
      </c>
      <c r="BA57" s="8">
        <f>athero!BA57/athero!$F57</f>
        <v>5.8017515042681211E-2</v>
      </c>
      <c r="BB57" s="8">
        <f>athero!BB57/athero!$F57</f>
        <v>4.9889786296053583E-2</v>
      </c>
      <c r="BC57" s="8">
        <f>athero!BC57/athero!$F57</f>
        <v>1.7021421458906033E-4</v>
      </c>
    </row>
    <row r="58" spans="1:55" ht="17.100000000000001">
      <c r="A58" s="5">
        <v>1169</v>
      </c>
      <c r="B58" s="6" t="s">
        <v>80</v>
      </c>
      <c r="C58" s="8" t="s">
        <v>220</v>
      </c>
      <c r="D58" s="8">
        <v>123596</v>
      </c>
      <c r="E58" s="8">
        <v>120354</v>
      </c>
      <c r="F58" s="8">
        <v>110696</v>
      </c>
      <c r="G58" s="8">
        <f>athero!G58/athero!$F58</f>
        <v>0.43671858061718583</v>
      </c>
      <c r="H58" s="8">
        <f>athero!H58/athero!$F58</f>
        <v>2.8004625280046254E-3</v>
      </c>
      <c r="I58" s="8">
        <f>athero!I58/athero!$F58</f>
        <v>2.222302522223025E-3</v>
      </c>
      <c r="J58" s="8">
        <f>athero!J58/athero!$F58</f>
        <v>2.1500325215003252E-3</v>
      </c>
      <c r="K58" s="8">
        <f>athero!K58/athero!$F58</f>
        <v>2.1500325215003252E-3</v>
      </c>
      <c r="L58" s="8">
        <f>athero!L58/athero!$F58</f>
        <v>2.1500325215003252E-3</v>
      </c>
      <c r="M58" s="8">
        <f>athero!M58/athero!$F58</f>
        <v>4.5168750451687504E-4</v>
      </c>
      <c r="N58" s="8">
        <f>athero!N58/athero!$F58</f>
        <v>1.3731300137313001E-3</v>
      </c>
      <c r="O58" s="8">
        <f>athero!O58/athero!$F58</f>
        <v>4.5168750451687506E-5</v>
      </c>
      <c r="P58" s="8">
        <f>athero!P58/athero!$F58</f>
        <v>9.0337500903375001E-6</v>
      </c>
      <c r="Q58" s="8">
        <f>athero!Q58/athero!$F58</f>
        <v>0.21415407964154079</v>
      </c>
      <c r="R58" s="8">
        <f>athero!R58/athero!$F58</f>
        <v>6.1158488111584884E-2</v>
      </c>
      <c r="S58" s="8">
        <f>athero!S58/athero!$F58</f>
        <v>0.14990604899906049</v>
      </c>
      <c r="T58" s="8">
        <f>athero!T58/athero!$F58</f>
        <v>6.0797138107971382E-3</v>
      </c>
      <c r="U58" s="8">
        <f>athero!U58/athero!$F58</f>
        <v>8.9795475897954755E-3</v>
      </c>
      <c r="V58" s="8">
        <f>athero!V58/athero!$F58</f>
        <v>3.6966105369661051E-2</v>
      </c>
      <c r="W58" s="8">
        <f>athero!W58/athero!$F58</f>
        <v>1.3098937630989377E-2</v>
      </c>
      <c r="X58" s="8">
        <f>athero!X58/athero!$F58</f>
        <v>7.9948688299486884E-3</v>
      </c>
      <c r="Y58" s="8">
        <f>athero!Y58/athero!$F58</f>
        <v>7.7419238274192385E-3</v>
      </c>
      <c r="Z58" s="8">
        <f>athero!Z58/athero!$F58</f>
        <v>2.2746982727469826E-2</v>
      </c>
      <c r="AA58" s="8">
        <f>athero!AA58/athero!$F58</f>
        <v>2.8998337789983377E-3</v>
      </c>
      <c r="AB58" s="8">
        <f>athero!AB58/athero!$F58</f>
        <v>1.2683385126833851E-2</v>
      </c>
      <c r="AC58" s="8">
        <f>athero!AC58/athero!$F58</f>
        <v>4.6343137963431383E-3</v>
      </c>
      <c r="AD58" s="8">
        <f>athero!AD58/athero!$F58</f>
        <v>3.3966900339669004E-3</v>
      </c>
      <c r="AE58" s="8">
        <f>athero!AE58/athero!$F58</f>
        <v>8.8738527137385267E-2</v>
      </c>
      <c r="AF58" s="8">
        <f>athero!AF58/athero!$F58</f>
        <v>6.5043000650430005E-4</v>
      </c>
      <c r="AG58" s="8">
        <f>athero!AG58/athero!$F58</f>
        <v>0.2107302883573029</v>
      </c>
      <c r="AH58" s="8">
        <f>athero!AH58/athero!$F58</f>
        <v>0.12318421623184216</v>
      </c>
      <c r="AI58" s="8">
        <f>athero!AI58/athero!$F58</f>
        <v>7.7690250776902506E-4</v>
      </c>
      <c r="AJ58" s="8">
        <f>athero!AJ58/athero!$F58</f>
        <v>3.6135000361350004E-4</v>
      </c>
      <c r="AK58" s="8">
        <f>athero!AK58/athero!$F58</f>
        <v>0.12003143745031437</v>
      </c>
      <c r="AL58" s="8">
        <f>athero!AL58/athero!$F58</f>
        <v>7.9632507046325074E-2</v>
      </c>
      <c r="AM58" s="8">
        <f>athero!AM58/athero!$F58</f>
        <v>2.1681000216810002E-4</v>
      </c>
      <c r="AN58" s="8">
        <f>athero!AN58/athero!$F58</f>
        <v>1.963033894630339E-2</v>
      </c>
      <c r="AO58" s="8">
        <f>athero!AO58/athero!$F58</f>
        <v>5.3570138035701383E-3</v>
      </c>
      <c r="AP58" s="8">
        <f>athero!AP58/athero!$F58</f>
        <v>1.2927296379272963E-2</v>
      </c>
      <c r="AQ58" s="8">
        <f>athero!AQ58/athero!$F58</f>
        <v>5.441027679410277E-2</v>
      </c>
      <c r="AR58" s="8">
        <f>athero!AR58/athero!$F58</f>
        <v>4.9721760497217604E-2</v>
      </c>
      <c r="AS58" s="8">
        <f>athero!AS58/athero!$F58</f>
        <v>2.6288212762882127E-3</v>
      </c>
      <c r="AT58" s="8">
        <f>athero!AT58/athero!$F58</f>
        <v>6.3236250632362509E-4</v>
      </c>
      <c r="AU58" s="8">
        <f>athero!AU58/athero!$F58</f>
        <v>3.6017561610175615E-2</v>
      </c>
      <c r="AV58" s="8">
        <f>athero!AV58/athero!$F58</f>
        <v>3.0263062802630626E-3</v>
      </c>
      <c r="AW58" s="8">
        <f>athero!AW58/athero!$F58</f>
        <v>3.8845125388451253E-4</v>
      </c>
      <c r="AX58" s="8">
        <f>athero!AX58/athero!$F58</f>
        <v>1.1662571366625714E-2</v>
      </c>
      <c r="AY58" s="8">
        <f>athero!AY58/athero!$F58</f>
        <v>1.9061212690612128E-3</v>
      </c>
      <c r="AZ58" s="8">
        <f>athero!AZ58/athero!$F58</f>
        <v>9.0337500903375015E-3</v>
      </c>
      <c r="BA58" s="8">
        <f>athero!BA58/athero!$F58</f>
        <v>2.252113897521139E-2</v>
      </c>
      <c r="BB58" s="8">
        <f>athero!BB58/athero!$F58</f>
        <v>1.3433186384331865E-2</v>
      </c>
      <c r="BC58" s="8">
        <f>athero!BC58/athero!$F58</f>
        <v>9.9371250993712516E-5</v>
      </c>
    </row>
    <row r="59" spans="1:55" ht="17.100000000000001">
      <c r="A59" s="5">
        <v>1168</v>
      </c>
      <c r="B59" s="6" t="s">
        <v>80</v>
      </c>
      <c r="C59" s="8" t="s">
        <v>219</v>
      </c>
      <c r="D59" s="8">
        <v>85258</v>
      </c>
      <c r="E59" s="8">
        <v>80830</v>
      </c>
      <c r="F59" s="8">
        <v>71821</v>
      </c>
      <c r="G59" s="8">
        <f>athero!G59/athero!$F59</f>
        <v>0.27177287979838766</v>
      </c>
      <c r="H59" s="8">
        <f>athero!H59/athero!$F59</f>
        <v>4.3859038442795283E-3</v>
      </c>
      <c r="I59" s="8">
        <f>athero!I59/athero!$F59</f>
        <v>4.3162863229417583E-3</v>
      </c>
      <c r="J59" s="8">
        <f>athero!J59/athero!$F59</f>
        <v>3.9542752119853522E-3</v>
      </c>
      <c r="K59" s="8">
        <f>athero!K59/athero!$F59</f>
        <v>3.9403517077177984E-3</v>
      </c>
      <c r="L59" s="8">
        <f>athero!L59/athero!$F59</f>
        <v>3.9403517077177984E-3</v>
      </c>
      <c r="M59" s="8">
        <f>athero!M59/athero!$F59</f>
        <v>7.3794572618036502E-4</v>
      </c>
      <c r="N59" s="8">
        <f>athero!N59/athero!$F59</f>
        <v>2.5062307681597306E-3</v>
      </c>
      <c r="O59" s="8">
        <f>athero!O59/athero!$F59</f>
        <v>1.3923504267554058E-5</v>
      </c>
      <c r="P59" s="8">
        <f>athero!P59/athero!$F59</f>
        <v>5.5694017070216232E-5</v>
      </c>
      <c r="Q59" s="8">
        <f>athero!Q59/athero!$F59</f>
        <v>0.16780607343256151</v>
      </c>
      <c r="R59" s="8">
        <f>athero!R59/athero!$F59</f>
        <v>5.2909316216705419E-3</v>
      </c>
      <c r="S59" s="8">
        <f>athero!S59/athero!$F59</f>
        <v>0.15641664694170229</v>
      </c>
      <c r="T59" s="8">
        <f>athero!T59/athero!$F59</f>
        <v>4.274515810139096E-3</v>
      </c>
      <c r="U59" s="8">
        <f>athero!U59/athero!$F59</f>
        <v>7.2541457233956646E-3</v>
      </c>
      <c r="V59" s="8">
        <f>athero!V59/athero!$F59</f>
        <v>1.2545077345066206E-2</v>
      </c>
      <c r="W59" s="8">
        <f>athero!W59/athero!$F59</f>
        <v>4.7312067501148691E-2</v>
      </c>
      <c r="X59" s="8">
        <f>athero!X59/athero!$F59</f>
        <v>2.1595355118976343E-2</v>
      </c>
      <c r="Y59" s="8">
        <f>athero!Y59/athero!$F59</f>
        <v>2.0244775205023602E-2</v>
      </c>
      <c r="Z59" s="8">
        <f>athero!Z59/athero!$F59</f>
        <v>3.4042967934169673E-2</v>
      </c>
      <c r="AA59" s="8">
        <f>athero!AA59/athero!$F59</f>
        <v>2.923935896186352E-3</v>
      </c>
      <c r="AB59" s="8">
        <f>athero!AB59/athero!$F59</f>
        <v>2.0133387170883168E-2</v>
      </c>
      <c r="AC59" s="8">
        <f>athero!AC59/athero!$F59</f>
        <v>9.0502777739101374E-4</v>
      </c>
      <c r="AD59" s="8">
        <f>athero!AD59/athero!$F59</f>
        <v>1.6819593155205301E-2</v>
      </c>
      <c r="AE59" s="8">
        <f>athero!AE59/athero!$F59</f>
        <v>5.680789741162056E-2</v>
      </c>
      <c r="AF59" s="8">
        <f>athero!AF59/athero!$F59</f>
        <v>7.2402222191281099E-4</v>
      </c>
      <c r="AG59" s="8">
        <f>athero!AG59/athero!$F59</f>
        <v>9.1616658080505703E-2</v>
      </c>
      <c r="AH59" s="8">
        <f>athero!AH59/athero!$F59</f>
        <v>8.2134751674301384E-2</v>
      </c>
      <c r="AI59" s="8">
        <f>athero!AI59/athero!$F59</f>
        <v>7.1009871764525696E-4</v>
      </c>
      <c r="AJ59" s="8">
        <f>athero!AJ59/athero!$F59</f>
        <v>1.3227329054176355E-3</v>
      </c>
      <c r="AK59" s="8">
        <f>athero!AK59/athero!$F59</f>
        <v>7.7734924325754309E-2</v>
      </c>
      <c r="AL59" s="8">
        <f>athero!AL59/athero!$F59</f>
        <v>1.7404380334442571E-2</v>
      </c>
      <c r="AM59" s="8">
        <f>athero!AM59/athero!$F59</f>
        <v>3.3416410242129738E-4</v>
      </c>
      <c r="AN59" s="8">
        <f>athero!AN59/athero!$F59</f>
        <v>4.9428440149816904E-3</v>
      </c>
      <c r="AO59" s="8">
        <f>athero!AO59/athero!$F59</f>
        <v>1.1138803414043246E-4</v>
      </c>
      <c r="AP59" s="8">
        <f>athero!AP59/athero!$F59</f>
        <v>4.7339914509683797E-3</v>
      </c>
      <c r="AQ59" s="8">
        <f>athero!AQ59/athero!$F59</f>
        <v>1.1138803414043247E-2</v>
      </c>
      <c r="AR59" s="8">
        <f>athero!AR59/athero!$F59</f>
        <v>1.1138803414043247E-2</v>
      </c>
      <c r="AS59" s="8">
        <f>athero!AS59/athero!$F59</f>
        <v>3.6618816223667173E-3</v>
      </c>
      <c r="AT59" s="8">
        <f>athero!AT59/athero!$F59</f>
        <v>4.4555213656172985E-4</v>
      </c>
      <c r="AU59" s="8">
        <f>athero!AU59/athero!$F59</f>
        <v>5.4496595703206585E-2</v>
      </c>
      <c r="AV59" s="8">
        <f>athero!AV59/athero!$F59</f>
        <v>1.5329778198577018E-2</v>
      </c>
      <c r="AW59" s="8">
        <f>athero!AW59/athero!$F59</f>
        <v>8.3541025605324347E-4</v>
      </c>
      <c r="AX59" s="8">
        <f>athero!AX59/athero!$F59</f>
        <v>3.3277175199454201E-3</v>
      </c>
      <c r="AY59" s="8">
        <f>athero!AY59/athero!$F59</f>
        <v>3.0910179473970009E-3</v>
      </c>
      <c r="AZ59" s="8">
        <f>athero!AZ59/athero!$F59</f>
        <v>1.8100555547820275E-4</v>
      </c>
      <c r="BA59" s="8">
        <f>athero!BA59/athero!$F59</f>
        <v>4.981829826930842E-2</v>
      </c>
      <c r="BB59" s="8">
        <f>athero!BB59/athero!$F59</f>
        <v>4.6448810236560341E-2</v>
      </c>
      <c r="BC59" s="8">
        <f>athero!BC59/athero!$F59</f>
        <v>4.7339914509683797E-4</v>
      </c>
    </row>
    <row r="60" spans="1:55" ht="17.100000000000001">
      <c r="A60" s="5">
        <v>1210</v>
      </c>
      <c r="B60" s="6" t="s">
        <v>80</v>
      </c>
      <c r="C60" s="8" t="s">
        <v>228</v>
      </c>
      <c r="D60" s="8">
        <v>66184</v>
      </c>
      <c r="E60" s="8">
        <v>59940</v>
      </c>
      <c r="F60" s="8">
        <v>58794</v>
      </c>
      <c r="G60" s="8">
        <f>athero!G60/athero!$F60</f>
        <v>0.35297819505391709</v>
      </c>
      <c r="H60" s="8">
        <f>athero!H60/athero!$F60</f>
        <v>7.3476885396469025E-3</v>
      </c>
      <c r="I60" s="8">
        <f>athero!I60/athero!$F60</f>
        <v>7.1776031567847062E-3</v>
      </c>
      <c r="J60" s="8">
        <f>athero!J60/athero!$F60</f>
        <v>6.735381161342994E-3</v>
      </c>
      <c r="K60" s="8">
        <f>athero!K60/athero!$F60</f>
        <v>6.7183726230567748E-3</v>
      </c>
      <c r="L60" s="8">
        <f>athero!L60/athero!$F60</f>
        <v>6.6843555464843355E-3</v>
      </c>
      <c r="M60" s="8">
        <f>athero!M60/athero!$F60</f>
        <v>2.5002551280742932E-3</v>
      </c>
      <c r="N60" s="8">
        <f>athero!N60/athero!$F60</f>
        <v>3.163588121236861E-3</v>
      </c>
      <c r="O60" s="8">
        <f>athero!O60/athero!$F60</f>
        <v>3.4017076572439365E-5</v>
      </c>
      <c r="P60" s="8">
        <f>athero!P60/athero!$F60</f>
        <v>6.8034153144878729E-5</v>
      </c>
      <c r="Q60" s="8">
        <f>athero!Q60/athero!$F60</f>
        <v>0.17464367112290369</v>
      </c>
      <c r="R60" s="8">
        <f>athero!R60/athero!$F60</f>
        <v>7.4140218389631599E-2</v>
      </c>
      <c r="S60" s="8">
        <f>athero!S60/athero!$F60</f>
        <v>9.1301833520427256E-2</v>
      </c>
      <c r="T60" s="8">
        <f>athero!T60/athero!$F60</f>
        <v>3.4527332721025956E-3</v>
      </c>
      <c r="U60" s="8">
        <f>athero!U60/athero!$F60</f>
        <v>5.1025614858659046E-4</v>
      </c>
      <c r="V60" s="8">
        <f>athero!V60/athero!$F60</f>
        <v>2.0920502092050207E-3</v>
      </c>
      <c r="W60" s="8">
        <f>athero!W60/athero!$F60</f>
        <v>3.2571350818110689E-2</v>
      </c>
      <c r="X60" s="8">
        <f>athero!X60/athero!$F60</f>
        <v>1.0290165663162907E-2</v>
      </c>
      <c r="Y60" s="8">
        <f>athero!Y60/athero!$F60</f>
        <v>9.5247814402830214E-3</v>
      </c>
      <c r="Z60" s="8">
        <f>athero!Z60/athero!$F60</f>
        <v>2.0937510630336428E-2</v>
      </c>
      <c r="AA60" s="8">
        <f>athero!AA60/athero!$F60</f>
        <v>4.7453821818552915E-3</v>
      </c>
      <c r="AB60" s="8">
        <f>athero!AB60/athero!$F60</f>
        <v>1.124264380719121E-2</v>
      </c>
      <c r="AC60" s="8">
        <f>athero!AC60/athero!$F60</f>
        <v>6.8034153144878732E-4</v>
      </c>
      <c r="AD60" s="8">
        <f>athero!AD60/athero!$F60</f>
        <v>1.0103071742014491E-2</v>
      </c>
      <c r="AE60" s="8">
        <f>athero!AE60/athero!$F60</f>
        <v>2.4407252440725245E-2</v>
      </c>
      <c r="AF60" s="8">
        <f>athero!AF60/athero!$F60</f>
        <v>3.4017076572439366E-4</v>
      </c>
      <c r="AG60" s="8">
        <f>athero!AG60/athero!$F60</f>
        <v>0.16437051399802702</v>
      </c>
      <c r="AH60" s="8">
        <f>athero!AH60/athero!$F60</f>
        <v>0.15624043269721399</v>
      </c>
      <c r="AI60" s="8">
        <f>athero!AI60/athero!$F60</f>
        <v>5.1025614858659046E-4</v>
      </c>
      <c r="AJ60" s="8">
        <f>athero!AJ60/athero!$F60</f>
        <v>7.6538422287988569E-4</v>
      </c>
      <c r="AK60" s="8">
        <f>athero!AK60/athero!$F60</f>
        <v>0.15183522128108309</v>
      </c>
      <c r="AL60" s="8">
        <f>athero!AL60/athero!$F60</f>
        <v>9.7748069530904508E-2</v>
      </c>
      <c r="AM60" s="8">
        <f>athero!AM60/athero!$F60</f>
        <v>5.1025614858659046E-4</v>
      </c>
      <c r="AN60" s="8">
        <f>athero!AN60/athero!$F60</f>
        <v>6.1298771983535734E-2</v>
      </c>
      <c r="AO60" s="8">
        <f>athero!AO60/athero!$F60</f>
        <v>1.1922985338639997E-2</v>
      </c>
      <c r="AP60" s="8">
        <f>athero!AP60/athero!$F60</f>
        <v>4.3303738476715314E-2</v>
      </c>
      <c r="AQ60" s="8">
        <f>athero!AQ60/athero!$F60</f>
        <v>2.8115113787121136E-2</v>
      </c>
      <c r="AR60" s="8">
        <f>athero!AR60/athero!$F60</f>
        <v>2.7111610028234173E-2</v>
      </c>
      <c r="AS60" s="8">
        <f>athero!AS60/athero!$F60</f>
        <v>7.0755519270673875E-3</v>
      </c>
      <c r="AT60" s="8">
        <f>athero!AT60/athero!$F60</f>
        <v>1.7518794434806272E-3</v>
      </c>
      <c r="AU60" s="8">
        <f>athero!AU60/athero!$F60</f>
        <v>4.641630098309351E-2</v>
      </c>
      <c r="AV60" s="8">
        <f>athero!AV60/athero!$F60</f>
        <v>1.709358097765078E-2</v>
      </c>
      <c r="AW60" s="8">
        <f>athero!AW60/athero!$F60</f>
        <v>1.343674524611355E-3</v>
      </c>
      <c r="AX60" s="8">
        <f>athero!AX60/athero!$F60</f>
        <v>1.3011531788958057E-2</v>
      </c>
      <c r="AY60" s="8">
        <f>athero!AY60/athero!$F60</f>
        <v>4.405211416130898E-3</v>
      </c>
      <c r="AZ60" s="8">
        <f>athero!AZ60/athero!$F60</f>
        <v>7.2626458482158048E-3</v>
      </c>
      <c r="BA60" s="8">
        <f>athero!BA60/athero!$F60</f>
        <v>3.2027077592951661E-2</v>
      </c>
      <c r="BB60" s="8">
        <f>athero!BB60/athero!$F60</f>
        <v>2.6822464877368439E-2</v>
      </c>
      <c r="BC60" s="8">
        <f>athero!BC60/athero!$F60</f>
        <v>8.5042691431098415E-5</v>
      </c>
    </row>
    <row r="61" spans="1:55" ht="35.1" customHeight="1">
      <c r="A61" s="5">
        <v>1258</v>
      </c>
      <c r="B61" s="6" t="s">
        <v>80</v>
      </c>
      <c r="C61" s="8" t="s">
        <v>233</v>
      </c>
      <c r="D61" s="8">
        <v>284351</v>
      </c>
      <c r="E61" s="8">
        <v>257365</v>
      </c>
      <c r="F61" s="8">
        <v>244867</v>
      </c>
      <c r="G61" s="8">
        <f>athero!G61/athero!$F61</f>
        <v>0.51404640069915508</v>
      </c>
      <c r="H61" s="8">
        <f>athero!H61/athero!$F61</f>
        <v>2.6708376383914531E-3</v>
      </c>
      <c r="I61" s="8">
        <f>athero!I61/athero!$F61</f>
        <v>2.6585860895914923E-3</v>
      </c>
      <c r="J61" s="8">
        <f>athero!J61/athero!$F61</f>
        <v>2.4993159551920021E-3</v>
      </c>
      <c r="K61" s="8">
        <f>athero!K61/athero!$F61</f>
        <v>2.4829805567920544E-3</v>
      </c>
      <c r="L61" s="8">
        <f>athero!L61/athero!$F61</f>
        <v>2.4788967071920675E-3</v>
      </c>
      <c r="M61" s="8">
        <f>athero!M61/athero!$F61</f>
        <v>4.369719071986017E-4</v>
      </c>
      <c r="N61" s="8">
        <f>athero!N61/athero!$F61</f>
        <v>1.5396112991950732E-3</v>
      </c>
      <c r="O61" s="8">
        <f>athero!O61/athero!$F61</f>
        <v>3.6754646399882385E-5</v>
      </c>
      <c r="P61" s="8">
        <f>athero!P61/athero!$F61</f>
        <v>8.9844691199712499E-5</v>
      </c>
      <c r="Q61" s="8">
        <f>athero!Q61/athero!$F61</f>
        <v>0.32747981557335204</v>
      </c>
      <c r="R61" s="8">
        <f>athero!R61/athero!$F61</f>
        <v>9.0943246742108977E-2</v>
      </c>
      <c r="S61" s="8">
        <f>athero!S61/athero!$F61</f>
        <v>0.22648213111607526</v>
      </c>
      <c r="T61" s="8">
        <f>athero!T61/athero!$F61</f>
        <v>8.1799507487738243E-3</v>
      </c>
      <c r="U61" s="8">
        <f>athero!U61/athero!$F61</f>
        <v>2.2158967929529091E-2</v>
      </c>
      <c r="V61" s="8">
        <f>athero!V61/athero!$F61</f>
        <v>2.7704835686311345E-2</v>
      </c>
      <c r="W61" s="8">
        <f>athero!W61/athero!$F61</f>
        <v>9.4451273548497749E-2</v>
      </c>
      <c r="X61" s="8">
        <f>athero!X61/athero!$F61</f>
        <v>3.3107768707094053E-2</v>
      </c>
      <c r="Y61" s="8">
        <f>athero!Y61/athero!$F61</f>
        <v>3.2711635295895325E-2</v>
      </c>
      <c r="Z61" s="8">
        <f>athero!Z61/athero!$F61</f>
        <v>3.30301755646943E-2</v>
      </c>
      <c r="AA61" s="8">
        <f>athero!AA61/athero!$F61</f>
        <v>3.6101230463884476E-3</v>
      </c>
      <c r="AB61" s="8">
        <f>athero!AB61/athero!$F61</f>
        <v>2.5083004243119735E-2</v>
      </c>
      <c r="AC61" s="8">
        <f>athero!AC61/athero!$F61</f>
        <v>2.9077009151906954E-3</v>
      </c>
      <c r="AD61" s="8">
        <f>athero!AD61/athero!$F61</f>
        <v>2.1072663935932566E-2</v>
      </c>
      <c r="AE61" s="8">
        <f>athero!AE61/athero!$F61</f>
        <v>8.2612193558135635E-2</v>
      </c>
      <c r="AF61" s="8">
        <f>athero!AF61/athero!$F61</f>
        <v>5.5540354559822274E-4</v>
      </c>
      <c r="AG61" s="8">
        <f>athero!AG61/athero!$F61</f>
        <v>0.17920748814662654</v>
      </c>
      <c r="AH61" s="8">
        <f>athero!AH61/athero!$F61</f>
        <v>0.16894885795145936</v>
      </c>
      <c r="AI61" s="8">
        <f>athero!AI61/athero!$F61</f>
        <v>9.3111770879702039E-4</v>
      </c>
      <c r="AJ61" s="8">
        <f>athero!AJ61/athero!$F61</f>
        <v>6.2891283839798745E-4</v>
      </c>
      <c r="AK61" s="8">
        <f>athero!AK61/athero!$F61</f>
        <v>0.16408499307787494</v>
      </c>
      <c r="AL61" s="8">
        <f>athero!AL61/athero!$F61</f>
        <v>0.11912997668121879</v>
      </c>
      <c r="AM61" s="8">
        <f>athero!AM61/athero!$F61</f>
        <v>5.1864889919834027E-4</v>
      </c>
      <c r="AN61" s="8">
        <f>athero!AN61/athero!$F61</f>
        <v>2.9579322652705346E-2</v>
      </c>
      <c r="AO61" s="8">
        <f>athero!AO61/athero!$F61</f>
        <v>7.9553390207745423E-3</v>
      </c>
      <c r="AP61" s="8">
        <f>athero!AP61/athero!$F61</f>
        <v>1.911241612793884E-2</v>
      </c>
      <c r="AQ61" s="8">
        <f>athero!AQ61/athero!$F61</f>
        <v>7.8965315865347316E-2</v>
      </c>
      <c r="AR61" s="8">
        <f>athero!AR61/athero!$F61</f>
        <v>7.7817754127750979E-2</v>
      </c>
      <c r="AS61" s="8">
        <f>athero!AS61/athero!$F61</f>
        <v>9.0743138111709625E-3</v>
      </c>
      <c r="AT61" s="8">
        <f>athero!AT61/athero!$F61</f>
        <v>1.5396112991950732E-3</v>
      </c>
      <c r="AU61" s="8">
        <f>athero!AU61/athero!$F61</f>
        <v>3.8600546419076481E-2</v>
      </c>
      <c r="AV61" s="8">
        <f>athero!AV61/athero!$F61</f>
        <v>7.4856963167760455E-3</v>
      </c>
      <c r="AW61" s="8">
        <f>athero!AW61/athero!$F61</f>
        <v>3.1445641919899373E-4</v>
      </c>
      <c r="AX61" s="8">
        <f>athero!AX61/athero!$F61</f>
        <v>4.7903555807846708E-3</v>
      </c>
      <c r="AY61" s="8">
        <f>athero!AY61/athero!$F61</f>
        <v>1.3435865183957006E-3</v>
      </c>
      <c r="AZ61" s="8">
        <f>athero!AZ61/athero!$F61</f>
        <v>3.1690672895898588E-3</v>
      </c>
      <c r="BA61" s="8">
        <f>athero!BA61/athero!$F61</f>
        <v>3.2050051660697437E-2</v>
      </c>
      <c r="BB61" s="8">
        <f>athero!BB61/athero!$F61</f>
        <v>2.5225938979119279E-2</v>
      </c>
      <c r="BC61" s="8">
        <f>athero!BC61/athero!$F61</f>
        <v>6.5341593599790913E-5</v>
      </c>
    </row>
    <row r="62" spans="1:55" ht="17.100000000000001">
      <c r="A62" s="5">
        <v>1021</v>
      </c>
      <c r="B62" s="6" t="s">
        <v>44</v>
      </c>
      <c r="C62" s="8" t="s">
        <v>176</v>
      </c>
      <c r="D62" s="8">
        <v>36221</v>
      </c>
      <c r="E62" s="8">
        <v>34723</v>
      </c>
      <c r="F62" s="8">
        <v>34052</v>
      </c>
      <c r="G62" s="8">
        <f>athero!G62/athero!$F62</f>
        <v>0.74439093151650415</v>
      </c>
      <c r="H62" s="8">
        <f>athero!H62/athero!$F62</f>
        <v>2.9366850698931047E-5</v>
      </c>
      <c r="I62" s="8">
        <f>athero!I62/athero!$F62</f>
        <v>2.9366850698931047E-5</v>
      </c>
      <c r="J62" s="8">
        <f>athero!J62/athero!$F62</f>
        <v>0</v>
      </c>
      <c r="K62" s="8">
        <f>athero!K62/athero!$F62</f>
        <v>0</v>
      </c>
      <c r="L62" s="8">
        <f>athero!L62/athero!$F62</f>
        <v>0</v>
      </c>
      <c r="M62" s="8">
        <f>athero!M62/athero!$F62</f>
        <v>0</v>
      </c>
      <c r="N62" s="8">
        <f>athero!N62/athero!$F62</f>
        <v>0</v>
      </c>
      <c r="O62" s="8">
        <f>athero!O62/athero!$F62</f>
        <v>0</v>
      </c>
      <c r="P62" s="8">
        <f>athero!P62/athero!$F62</f>
        <v>0</v>
      </c>
      <c r="Q62" s="8">
        <f>athero!Q62/athero!$F62</f>
        <v>0.26242217784564781</v>
      </c>
      <c r="R62" s="8">
        <f>athero!R62/athero!$F62</f>
        <v>6.2610125690120991E-2</v>
      </c>
      <c r="S62" s="8">
        <f>athero!S62/athero!$F62</f>
        <v>0.19461411958181604</v>
      </c>
      <c r="T62" s="8">
        <f>athero!T62/athero!$F62</f>
        <v>2.2113238576295078E-2</v>
      </c>
      <c r="U62" s="8">
        <f>athero!U62/athero!$F62</f>
        <v>6.9863737812756954E-2</v>
      </c>
      <c r="V62" s="8">
        <f>athero!V62/athero!$F62</f>
        <v>0.10184423822389287</v>
      </c>
      <c r="W62" s="8">
        <f>athero!W62/athero!$F62</f>
        <v>1.6210501585809937E-2</v>
      </c>
      <c r="X62" s="8">
        <f>athero!X62/athero!$F62</f>
        <v>3.4065546810760016E-3</v>
      </c>
      <c r="Y62" s="8">
        <f>athero!Y62/athero!$F62</f>
        <v>2.4961823094091389E-3</v>
      </c>
      <c r="Z62" s="8">
        <f>athero!Z62/athero!$F62</f>
        <v>5.2566662751086575E-2</v>
      </c>
      <c r="AA62" s="8">
        <f>athero!AA62/athero!$F62</f>
        <v>7.3417126747327621E-4</v>
      </c>
      <c r="AB62" s="8">
        <f>athero!AB62/athero!$F62</f>
        <v>7.723481733818865E-3</v>
      </c>
      <c r="AC62" s="8">
        <f>athero!AC62/athero!$F62</f>
        <v>2.4374486080112768E-3</v>
      </c>
      <c r="AD62" s="8">
        <f>athero!AD62/athero!$F62</f>
        <v>4.5224950076353816E-3</v>
      </c>
      <c r="AE62" s="8">
        <f>athero!AE62/athero!$F62</f>
        <v>0.11432514977093856</v>
      </c>
      <c r="AF62" s="8">
        <f>athero!AF62/athero!$F62</f>
        <v>1.4389756842476213E-3</v>
      </c>
      <c r="AG62" s="8">
        <f>athero!AG62/athero!$F62</f>
        <v>0.48003054152472691</v>
      </c>
      <c r="AH62" s="8">
        <f>athero!AH62/athero!$F62</f>
        <v>0.41912369317514392</v>
      </c>
      <c r="AI62" s="8">
        <f>athero!AI62/athero!$F62</f>
        <v>1.4654058498766592E-2</v>
      </c>
      <c r="AJ62" s="8">
        <f>athero!AJ62/athero!$F62</f>
        <v>2.9073182191941735E-3</v>
      </c>
      <c r="AK62" s="8">
        <f>athero!AK62/athero!$F62</f>
        <v>0.37618935745330673</v>
      </c>
      <c r="AL62" s="8">
        <f>athero!AL62/athero!$F62</f>
        <v>0.295988488194526</v>
      </c>
      <c r="AM62" s="8">
        <f>athero!AM62/athero!$F62</f>
        <v>1.321508281451897E-3</v>
      </c>
      <c r="AN62" s="8">
        <f>athero!AN62/athero!$F62</f>
        <v>0.12736403148126396</v>
      </c>
      <c r="AO62" s="8">
        <f>athero!AO62/athero!$F62</f>
        <v>5.0246681545871023E-2</v>
      </c>
      <c r="AP62" s="8">
        <f>athero!AP62/athero!$F62</f>
        <v>6.6721484787971339E-2</v>
      </c>
      <c r="AQ62" s="8">
        <f>athero!AQ62/athero!$F62</f>
        <v>0.13696699165981441</v>
      </c>
      <c r="AR62" s="8">
        <f>athero!AR62/athero!$F62</f>
        <v>0.13614471984024434</v>
      </c>
      <c r="AS62" s="8">
        <f>athero!AS62/athero!$F62</f>
        <v>2.4521320333607426E-2</v>
      </c>
      <c r="AT62" s="8">
        <f>athero!AT62/athero!$F62</f>
        <v>1.709150710677787E-2</v>
      </c>
      <c r="AU62" s="8">
        <f>athero!AU62/athero!$F62</f>
        <v>6.4137201926465409E-2</v>
      </c>
      <c r="AV62" s="8">
        <f>athero!AV62/athero!$F62</f>
        <v>3.9938916950546226E-3</v>
      </c>
      <c r="AW62" s="8">
        <f>athero!AW62/athero!$F62</f>
        <v>3.5827557852695876E-3</v>
      </c>
      <c r="AX62" s="8">
        <f>athero!AX62/athero!$F62</f>
        <v>1.7766944672853283E-2</v>
      </c>
      <c r="AY62" s="8">
        <f>athero!AY62/athero!$F62</f>
        <v>6.3726066016680369E-3</v>
      </c>
      <c r="AZ62" s="8">
        <f>athero!AZ62/athero!$F62</f>
        <v>1.0718900505109832E-2</v>
      </c>
      <c r="BA62" s="8">
        <f>athero!BA62/athero!$F62</f>
        <v>3.7677669446728533E-2</v>
      </c>
      <c r="BB62" s="8">
        <f>athero!BB62/athero!$F62</f>
        <v>3.0247856219898978E-2</v>
      </c>
      <c r="BC62" s="8">
        <f>athero!BC62/athero!$F62</f>
        <v>4.4050276048396568E-4</v>
      </c>
    </row>
    <row r="63" spans="1:55" ht="33.950000000000003">
      <c r="A63" s="5">
        <v>1023</v>
      </c>
      <c r="B63" s="6" t="s">
        <v>47</v>
      </c>
      <c r="C63" s="8" t="s">
        <v>178</v>
      </c>
      <c r="D63" s="8">
        <v>28053</v>
      </c>
      <c r="E63" s="8">
        <v>26751</v>
      </c>
      <c r="F63" s="8">
        <v>26457</v>
      </c>
      <c r="G63" s="8">
        <f>athero!G63/athero!$F63</f>
        <v>0.74660770306535129</v>
      </c>
      <c r="H63" s="8">
        <f>athero!H63/athero!$F63</f>
        <v>4.1576898363382088E-3</v>
      </c>
      <c r="I63" s="8">
        <f>athero!I63/athero!$F63</f>
        <v>4.1198926560078617E-3</v>
      </c>
      <c r="J63" s="8">
        <f>athero!J63/athero!$F63</f>
        <v>3.8553123936954305E-3</v>
      </c>
      <c r="K63" s="8">
        <f>athero!K63/athero!$F63</f>
        <v>3.8553123936954305E-3</v>
      </c>
      <c r="L63" s="8">
        <f>athero!L63/athero!$F63</f>
        <v>3.7797180330347356E-3</v>
      </c>
      <c r="M63" s="8">
        <f>athero!M63/athero!$F63</f>
        <v>4.9136334429451562E-4</v>
      </c>
      <c r="N63" s="8">
        <f>athero!N63/athero!$F63</f>
        <v>2.7213969837850097E-3</v>
      </c>
      <c r="O63" s="8">
        <f>athero!O63/athero!$F63</f>
        <v>0</v>
      </c>
      <c r="P63" s="8">
        <f>athero!P63/athero!$F63</f>
        <v>1.1339154099104207E-4</v>
      </c>
      <c r="Q63" s="8">
        <f>athero!Q63/athero!$F63</f>
        <v>0.20338662735759913</v>
      </c>
      <c r="R63" s="8">
        <f>athero!R63/athero!$F63</f>
        <v>7.6803870431265825E-2</v>
      </c>
      <c r="S63" s="8">
        <f>athero!S63/athero!$F63</f>
        <v>0.10632346826926711</v>
      </c>
      <c r="T63" s="8">
        <f>athero!T63/athero!$F63</f>
        <v>6.6901009184714821E-3</v>
      </c>
      <c r="U63" s="8">
        <f>athero!U63/athero!$F63</f>
        <v>4.8002419019541141E-3</v>
      </c>
      <c r="V63" s="8">
        <f>athero!V63/athero!$F63</f>
        <v>9.4870922629171871E-3</v>
      </c>
      <c r="W63" s="8">
        <f>athero!W63/athero!$F63</f>
        <v>5.5410666364289221E-2</v>
      </c>
      <c r="X63" s="8">
        <f>athero!X63/athero!$F63</f>
        <v>2.3963412329440225E-2</v>
      </c>
      <c r="Y63" s="8">
        <f>athero!Y63/athero!$F63</f>
        <v>2.1960161771931812E-2</v>
      </c>
      <c r="Z63" s="8">
        <f>athero!Z63/athero!$F63</f>
        <v>8.2775824923460705E-3</v>
      </c>
      <c r="AA63" s="8">
        <f>athero!AA63/athero!$F63</f>
        <v>1.1339154099104206E-3</v>
      </c>
      <c r="AB63" s="8">
        <f>athero!AB63/athero!$F63</f>
        <v>5.5561855085610613E-3</v>
      </c>
      <c r="AC63" s="8">
        <f>athero!AC63/athero!$F63</f>
        <v>1.5118872132138942E-3</v>
      </c>
      <c r="AD63" s="8">
        <f>athero!AD63/athero!$F63</f>
        <v>3.4773405903919569E-3</v>
      </c>
      <c r="AE63" s="8">
        <f>athero!AE63/athero!$F63</f>
        <v>3.5907321313829989E-2</v>
      </c>
      <c r="AF63" s="8">
        <f>athero!AF63/athero!$F63</f>
        <v>6.0475488528555774E-4</v>
      </c>
      <c r="AG63" s="8">
        <f>athero!AG63/athero!$F63</f>
        <v>0.5316551385266659</v>
      </c>
      <c r="AH63" s="8">
        <f>athero!AH63/athero!$F63</f>
        <v>0.49223267944211363</v>
      </c>
      <c r="AI63" s="8">
        <f>athero!AI63/athero!$F63</f>
        <v>6.3877234758287034E-3</v>
      </c>
      <c r="AJ63" s="8">
        <f>athero!AJ63/athero!$F63</f>
        <v>1.3606984918925048E-3</v>
      </c>
      <c r="AK63" s="8">
        <f>athero!AK63/athero!$F63</f>
        <v>0.47254034849000265</v>
      </c>
      <c r="AL63" s="8">
        <f>athero!AL63/athero!$F63</f>
        <v>0.36402464376157539</v>
      </c>
      <c r="AM63" s="8">
        <f>athero!AM63/athero!$F63</f>
        <v>1.2851041312318102E-3</v>
      </c>
      <c r="AN63" s="8">
        <f>athero!AN63/athero!$F63</f>
        <v>0.24757153116377517</v>
      </c>
      <c r="AO63" s="8">
        <f>athero!AO63/athero!$F63</f>
        <v>5.6544581774199645E-2</v>
      </c>
      <c r="AP63" s="8">
        <f>athero!AP63/athero!$F63</f>
        <v>0.17677741240503458</v>
      </c>
      <c r="AQ63" s="8">
        <f>athero!AQ63/athero!$F63</f>
        <v>8.4514495218656685E-2</v>
      </c>
      <c r="AR63" s="8">
        <f>athero!AR63/athero!$F63</f>
        <v>8.3342782628415921E-2</v>
      </c>
      <c r="AS63" s="8">
        <f>athero!AS63/athero!$F63</f>
        <v>4.588577692104169E-2</v>
      </c>
      <c r="AT63" s="8">
        <f>athero!AT63/athero!$F63</f>
        <v>3.326151869070567E-2</v>
      </c>
      <c r="AU63" s="8">
        <f>athero!AU63/athero!$F63</f>
        <v>9.1431379219110251E-2</v>
      </c>
      <c r="AV63" s="8">
        <f>athero!AV63/athero!$F63</f>
        <v>2.2186944853913898E-2</v>
      </c>
      <c r="AW63" s="8">
        <f>athero!AW63/athero!$F63</f>
        <v>9.6382809842385751E-3</v>
      </c>
      <c r="AX63" s="8">
        <f>athero!AX63/athero!$F63</f>
        <v>3.2014211739804212E-2</v>
      </c>
      <c r="AY63" s="8">
        <f>athero!AY63/athero!$F63</f>
        <v>1.7802471935593606E-2</v>
      </c>
      <c r="AZ63" s="8">
        <f>athero!AZ63/athero!$F63</f>
        <v>1.2926635672978797E-2</v>
      </c>
      <c r="BA63" s="8">
        <f>athero!BA63/athero!$F63</f>
        <v>5.1819934232906227E-2</v>
      </c>
      <c r="BB63" s="8">
        <f>athero!BB63/athero!$F63</f>
        <v>4.2068261707676607E-2</v>
      </c>
      <c r="BC63" s="8">
        <f>athero!BC63/athero!$F63</f>
        <v>1.6630759345352838E-3</v>
      </c>
    </row>
    <row r="64" spans="1:55" ht="68.099999999999994">
      <c r="A64" s="5">
        <v>1121</v>
      </c>
      <c r="B64" s="6" t="s">
        <v>75</v>
      </c>
      <c r="C64" s="8" t="s">
        <v>202</v>
      </c>
      <c r="D64" s="8">
        <v>205943</v>
      </c>
      <c r="E64" s="8">
        <v>200135</v>
      </c>
      <c r="F64" s="8">
        <v>194780</v>
      </c>
      <c r="G64" s="8">
        <f>athero!G64/athero!$F64</f>
        <v>0.72617311838997844</v>
      </c>
      <c r="H64" s="8">
        <f>athero!H64/athero!$F64</f>
        <v>1.0267994660642776E-3</v>
      </c>
      <c r="I64" s="8">
        <f>athero!I64/athero!$F64</f>
        <v>1.0267994660642776E-3</v>
      </c>
      <c r="J64" s="8">
        <f>athero!J64/athero!$F64</f>
        <v>9.3438751411849263E-4</v>
      </c>
      <c r="K64" s="8">
        <f>athero!K64/athero!$F64</f>
        <v>9.2925351678817129E-4</v>
      </c>
      <c r="L64" s="8">
        <f>athero!L64/athero!$F64</f>
        <v>9.1898552212752848E-4</v>
      </c>
      <c r="M64" s="8">
        <f>athero!M64/athero!$F64</f>
        <v>3.7991580244378274E-4</v>
      </c>
      <c r="N64" s="8">
        <f>athero!N64/athero!$F64</f>
        <v>3.4911181846185437E-4</v>
      </c>
      <c r="O64" s="8">
        <f>athero!O64/athero!$F64</f>
        <v>0</v>
      </c>
      <c r="P64" s="8">
        <f>athero!P64/athero!$F64</f>
        <v>3.080398398192833E-5</v>
      </c>
      <c r="Q64" s="8">
        <f>athero!Q64/athero!$F64</f>
        <v>0.37595749050210492</v>
      </c>
      <c r="R64" s="8">
        <f>athero!R64/athero!$F64</f>
        <v>7.3411027826265532E-2</v>
      </c>
      <c r="S64" s="8">
        <f>athero!S64/athero!$F64</f>
        <v>0.29754594927610639</v>
      </c>
      <c r="T64" s="8">
        <f>athero!T64/athero!$F64</f>
        <v>1.386692678919807E-2</v>
      </c>
      <c r="U64" s="8">
        <f>athero!U64/athero!$F64</f>
        <v>7.8550159153917241E-3</v>
      </c>
      <c r="V64" s="8">
        <f>athero!V64/athero!$F64</f>
        <v>2.8201047335455386E-2</v>
      </c>
      <c r="W64" s="8">
        <f>athero!W64/athero!$F64</f>
        <v>0.1403942909949687</v>
      </c>
      <c r="X64" s="8">
        <f>athero!X64/athero!$F64</f>
        <v>4.4583632816510933E-2</v>
      </c>
      <c r="Y64" s="8">
        <f>athero!Y64/athero!$F64</f>
        <v>4.2278468015196635E-2</v>
      </c>
      <c r="Z64" s="8">
        <f>athero!Z64/athero!$F64</f>
        <v>2.8704179073826882E-2</v>
      </c>
      <c r="AA64" s="8">
        <f>athero!AA64/athero!$F64</f>
        <v>3.2395523154327959E-3</v>
      </c>
      <c r="AB64" s="8">
        <f>athero!AB64/athero!$F64</f>
        <v>2.3467501796899066E-2</v>
      </c>
      <c r="AC64" s="8">
        <f>athero!AC64/athero!$F64</f>
        <v>8.2657357018174355E-3</v>
      </c>
      <c r="AD64" s="8">
        <f>athero!AD64/athero!$F64</f>
        <v>1.1803059862408871E-2</v>
      </c>
      <c r="AE64" s="8">
        <f>athero!AE64/athero!$F64</f>
        <v>0.11354861895471814</v>
      </c>
      <c r="AF64" s="8">
        <f>athero!AF64/athero!$F64</f>
        <v>8.6764554882431456E-4</v>
      </c>
      <c r="AG64" s="8">
        <f>athero!AG64/athero!$F64</f>
        <v>0.34314611356402097</v>
      </c>
      <c r="AH64" s="8">
        <f>athero!AH64/athero!$F64</f>
        <v>0.3272666598213369</v>
      </c>
      <c r="AI64" s="8">
        <f>athero!AI64/athero!$F64</f>
        <v>3.8504979977410414E-4</v>
      </c>
      <c r="AJ64" s="8">
        <f>athero!AJ64/athero!$F64</f>
        <v>6.930896395933874E-4</v>
      </c>
      <c r="AK64" s="8">
        <f>athero!AK64/athero!$F64</f>
        <v>0.32378067563404866</v>
      </c>
      <c r="AL64" s="8">
        <f>athero!AL64/athero!$F64</f>
        <v>0.15064174966629018</v>
      </c>
      <c r="AM64" s="8">
        <f>athero!AM64/athero!$F64</f>
        <v>1.9098470068795565E-3</v>
      </c>
      <c r="AN64" s="8">
        <f>athero!AN64/athero!$F64</f>
        <v>5.5883560940548312E-2</v>
      </c>
      <c r="AO64" s="8">
        <f>athero!AO64/athero!$F64</f>
        <v>1.113050621213677E-2</v>
      </c>
      <c r="AP64" s="8">
        <f>athero!AP64/athero!$F64</f>
        <v>4.1939624191395422E-2</v>
      </c>
      <c r="AQ64" s="8">
        <f>athero!AQ64/athero!$F64</f>
        <v>7.9489680665366061E-2</v>
      </c>
      <c r="AR64" s="8">
        <f>athero!AR64/athero!$F64</f>
        <v>7.7004825957490503E-2</v>
      </c>
      <c r="AS64" s="8">
        <f>athero!AS64/athero!$F64</f>
        <v>2.6044768456720404E-2</v>
      </c>
      <c r="AT64" s="8">
        <f>athero!AT64/athero!$F64</f>
        <v>3.6092001232159361E-3</v>
      </c>
      <c r="AU64" s="8">
        <f>athero!AU64/athero!$F64</f>
        <v>0.15744429612896602</v>
      </c>
      <c r="AV64" s="8">
        <f>athero!AV64/athero!$F64</f>
        <v>3.1276311736317897E-2</v>
      </c>
      <c r="AW64" s="8">
        <f>athero!AW64/athero!$F64</f>
        <v>3.3165622753876167E-3</v>
      </c>
      <c r="AX64" s="8">
        <f>athero!AX64/athero!$F64</f>
        <v>8.6405175069308969E-3</v>
      </c>
      <c r="AY64" s="8">
        <f>athero!AY64/athero!$F64</f>
        <v>6.3456207002772361E-3</v>
      </c>
      <c r="AZ64" s="8">
        <f>athero!AZ64/athero!$F64</f>
        <v>2.063866926789198E-3</v>
      </c>
      <c r="BA64" s="8">
        <f>athero!BA64/athero!$F64</f>
        <v>0.14319745353732416</v>
      </c>
      <c r="BB64" s="8">
        <f>athero!BB64/athero!$F64</f>
        <v>7.7898141492966422E-2</v>
      </c>
      <c r="BC64" s="8">
        <f>athero!BC64/athero!$F64</f>
        <v>1.6428791457028444E-4</v>
      </c>
    </row>
    <row r="65" spans="1:55" ht="33.950000000000003">
      <c r="A65" s="5">
        <v>1014</v>
      </c>
      <c r="B65" s="6" t="s">
        <v>40</v>
      </c>
      <c r="C65" s="8" t="s">
        <v>172</v>
      </c>
      <c r="D65" s="8">
        <v>112228</v>
      </c>
      <c r="E65" s="8">
        <v>110574</v>
      </c>
      <c r="F65" s="8">
        <v>108857</v>
      </c>
      <c r="G65" s="8">
        <f>athero!G65/athero!$F65</f>
        <v>0.45737986532790725</v>
      </c>
      <c r="H65" s="8">
        <f>athero!H65/athero!$F65</f>
        <v>8.9567046675914277E-3</v>
      </c>
      <c r="I65" s="8">
        <f>athero!I65/athero!$F65</f>
        <v>8.5984364808877698E-3</v>
      </c>
      <c r="J65" s="8">
        <f>athero!J65/athero!$F65</f>
        <v>8.3963364781318613E-3</v>
      </c>
      <c r="K65" s="8">
        <f>athero!K65/athero!$F65</f>
        <v>8.3412182955620671E-3</v>
      </c>
      <c r="L65" s="8">
        <f>athero!L65/athero!$F65</f>
        <v>8.3320319318004356E-3</v>
      </c>
      <c r="M65" s="8">
        <f>athero!M65/athero!$F65</f>
        <v>6.8805864574625428E-3</v>
      </c>
      <c r="N65" s="8">
        <f>athero!N65/athero!$F65</f>
        <v>2.3884545780243806E-4</v>
      </c>
      <c r="O65" s="8">
        <f>athero!O65/athero!$F65</f>
        <v>0</v>
      </c>
      <c r="P65" s="8">
        <f>athero!P65/athero!$F65</f>
        <v>0</v>
      </c>
      <c r="Q65" s="8">
        <f>athero!Q65/athero!$F65</f>
        <v>0.19148975261122389</v>
      </c>
      <c r="R65" s="8">
        <f>athero!R65/athero!$F65</f>
        <v>3.4742827746493107E-2</v>
      </c>
      <c r="S65" s="8">
        <f>athero!S65/athero!$F65</f>
        <v>0.15170361115959469</v>
      </c>
      <c r="T65" s="8">
        <f>athero!T65/athero!$F65</f>
        <v>2.2479032124714075E-2</v>
      </c>
      <c r="U65" s="8">
        <f>athero!U65/athero!$F65</f>
        <v>1.032547286807463E-2</v>
      </c>
      <c r="V65" s="8">
        <f>athero!V65/athero!$F65</f>
        <v>1.1198177425429692E-2</v>
      </c>
      <c r="W65" s="8">
        <f>athero!W65/athero!$F65</f>
        <v>5.9959396272173587E-2</v>
      </c>
      <c r="X65" s="8">
        <f>athero!X65/athero!$F65</f>
        <v>4.2339950577362964E-2</v>
      </c>
      <c r="Y65" s="8">
        <f>athero!Y65/athero!$F65</f>
        <v>4.0640473281460997E-2</v>
      </c>
      <c r="Z65" s="8">
        <f>athero!Z65/athero!$F65</f>
        <v>2.0053832091643166E-2</v>
      </c>
      <c r="AA65" s="8">
        <f>athero!AA65/athero!$F65</f>
        <v>3.3897682280422939E-3</v>
      </c>
      <c r="AB65" s="8">
        <f>athero!AB65/athero!$F65</f>
        <v>8.7729773923587821E-3</v>
      </c>
      <c r="AC65" s="8">
        <f>athero!AC65/athero!$F65</f>
        <v>1.5341227481925829E-3</v>
      </c>
      <c r="AD65" s="8">
        <f>athero!AD65/athero!$F65</f>
        <v>5.9343909900144223E-3</v>
      </c>
      <c r="AE65" s="8">
        <f>athero!AE65/athero!$F65</f>
        <v>5.6771728046887203E-2</v>
      </c>
      <c r="AF65" s="8">
        <f>athero!AF65/athero!$F65</f>
        <v>8.6351819359342988E-4</v>
      </c>
      <c r="AG65" s="8">
        <f>athero!AG65/athero!$F65</f>
        <v>0.24918930339803597</v>
      </c>
      <c r="AH65" s="8">
        <f>athero!AH65/athero!$F65</f>
        <v>0.23561185775834351</v>
      </c>
      <c r="AI65" s="8">
        <f>athero!AI65/athero!$F65</f>
        <v>1.7913409335182854E-3</v>
      </c>
      <c r="AJ65" s="8">
        <f>athero!AJ65/athero!$F65</f>
        <v>9.3609046731032448E-3</v>
      </c>
      <c r="AK65" s="8">
        <f>athero!AK65/athero!$F65</f>
        <v>0.21697272568599171</v>
      </c>
      <c r="AL65" s="8">
        <f>athero!AL65/athero!$F65</f>
        <v>0.16518919316167083</v>
      </c>
      <c r="AM65" s="8">
        <f>athero!AM65/athero!$F65</f>
        <v>5.1443637065140503E-4</v>
      </c>
      <c r="AN65" s="8">
        <f>athero!AN65/athero!$F65</f>
        <v>0.12264714258155195</v>
      </c>
      <c r="AO65" s="8">
        <f>athero!AO65/athero!$F65</f>
        <v>5.5595873485398274E-2</v>
      </c>
      <c r="AP65" s="8">
        <f>athero!AP65/athero!$F65</f>
        <v>5.3951514372066106E-2</v>
      </c>
      <c r="AQ65" s="8">
        <f>athero!AQ65/athero!$F65</f>
        <v>3.5156214115766554E-2</v>
      </c>
      <c r="AR65" s="8">
        <f>athero!AR65/athero!$F65</f>
        <v>3.4614218653830256E-2</v>
      </c>
      <c r="AS65" s="8">
        <f>athero!AS65/athero!$F65</f>
        <v>1.5258550208071139E-2</v>
      </c>
      <c r="AT65" s="8">
        <f>athero!AT65/athero!$F65</f>
        <v>4.0236273275949183E-3</v>
      </c>
      <c r="AU65" s="8">
        <f>athero!AU65/athero!$F65</f>
        <v>4.6694287000376644E-2</v>
      </c>
      <c r="AV65" s="8">
        <f>athero!AV65/athero!$F65</f>
        <v>1.0481641052022378E-2</v>
      </c>
      <c r="AW65" s="8">
        <f>athero!AW65/athero!$F65</f>
        <v>2.1220500289370458E-3</v>
      </c>
      <c r="AX65" s="8">
        <f>athero!AX65/athero!$F65</f>
        <v>3.7572227785075832E-3</v>
      </c>
      <c r="AY65" s="8">
        <f>athero!AY65/athero!$F65</f>
        <v>1.1666681977272936E-3</v>
      </c>
      <c r="AZ65" s="8">
        <f>athero!AZ65/athero!$F65</f>
        <v>2.3608954867394838E-3</v>
      </c>
      <c r="BA65" s="8">
        <f>athero!BA65/athero!$F65</f>
        <v>4.2064359664513995E-2</v>
      </c>
      <c r="BB65" s="8">
        <f>athero!BB65/athero!$F65</f>
        <v>3.0480354961095749E-2</v>
      </c>
      <c r="BC65" s="8">
        <f>athero!BC65/athero!$F65</f>
        <v>6.4304546331425628E-5</v>
      </c>
    </row>
    <row r="66" spans="1:55" ht="17.100000000000001">
      <c r="A66" s="5">
        <v>1050</v>
      </c>
      <c r="B66" s="6" t="s">
        <v>59</v>
      </c>
      <c r="C66" s="8" t="s">
        <v>187</v>
      </c>
      <c r="D66" s="8">
        <v>237179</v>
      </c>
      <c r="E66" s="8">
        <v>231914</v>
      </c>
      <c r="F66" s="8">
        <v>230665</v>
      </c>
      <c r="G66" s="8">
        <f>athero!G66/athero!$F66</f>
        <v>0.90677389287494847</v>
      </c>
      <c r="H66" s="8">
        <f>athero!H66/athero!$F66</f>
        <v>1.3339691760778618E-2</v>
      </c>
      <c r="I66" s="8">
        <f>athero!I66/athero!$F66</f>
        <v>1.3283332972059046E-2</v>
      </c>
      <c r="J66" s="8">
        <f>athero!J66/athero!$F66</f>
        <v>1.2945180239741616E-2</v>
      </c>
      <c r="K66" s="8">
        <f>athero!K66/athero!$F66</f>
        <v>1.2932174365421715E-2</v>
      </c>
      <c r="L66" s="8">
        <f>athero!L66/athero!$F66</f>
        <v>1.2919168491101814E-2</v>
      </c>
      <c r="M66" s="8">
        <f>athero!M66/athero!$F66</f>
        <v>9.7804174885656684E-3</v>
      </c>
      <c r="N66" s="8">
        <f>athero!N66/athero!$F66</f>
        <v>1.5693755012680726E-3</v>
      </c>
      <c r="O66" s="8">
        <f>athero!O66/athero!$F66</f>
        <v>3.0347040079769364E-5</v>
      </c>
      <c r="P66" s="8">
        <f>athero!P66/athero!$F66</f>
        <v>3.9017622959703465E-5</v>
      </c>
      <c r="Q66" s="8">
        <f>athero!Q66/athero!$F66</f>
        <v>0.55062970108165521</v>
      </c>
      <c r="R66" s="8">
        <f>athero!R66/athero!$F66</f>
        <v>8.2049725792816428E-2</v>
      </c>
      <c r="S66" s="8">
        <f>athero!S66/athero!$F66</f>
        <v>0.45851776385667525</v>
      </c>
      <c r="T66" s="8">
        <f>athero!T66/athero!$F66</f>
        <v>1.0274640712721913E-2</v>
      </c>
      <c r="U66" s="8">
        <f>athero!U66/athero!$F66</f>
        <v>5.6957058938287126E-2</v>
      </c>
      <c r="V66" s="8">
        <f>athero!V66/athero!$F66</f>
        <v>0.13965274315565865</v>
      </c>
      <c r="W66" s="8">
        <f>athero!W66/athero!$F66</f>
        <v>0.16028439511846185</v>
      </c>
      <c r="X66" s="8">
        <f>athero!X66/athero!$F66</f>
        <v>5.9311122190189233E-2</v>
      </c>
      <c r="Y66" s="8">
        <f>athero!Y66/athero!$F66</f>
        <v>5.8097240586998458E-2</v>
      </c>
      <c r="Z66" s="8">
        <f>athero!Z66/athero!$F66</f>
        <v>4.6552359482366204E-2</v>
      </c>
      <c r="AA66" s="8">
        <f>athero!AA66/athero!$F66</f>
        <v>4.8381852470032296E-3</v>
      </c>
      <c r="AB66" s="8">
        <f>athero!AB66/athero!$F66</f>
        <v>2.4654802419092625E-2</v>
      </c>
      <c r="AC66" s="8">
        <f>athero!AC66/athero!$F66</f>
        <v>3.2037803741356511E-3</v>
      </c>
      <c r="AD66" s="8">
        <f>athero!AD66/athero!$F66</f>
        <v>1.9712570177530184E-2</v>
      </c>
      <c r="AE66" s="8">
        <f>athero!AE66/athero!$F66</f>
        <v>0.22484555524245117</v>
      </c>
      <c r="AF66" s="8">
        <f>athero!AF66/athero!$F66</f>
        <v>1.0274640712721913E-3</v>
      </c>
      <c r="AG66" s="8">
        <f>athero!AG66/athero!$F66</f>
        <v>0.33579433377408796</v>
      </c>
      <c r="AH66" s="8">
        <f>athero!AH66/athero!$F66</f>
        <v>0.32580148700496392</v>
      </c>
      <c r="AI66" s="8">
        <f>athero!AI66/athero!$F66</f>
        <v>4.8598617042030648E-3</v>
      </c>
      <c r="AJ66" s="8">
        <f>athero!AJ66/athero!$F66</f>
        <v>1.3309344720698849E-3</v>
      </c>
      <c r="AK66" s="8">
        <f>athero!AK66/athero!$F66</f>
        <v>0.30189669000498559</v>
      </c>
      <c r="AL66" s="8">
        <f>athero!AL66/athero!$F66</f>
        <v>0.21983829362928922</v>
      </c>
      <c r="AM66" s="8">
        <f>athero!AM66/athero!$F66</f>
        <v>2.2586868402228338E-3</v>
      </c>
      <c r="AN66" s="8">
        <f>athero!AN66/athero!$F66</f>
        <v>0.15771356729456137</v>
      </c>
      <c r="AO66" s="8">
        <f>athero!AO66/athero!$F66</f>
        <v>3.7695359070513516E-2</v>
      </c>
      <c r="AP66" s="8">
        <f>athero!AP66/athero!$F66</f>
        <v>0.1092493442871697</v>
      </c>
      <c r="AQ66" s="8">
        <f>athero!AQ66/athero!$F66</f>
        <v>4.1497409663364619E-2</v>
      </c>
      <c r="AR66" s="8">
        <f>athero!AR66/athero!$F66</f>
        <v>4.1254633342726464E-2</v>
      </c>
      <c r="AS66" s="8">
        <f>athero!AS66/athero!$F66</f>
        <v>1.0500075867600199E-2</v>
      </c>
      <c r="AT66" s="8">
        <f>athero!AT66/athero!$F66</f>
        <v>3.3078273686948604E-3</v>
      </c>
      <c r="AU66" s="8">
        <f>athero!AU66/athero!$F66</f>
        <v>6.8991827975635661E-2</v>
      </c>
      <c r="AV66" s="8">
        <f>athero!AV66/athero!$F66</f>
        <v>1.9794940714889558E-2</v>
      </c>
      <c r="AW66" s="8">
        <f>athero!AW66/athero!$F66</f>
        <v>1.4479873409489954E-3</v>
      </c>
      <c r="AX66" s="8">
        <f>athero!AX66/athero!$F66</f>
        <v>2.3579650141980796E-2</v>
      </c>
      <c r="AY66" s="8">
        <f>athero!AY66/athero!$F66</f>
        <v>8.1980361129776955E-3</v>
      </c>
      <c r="AZ66" s="8">
        <f>athero!AZ66/athero!$F66</f>
        <v>1.4258773546051633E-2</v>
      </c>
      <c r="BA66" s="8">
        <f>athero!BA66/athero!$F66</f>
        <v>4.0101445819695228E-2</v>
      </c>
      <c r="BB66" s="8">
        <f>athero!BB66/athero!$F66</f>
        <v>3.3607179242624588E-2</v>
      </c>
      <c r="BC66" s="8">
        <f>athero!BC66/athero!$F66</f>
        <v>6.5029371599505781E-5</v>
      </c>
    </row>
    <row r="67" spans="1:55" ht="33.950000000000003">
      <c r="A67" s="5">
        <v>1066</v>
      </c>
      <c r="B67" s="6" t="s">
        <v>62</v>
      </c>
      <c r="C67" s="8" t="s">
        <v>190</v>
      </c>
      <c r="D67" s="8">
        <v>137438</v>
      </c>
      <c r="E67" s="8">
        <v>134002</v>
      </c>
      <c r="F67" s="8">
        <v>128884</v>
      </c>
      <c r="G67" s="8">
        <f>athero!G67/athero!$F67</f>
        <v>0.82743397163340682</v>
      </c>
      <c r="H67" s="8">
        <f>athero!H67/athero!$F67</f>
        <v>4.7329381459296731E-4</v>
      </c>
      <c r="I67" s="8">
        <f>athero!I67/athero!$F67</f>
        <v>4.6553489959963998E-4</v>
      </c>
      <c r="J67" s="8">
        <f>athero!J67/athero!$F67</f>
        <v>4.4225815461965801E-4</v>
      </c>
      <c r="K67" s="8">
        <f>athero!K67/athero!$F67</f>
        <v>4.3449923962633063E-4</v>
      </c>
      <c r="L67" s="8">
        <f>athero!L67/athero!$F67</f>
        <v>4.1122249464634866E-4</v>
      </c>
      <c r="M67" s="8">
        <f>athero!M67/athero!$F67</f>
        <v>1.4741938487321932E-4</v>
      </c>
      <c r="N67" s="8">
        <f>athero!N67/athero!$F67</f>
        <v>2.1724961981316532E-4</v>
      </c>
      <c r="O67" s="8">
        <f>athero!O67/athero!$F67</f>
        <v>0</v>
      </c>
      <c r="P67" s="8">
        <f>athero!P67/athero!$F67</f>
        <v>7.7589149933273325E-6</v>
      </c>
      <c r="Q67" s="8">
        <f>athero!Q67/athero!$F67</f>
        <v>0.35260389187176067</v>
      </c>
      <c r="R67" s="8">
        <f>athero!R67/athero!$F67</f>
        <v>7.8636603457372514E-2</v>
      </c>
      <c r="S67" s="8">
        <f>athero!S67/athero!$F67</f>
        <v>0.26846621768411905</v>
      </c>
      <c r="T67" s="8">
        <f>athero!T67/athero!$F67</f>
        <v>4.7639738059029827E-3</v>
      </c>
      <c r="U67" s="8">
        <f>athero!U67/athero!$F67</f>
        <v>1.6759256385587039E-3</v>
      </c>
      <c r="V67" s="8">
        <f>athero!V67/athero!$F67</f>
        <v>1.7488594394959808E-2</v>
      </c>
      <c r="W67" s="8">
        <f>athero!W67/athero!$F67</f>
        <v>0.18879767853263399</v>
      </c>
      <c r="X67" s="8">
        <f>athero!X67/athero!$F67</f>
        <v>0.1054281369293318</v>
      </c>
      <c r="Y67" s="8">
        <f>athero!Y67/athero!$F67</f>
        <v>9.4193228018993824E-2</v>
      </c>
      <c r="Z67" s="8">
        <f>athero!Z67/athero!$F67</f>
        <v>1.7923093634586138E-2</v>
      </c>
      <c r="AA67" s="8">
        <f>athero!AA67/athero!$F67</f>
        <v>7.7589149933273327E-4</v>
      </c>
      <c r="AB67" s="8">
        <f>athero!AB67/athero!$F67</f>
        <v>1.0466776325998572E-2</v>
      </c>
      <c r="AC67" s="8">
        <f>athero!AC67/athero!$F67</f>
        <v>1.4741938487321932E-4</v>
      </c>
      <c r="AD67" s="8">
        <f>athero!AD67/athero!$F67</f>
        <v>9.9391701064523129E-3</v>
      </c>
      <c r="AE67" s="8">
        <f>athero!AE67/athero!$F67</f>
        <v>4.3085254957946684E-2</v>
      </c>
      <c r="AF67" s="8">
        <f>athero!AF67/athero!$F67</f>
        <v>1.8543806834052327E-3</v>
      </c>
      <c r="AG67" s="8">
        <f>athero!AG67/athero!$F67</f>
        <v>0.46616337171409949</v>
      </c>
      <c r="AH67" s="8">
        <f>athero!AH67/athero!$F67</f>
        <v>0.45573538996306756</v>
      </c>
      <c r="AI67" s="8">
        <f>athero!AI67/athero!$F67</f>
        <v>2.4238850439154587E-2</v>
      </c>
      <c r="AJ67" s="8">
        <f>athero!AJ67/athero!$F67</f>
        <v>3.2975388721641166E-3</v>
      </c>
      <c r="AK67" s="8">
        <f>athero!AK67/athero!$F67</f>
        <v>0.36913813972254123</v>
      </c>
      <c r="AL67" s="8">
        <f>athero!AL67/athero!$F67</f>
        <v>0.21364948325626146</v>
      </c>
      <c r="AM67" s="8">
        <f>athero!AM67/athero!$F67</f>
        <v>2.3819869029514914E-3</v>
      </c>
      <c r="AN67" s="8">
        <f>athero!AN67/athero!$F67</f>
        <v>6.7494801526954473E-2</v>
      </c>
      <c r="AO67" s="8">
        <f>athero!AO67/athero!$F67</f>
        <v>1.699202383538686E-3</v>
      </c>
      <c r="AP67" s="8">
        <f>athero!AP67/athero!$F67</f>
        <v>6.4771422364296574E-2</v>
      </c>
      <c r="AQ67" s="8">
        <f>athero!AQ67/athero!$F67</f>
        <v>0.12926352378883338</v>
      </c>
      <c r="AR67" s="8">
        <f>athero!AR67/athero!$F67</f>
        <v>0.12908506874398684</v>
      </c>
      <c r="AS67" s="8">
        <f>athero!AS67/athero!$F67</f>
        <v>7.2646721082523819E-2</v>
      </c>
      <c r="AT67" s="8">
        <f>athero!AT67/athero!$F67</f>
        <v>5.1565749045653454E-2</v>
      </c>
      <c r="AU67" s="8">
        <f>athero!AU67/athero!$F67</f>
        <v>0.11494056671115112</v>
      </c>
      <c r="AV67" s="8">
        <f>athero!AV67/athero!$F67</f>
        <v>6.4732627789329936E-2</v>
      </c>
      <c r="AW67" s="8">
        <f>athero!AW67/athero!$F67</f>
        <v>3.9306663356196272E-2</v>
      </c>
      <c r="AX67" s="8">
        <f>athero!AX67/athero!$F67</f>
        <v>2.620961484745973E-2</v>
      </c>
      <c r="AY67" s="8">
        <f>athero!AY67/athero!$F67</f>
        <v>2.1065454206883709E-2</v>
      </c>
      <c r="AZ67" s="8">
        <f>athero!AZ67/athero!$F67</f>
        <v>3.8406629216970298E-3</v>
      </c>
      <c r="BA67" s="8">
        <f>athero!BA67/athero!$F67</f>
        <v>8.0560814375717701E-2</v>
      </c>
      <c r="BB67" s="8">
        <f>athero!BB67/athero!$F67</f>
        <v>7.8869370907172345E-2</v>
      </c>
      <c r="BC67" s="8">
        <f>athero!BC67/athero!$F67</f>
        <v>1.1638372489991E-4</v>
      </c>
    </row>
    <row r="68" spans="1:55" ht="17.100000000000001">
      <c r="A68" s="5">
        <v>1026</v>
      </c>
      <c r="B68" s="6" t="s">
        <v>48</v>
      </c>
      <c r="C68" s="8" t="s">
        <v>179</v>
      </c>
      <c r="D68" s="8">
        <v>259455</v>
      </c>
      <c r="E68" s="8">
        <v>252631</v>
      </c>
      <c r="F68" s="8">
        <v>242041</v>
      </c>
      <c r="G68" s="8">
        <f>athero!G68/athero!$F68</f>
        <v>0.71497390937898953</v>
      </c>
      <c r="H68" s="8">
        <f>athero!H68/athero!$F68</f>
        <v>1.4377729392954087E-3</v>
      </c>
      <c r="I68" s="8">
        <f>athero!I68/athero!$F68</f>
        <v>1.3923260935130824E-3</v>
      </c>
      <c r="J68" s="8">
        <f>athero!J68/athero!$F68</f>
        <v>1.3055639333831872E-3</v>
      </c>
      <c r="K68" s="8">
        <f>athero!K68/athero!$F68</f>
        <v>1.2931693390789165E-3</v>
      </c>
      <c r="L68" s="8">
        <f>athero!L68/athero!$F68</f>
        <v>1.2849062762094025E-3</v>
      </c>
      <c r="M68" s="8">
        <f>athero!M68/athero!$F68</f>
        <v>5.9907205803975364E-4</v>
      </c>
      <c r="N68" s="8">
        <f>athero!N68/athero!$F68</f>
        <v>5.8667746373548282E-4</v>
      </c>
      <c r="O68" s="8">
        <f>athero!O68/athero!$F68</f>
        <v>6.6104502956110736E-5</v>
      </c>
      <c r="P68" s="8">
        <f>athero!P68/athero!$F68</f>
        <v>4.131531434756921E-6</v>
      </c>
      <c r="Q68" s="8">
        <f>athero!Q68/athero!$F68</f>
        <v>0.37634946145487747</v>
      </c>
      <c r="R68" s="8">
        <f>athero!R68/athero!$F68</f>
        <v>0.14504980561144598</v>
      </c>
      <c r="S68" s="8">
        <f>athero!S68/athero!$F68</f>
        <v>0.22267714973909378</v>
      </c>
      <c r="T68" s="8">
        <f>athero!T68/athero!$F68</f>
        <v>1.700538338545949E-2</v>
      </c>
      <c r="U68" s="8">
        <f>athero!U68/athero!$F68</f>
        <v>1.0473432187108795E-2</v>
      </c>
      <c r="V68" s="8">
        <f>athero!V68/athero!$F68</f>
        <v>1.2733379881920831E-2</v>
      </c>
      <c r="W68" s="8">
        <f>athero!W68/athero!$F68</f>
        <v>7.775129007069051E-2</v>
      </c>
      <c r="X68" s="8">
        <f>athero!X68/athero!$F68</f>
        <v>9.3496556368549127E-3</v>
      </c>
      <c r="Y68" s="8">
        <f>athero!Y68/athero!$F68</f>
        <v>8.9447655562487349E-3</v>
      </c>
      <c r="Z68" s="8">
        <f>athero!Z68/athero!$F68</f>
        <v>6.1204506674489033E-2</v>
      </c>
      <c r="AA68" s="8">
        <f>athero!AA68/athero!$F68</f>
        <v>8.7133997959023476E-3</v>
      </c>
      <c r="AB68" s="8">
        <f>athero!AB68/athero!$F68</f>
        <v>4.9020620473390869E-2</v>
      </c>
      <c r="AC68" s="8">
        <f>athero!AC68/athero!$F68</f>
        <v>3.3052251478055371E-3</v>
      </c>
      <c r="AD68" s="8">
        <f>athero!AD68/athero!$F68</f>
        <v>4.2360591800562716E-2</v>
      </c>
      <c r="AE68" s="8">
        <f>athero!AE68/athero!$F68</f>
        <v>6.6348263310761393E-2</v>
      </c>
      <c r="AF68" s="8">
        <f>athero!AF68/athero!$F68</f>
        <v>7.436756582562458E-4</v>
      </c>
      <c r="AG68" s="8">
        <f>athero!AG68/athero!$F68</f>
        <v>0.33172065889663321</v>
      </c>
      <c r="AH68" s="8">
        <f>athero!AH68/athero!$F68</f>
        <v>0.29921376956796575</v>
      </c>
      <c r="AI68" s="8">
        <f>athero!AI68/athero!$F68</f>
        <v>2.7185476840700541E-3</v>
      </c>
      <c r="AJ68" s="8">
        <f>athero!AJ68/athero!$F68</f>
        <v>1.9624774315095375E-3</v>
      </c>
      <c r="AK68" s="8">
        <f>athero!AK68/athero!$F68</f>
        <v>0.28786032118525373</v>
      </c>
      <c r="AL68" s="8">
        <f>athero!AL68/athero!$F68</f>
        <v>0.19514462425787366</v>
      </c>
      <c r="AM68" s="8">
        <f>athero!AM68/athero!$F68</f>
        <v>2.478918860854153E-4</v>
      </c>
      <c r="AN68" s="8">
        <f>athero!AN68/athero!$F68</f>
        <v>5.1797009597547523E-2</v>
      </c>
      <c r="AO68" s="8">
        <f>athero!AO68/athero!$F68</f>
        <v>6.0650881462231609E-3</v>
      </c>
      <c r="AP68" s="8">
        <f>athero!AP68/athero!$F68</f>
        <v>4.357939357381601E-2</v>
      </c>
      <c r="AQ68" s="8">
        <f>athero!AQ68/athero!$F68</f>
        <v>0.12228506740593535</v>
      </c>
      <c r="AR68" s="8">
        <f>athero!AR68/athero!$F68</f>
        <v>0.12134720977024553</v>
      </c>
      <c r="AS68" s="8">
        <f>athero!AS68/athero!$F68</f>
        <v>1.6703781590722232E-2</v>
      </c>
      <c r="AT68" s="8">
        <f>athero!AT68/athero!$F68</f>
        <v>3.2556467705884542E-3</v>
      </c>
      <c r="AU68" s="8">
        <f>athero!AU68/athero!$F68</f>
        <v>8.1998504385620619E-2</v>
      </c>
      <c r="AV68" s="8">
        <f>athero!AV68/athero!$F68</f>
        <v>1.6274102321507514E-2</v>
      </c>
      <c r="AW68" s="8">
        <f>athero!AW68/athero!$F68</f>
        <v>1.7930846426845038E-3</v>
      </c>
      <c r="AX68" s="8">
        <f>athero!AX68/athero!$F68</f>
        <v>9.2835511338988028E-3</v>
      </c>
      <c r="AY68" s="8">
        <f>athero!AY68/athero!$F68</f>
        <v>5.7263025685730931E-3</v>
      </c>
      <c r="AZ68" s="8">
        <f>athero!AZ68/athero!$F68</f>
        <v>2.9251242558079003E-3</v>
      </c>
      <c r="BA68" s="8">
        <f>athero!BA68/athero!$F68</f>
        <v>6.7414198420928689E-2</v>
      </c>
      <c r="BB68" s="8">
        <f>athero!BB68/athero!$F68</f>
        <v>4.9983267297689232E-2</v>
      </c>
      <c r="BC68" s="8">
        <f>athero!BC68/athero!$F68</f>
        <v>1.0618035787325287E-3</v>
      </c>
    </row>
    <row r="69" spans="1:55" ht="33.950000000000003">
      <c r="A69" s="5">
        <v>1016</v>
      </c>
      <c r="B69" s="6" t="s">
        <v>42</v>
      </c>
      <c r="C69" s="8" t="s">
        <v>174</v>
      </c>
      <c r="D69" s="8">
        <v>68990</v>
      </c>
      <c r="E69" s="8">
        <v>66382</v>
      </c>
      <c r="F69" s="8">
        <v>62287</v>
      </c>
      <c r="G69" s="8">
        <f>athero!G69/athero!$F69</f>
        <v>0.38685439979449965</v>
      </c>
      <c r="H69" s="8">
        <f>athero!H69/athero!$F69</f>
        <v>3.3217204232022735E-2</v>
      </c>
      <c r="I69" s="8">
        <f>athero!I69/athero!$F69</f>
        <v>3.3120875945221312E-2</v>
      </c>
      <c r="J69" s="8">
        <f>athero!J69/athero!$F69</f>
        <v>3.2944274086085377E-2</v>
      </c>
      <c r="K69" s="8">
        <f>athero!K69/athero!$F69</f>
        <v>3.2928219371618474E-2</v>
      </c>
      <c r="L69" s="8">
        <f>athero!L69/athero!$F69</f>
        <v>3.2928219371618474E-2</v>
      </c>
      <c r="M69" s="8">
        <f>athero!M69/athero!$F69</f>
        <v>2.4740314993497839E-2</v>
      </c>
      <c r="N69" s="8">
        <f>athero!N69/athero!$F69</f>
        <v>5.298055774078058E-3</v>
      </c>
      <c r="O69" s="8">
        <f>athero!O69/athero!$F69</f>
        <v>0</v>
      </c>
      <c r="P69" s="8">
        <f>athero!P69/athero!$F69</f>
        <v>4.8164143400709616E-5</v>
      </c>
      <c r="Q69" s="8">
        <f>athero!Q69/athero!$F69</f>
        <v>0.14767126366657568</v>
      </c>
      <c r="R69" s="8">
        <f>athero!R69/athero!$F69</f>
        <v>2.1738083388186943E-2</v>
      </c>
      <c r="S69" s="8">
        <f>athero!S69/athero!$F69</f>
        <v>0.12435981826063223</v>
      </c>
      <c r="T69" s="8">
        <f>athero!T69/athero!$F69</f>
        <v>7.7865365164480546E-3</v>
      </c>
      <c r="U69" s="8">
        <f>athero!U69/athero!$F69</f>
        <v>3.6925843273877372E-3</v>
      </c>
      <c r="V69" s="8">
        <f>athero!V69/athero!$F69</f>
        <v>1.0628220977089922E-2</v>
      </c>
      <c r="W69" s="8">
        <f>athero!W69/athero!$F69</f>
        <v>3.5368535970587762E-2</v>
      </c>
      <c r="X69" s="8">
        <f>athero!X69/athero!$F69</f>
        <v>9.0869683882672143E-3</v>
      </c>
      <c r="Y69" s="8">
        <f>athero!Y69/athero!$F69</f>
        <v>7.8828648032494737E-3</v>
      </c>
      <c r="Z69" s="8">
        <f>athero!Z69/athero!$F69</f>
        <v>2.6763209016327644E-2</v>
      </c>
      <c r="AA69" s="8">
        <f>athero!AA69/athero!$F69</f>
        <v>1.1559394416170309E-2</v>
      </c>
      <c r="AB69" s="8">
        <f>athero!AB69/athero!$F69</f>
        <v>1.0596111548156116E-2</v>
      </c>
      <c r="AC69" s="8">
        <f>athero!AC69/athero!$F69</f>
        <v>4.2063351903286403E-3</v>
      </c>
      <c r="AD69" s="8">
        <f>athero!AD69/athero!$F69</f>
        <v>5.9241896382872831E-3</v>
      </c>
      <c r="AE69" s="8">
        <f>athero!AE69/athero!$F69</f>
        <v>4.8437073546646975E-2</v>
      </c>
      <c r="AF69" s="8">
        <f>athero!AF69/athero!$F69</f>
        <v>5.619150063416122E-4</v>
      </c>
      <c r="AG69" s="8">
        <f>athero!AG69/athero!$F69</f>
        <v>0.19792251994798271</v>
      </c>
      <c r="AH69" s="8">
        <f>athero!AH69/athero!$F69</f>
        <v>0.18620257838714338</v>
      </c>
      <c r="AI69" s="8">
        <f>athero!AI69/athero!$F69</f>
        <v>2.1513317385650297E-3</v>
      </c>
      <c r="AJ69" s="8">
        <f>athero!AJ69/athero!$F69</f>
        <v>8.4126703806572806E-3</v>
      </c>
      <c r="AK69" s="8">
        <f>athero!AK69/athero!$F69</f>
        <v>0.16855844718801677</v>
      </c>
      <c r="AL69" s="8">
        <f>athero!AL69/athero!$F69</f>
        <v>9.9298408977796335E-2</v>
      </c>
      <c r="AM69" s="8">
        <f>athero!AM69/athero!$F69</f>
        <v>1.6054714466903205E-4</v>
      </c>
      <c r="AN69" s="8">
        <f>athero!AN69/athero!$F69</f>
        <v>7.9454781896703963E-2</v>
      </c>
      <c r="AO69" s="8">
        <f>athero!AO69/athero!$F69</f>
        <v>1.141490198596818E-2</v>
      </c>
      <c r="AP69" s="8">
        <f>athero!AP69/athero!$F69</f>
        <v>6.1537720551639988E-2</v>
      </c>
      <c r="AQ69" s="8">
        <f>athero!AQ69/athero!$F69</f>
        <v>1.6054714466903205E-2</v>
      </c>
      <c r="AR69" s="8">
        <f>athero!AR69/athero!$F69</f>
        <v>1.5797839035432755E-2</v>
      </c>
      <c r="AS69" s="8">
        <f>athero!AS69/athero!$F69</f>
        <v>1.1896543419975276E-2</v>
      </c>
      <c r="AT69" s="8">
        <f>athero!AT69/athero!$F69</f>
        <v>6.3416122144267662E-3</v>
      </c>
      <c r="AU69" s="8">
        <f>athero!AU69/athero!$F69</f>
        <v>6.3111082569396501E-2</v>
      </c>
      <c r="AV69" s="8">
        <f>athero!AV69/athero!$F69</f>
        <v>1.6134988039237724E-2</v>
      </c>
      <c r="AW69" s="8">
        <f>athero!AW69/athero!$F69</f>
        <v>2.9540674619101901E-3</v>
      </c>
      <c r="AX69" s="8">
        <f>athero!AX69/athero!$F69</f>
        <v>9.5365003933405041E-3</v>
      </c>
      <c r="AY69" s="8">
        <f>athero!AY69/athero!$F69</f>
        <v>6.1971197842246376E-3</v>
      </c>
      <c r="AZ69" s="8">
        <f>athero!AZ69/athero!$F69</f>
        <v>2.6329731725721257E-3</v>
      </c>
      <c r="BA69" s="8">
        <f>athero!BA69/athero!$F69</f>
        <v>5.0716843000947226E-2</v>
      </c>
      <c r="BB69" s="8">
        <f>athero!BB69/athero!$F69</f>
        <v>3.4822675678713055E-2</v>
      </c>
      <c r="BC69" s="8">
        <f>athero!BC69/athero!$F69</f>
        <v>2.2476600253664488E-4</v>
      </c>
    </row>
    <row r="70" spans="1:55" ht="17.100000000000001">
      <c r="A70" s="5">
        <v>1069</v>
      </c>
      <c r="B70" s="6" t="s">
        <v>63</v>
      </c>
      <c r="C70" s="8" t="s">
        <v>191</v>
      </c>
      <c r="D70" s="8">
        <v>195514</v>
      </c>
      <c r="E70" s="8">
        <v>191326</v>
      </c>
      <c r="F70" s="8">
        <v>189278</v>
      </c>
      <c r="G70" s="8">
        <f>athero!G70/athero!$F70</f>
        <v>0.80237005885522883</v>
      </c>
      <c r="H70" s="8">
        <f>athero!H70/athero!$F70</f>
        <v>2.524857616838724E-2</v>
      </c>
      <c r="I70" s="8">
        <f>athero!I70/athero!$F70</f>
        <v>2.5074229440294169E-2</v>
      </c>
      <c r="J70" s="8">
        <f>athero!J70/athero!$F70</f>
        <v>2.4133813755428522E-2</v>
      </c>
      <c r="K70" s="8">
        <f>athero!K70/athero!$F70</f>
        <v>2.40756981793975E-2</v>
      </c>
      <c r="L70" s="8">
        <f>athero!L70/athero!$F70</f>
        <v>2.4022865837551116E-2</v>
      </c>
      <c r="M70" s="8">
        <f>athero!M70/athero!$F70</f>
        <v>5.41531503925443E-3</v>
      </c>
      <c r="N70" s="8">
        <f>athero!N70/athero!$F70</f>
        <v>1.5955367237608174E-2</v>
      </c>
      <c r="O70" s="8">
        <f>athero!O70/athero!$F70</f>
        <v>2.1132936738553872E-5</v>
      </c>
      <c r="P70" s="8">
        <f>athero!P70/athero!$F70</f>
        <v>1.9019643064698485E-4</v>
      </c>
      <c r="Q70" s="8">
        <f>athero!Q70/athero!$F70</f>
        <v>0.47632054438445037</v>
      </c>
      <c r="R70" s="8">
        <f>athero!R70/athero!$F70</f>
        <v>0.1255824765688564</v>
      </c>
      <c r="S70" s="8">
        <f>athero!S70/athero!$F70</f>
        <v>0.33767262967698308</v>
      </c>
      <c r="T70" s="8">
        <f>athero!T70/athero!$F70</f>
        <v>6.1602510592884538E-3</v>
      </c>
      <c r="U70" s="8">
        <f>athero!U70/athero!$F70</f>
        <v>1.6430858314225637E-3</v>
      </c>
      <c r="V70" s="8">
        <f>athero!V70/athero!$F70</f>
        <v>6.4349792368896541E-3</v>
      </c>
      <c r="W70" s="8">
        <f>athero!W70/athero!$F70</f>
        <v>0.16747852365303945</v>
      </c>
      <c r="X70" s="8">
        <f>athero!X70/athero!$F70</f>
        <v>4.1114128424856559E-2</v>
      </c>
      <c r="Y70" s="8">
        <f>athero!Y70/athero!$F70</f>
        <v>4.0052198353744226E-2</v>
      </c>
      <c r="Z70" s="8">
        <f>athero!Z70/athero!$F70</f>
        <v>9.6308075951774638E-2</v>
      </c>
      <c r="AA70" s="8">
        <f>athero!AA70/athero!$F70</f>
        <v>2.0345734845042741E-2</v>
      </c>
      <c r="AB70" s="8">
        <f>athero!AB70/athero!$F70</f>
        <v>5.8348038335147241E-2</v>
      </c>
      <c r="AC70" s="8">
        <f>athero!AC70/athero!$F70</f>
        <v>9.1399951394245497E-4</v>
      </c>
      <c r="AD70" s="8">
        <f>athero!AD70/athero!$F70</f>
        <v>5.2103255528904574E-2</v>
      </c>
      <c r="AE70" s="8">
        <f>athero!AE70/athero!$F70</f>
        <v>4.2160208793414977E-2</v>
      </c>
      <c r="AF70" s="8">
        <f>athero!AF70/athero!$F70</f>
        <v>6.4455457052589311E-4</v>
      </c>
      <c r="AG70" s="8">
        <f>athero!AG70/athero!$F70</f>
        <v>0.28237301746637222</v>
      </c>
      <c r="AH70" s="8">
        <f>athero!AH70/athero!$F70</f>
        <v>0.26525533870814355</v>
      </c>
      <c r="AI70" s="8">
        <f>athero!AI70/athero!$F70</f>
        <v>1.4528894007755787E-3</v>
      </c>
      <c r="AJ70" s="8">
        <f>athero!AJ70/athero!$F70</f>
        <v>1.5321379135451558E-3</v>
      </c>
      <c r="AK70" s="8">
        <f>athero!AK70/athero!$F70</f>
        <v>0.25793805936241931</v>
      </c>
      <c r="AL70" s="8">
        <f>athero!AL70/athero!$F70</f>
        <v>0.17429389575122306</v>
      </c>
      <c r="AM70" s="8">
        <f>athero!AM70/athero!$F70</f>
        <v>5.7058929194095463E-4</v>
      </c>
      <c r="AN70" s="8">
        <f>athero!AN70/athero!$F70</f>
        <v>0.14141632942021787</v>
      </c>
      <c r="AO70" s="8">
        <f>athero!AO70/athero!$F70</f>
        <v>3.7970604084996674E-2</v>
      </c>
      <c r="AP70" s="8">
        <f>athero!AP70/athero!$F70</f>
        <v>8.7944716237491949E-2</v>
      </c>
      <c r="AQ70" s="8">
        <f>athero!AQ70/athero!$F70</f>
        <v>2.7715846532613404E-2</v>
      </c>
      <c r="AR70" s="8">
        <f>athero!AR70/athero!$F70</f>
        <v>2.6754297911009202E-2</v>
      </c>
      <c r="AS70" s="8">
        <f>athero!AS70/athero!$F70</f>
        <v>1.9510983843869862E-2</v>
      </c>
      <c r="AT70" s="8">
        <f>athero!AT70/athero!$F70</f>
        <v>1.2468432675746785E-2</v>
      </c>
      <c r="AU70" s="8">
        <f>athero!AU70/athero!$F70</f>
        <v>7.5323069770390647E-2</v>
      </c>
      <c r="AV70" s="8">
        <f>athero!AV70/athero!$F70</f>
        <v>1.5199864749204874E-2</v>
      </c>
      <c r="AW70" s="8">
        <f>athero!AW70/athero!$F70</f>
        <v>3.8726106573399974E-3</v>
      </c>
      <c r="AX70" s="8">
        <f>athero!AX70/athero!$F70</f>
        <v>4.5224484620505288E-2</v>
      </c>
      <c r="AY70" s="8">
        <f>athero!AY70/athero!$F70</f>
        <v>7.2591637696932552E-3</v>
      </c>
      <c r="AZ70" s="8">
        <f>athero!AZ70/athero!$F70</f>
        <v>3.3786282610763003E-2</v>
      </c>
      <c r="BA70" s="8">
        <f>athero!BA70/athero!$F70</f>
        <v>2.8635129280740499E-2</v>
      </c>
      <c r="BB70" s="8">
        <f>athero!BB70/athero!$F70</f>
        <v>2.1259734358985198E-2</v>
      </c>
      <c r="BC70" s="8">
        <f>athero!BC70/athero!$F70</f>
        <v>1.0777797736662474E-3</v>
      </c>
    </row>
    <row r="71" spans="1:55" ht="33.950000000000003">
      <c r="A71" s="5">
        <v>1337</v>
      </c>
      <c r="B71" s="6" t="s">
        <v>111</v>
      </c>
      <c r="C71" s="8" t="s">
        <v>239</v>
      </c>
      <c r="D71" s="8">
        <v>50067</v>
      </c>
      <c r="E71" s="8">
        <v>47421</v>
      </c>
      <c r="F71" s="8">
        <v>43820</v>
      </c>
      <c r="G71" s="8">
        <f>athero!G71/athero!$F71</f>
        <v>0.51045184847101777</v>
      </c>
      <c r="H71" s="8">
        <f>athero!H71/athero!$F71</f>
        <v>8.2382473756275679E-3</v>
      </c>
      <c r="I71" s="8">
        <f>athero!I71/athero!$F71</f>
        <v>8.1697854860794152E-3</v>
      </c>
      <c r="J71" s="8">
        <f>athero!J71/athero!$F71</f>
        <v>7.6449109995435872E-3</v>
      </c>
      <c r="K71" s="8">
        <f>athero!K71/athero!$F71</f>
        <v>7.6449109995435872E-3</v>
      </c>
      <c r="L71" s="8">
        <f>athero!L71/athero!$F71</f>
        <v>7.5764491099954362E-3</v>
      </c>
      <c r="M71" s="8">
        <f>athero!M71/athero!$F71</f>
        <v>4.3359196713829299E-3</v>
      </c>
      <c r="N71" s="8">
        <f>athero!N71/athero!$F71</f>
        <v>1.7115472387037882E-3</v>
      </c>
      <c r="O71" s="8">
        <f>athero!O71/athero!$F71</f>
        <v>0</v>
      </c>
      <c r="P71" s="8">
        <f>athero!P71/athero!$F71</f>
        <v>4.5641259698767684E-5</v>
      </c>
      <c r="Q71" s="8">
        <f>athero!Q71/athero!$F71</f>
        <v>0.26115928799634869</v>
      </c>
      <c r="R71" s="8">
        <f>athero!R71/athero!$F71</f>
        <v>3.8544043815609309E-2</v>
      </c>
      <c r="S71" s="8">
        <f>athero!S71/athero!$F71</f>
        <v>0.21531264262893657</v>
      </c>
      <c r="T71" s="8">
        <f>athero!T71/athero!$F71</f>
        <v>7.1656777727065269E-3</v>
      </c>
      <c r="U71" s="8">
        <f>athero!U71/athero!$F71</f>
        <v>1.3235965312642629E-3</v>
      </c>
      <c r="V71" s="8">
        <f>athero!V71/athero!$F71</f>
        <v>4.6325878594249198E-3</v>
      </c>
      <c r="W71" s="8">
        <f>athero!W71/athero!$F71</f>
        <v>6.9465997261524415E-2</v>
      </c>
      <c r="X71" s="8">
        <f>athero!X71/athero!$F71</f>
        <v>1.2254678229119124E-2</v>
      </c>
      <c r="Y71" s="8">
        <f>athero!Y71/athero!$F71</f>
        <v>9.6759470561387489E-3</v>
      </c>
      <c r="Z71" s="8">
        <f>athero!Z71/athero!$F71</f>
        <v>8.4413509812870838E-2</v>
      </c>
      <c r="AA71" s="8">
        <f>athero!AA71/athero!$F71</f>
        <v>8.3295298950251031E-3</v>
      </c>
      <c r="AB71" s="8">
        <f>athero!AB71/athero!$F71</f>
        <v>6.4605203103605666E-2</v>
      </c>
      <c r="AC71" s="8">
        <f>athero!AC71/athero!$F71</f>
        <v>1.026928343222273E-3</v>
      </c>
      <c r="AD71" s="8">
        <f>athero!AD71/athero!$F71</f>
        <v>6.1296211775445003E-2</v>
      </c>
      <c r="AE71" s="8">
        <f>athero!AE71/athero!$F71</f>
        <v>3.7996348699224101E-2</v>
      </c>
      <c r="AF71" s="8">
        <f>athero!AF71/athero!$F71</f>
        <v>1.2323140118667274E-3</v>
      </c>
      <c r="AG71" s="8">
        <f>athero!AG71/athero!$F71</f>
        <v>0.23085349155636695</v>
      </c>
      <c r="AH71" s="8">
        <f>athero!AH71/athero!$F71</f>
        <v>0.20921953445915106</v>
      </c>
      <c r="AI71" s="8">
        <f>athero!AI71/athero!$F71</f>
        <v>1.9625741670470107E-3</v>
      </c>
      <c r="AJ71" s="8">
        <f>athero!AJ71/athero!$F71</f>
        <v>6.3897763578274762E-4</v>
      </c>
      <c r="AK71" s="8">
        <f>athero!AK71/athero!$F71</f>
        <v>0.19678229119123689</v>
      </c>
      <c r="AL71" s="8">
        <f>athero!AL71/athero!$F71</f>
        <v>9.7193062528525789E-2</v>
      </c>
      <c r="AM71" s="8">
        <f>athero!AM71/athero!$F71</f>
        <v>2.5102692834322229E-4</v>
      </c>
      <c r="AN71" s="8">
        <f>athero!AN71/athero!$F71</f>
        <v>3.1401186672752171E-2</v>
      </c>
      <c r="AO71" s="8">
        <f>athero!AO71/athero!$F71</f>
        <v>1.0839799178457326E-2</v>
      </c>
      <c r="AP71" s="8">
        <f>athero!AP71/athero!$F71</f>
        <v>1.7571884984025558E-2</v>
      </c>
      <c r="AQ71" s="8">
        <f>athero!AQ71/athero!$F71</f>
        <v>5.951620264719306E-2</v>
      </c>
      <c r="AR71" s="8">
        <f>athero!AR71/athero!$F71</f>
        <v>5.8877225011410315E-2</v>
      </c>
      <c r="AS71" s="8">
        <f>athero!AS71/athero!$F71</f>
        <v>5.956184390689183E-3</v>
      </c>
      <c r="AT71" s="8">
        <f>athero!AT71/athero!$F71</f>
        <v>2.441807393884071E-3</v>
      </c>
      <c r="AU71" s="8">
        <f>athero!AU71/athero!$F71</f>
        <v>8.0716567777270654E-2</v>
      </c>
      <c r="AV71" s="8">
        <f>athero!AV71/athero!$F71</f>
        <v>2.3368324965769054E-2</v>
      </c>
      <c r="AW71" s="8">
        <f>athero!AW71/athero!$F71</f>
        <v>3.3774532177088088E-3</v>
      </c>
      <c r="AX71" s="8">
        <f>athero!AX71/athero!$F71</f>
        <v>2.8525787311729802E-2</v>
      </c>
      <c r="AY71" s="8">
        <f>athero!AY71/athero!$F71</f>
        <v>4.9064354176175263E-3</v>
      </c>
      <c r="AZ71" s="8">
        <f>athero!AZ71/athero!$F71</f>
        <v>2.1611136467366499E-2</v>
      </c>
      <c r="BA71" s="8">
        <f>athero!BA71/athero!$F71</f>
        <v>4.8904609767229573E-2</v>
      </c>
      <c r="BB71" s="8">
        <f>athero!BB71/athero!$F71</f>
        <v>3.0556823368324965E-2</v>
      </c>
      <c r="BC71" s="8">
        <f>athero!BC71/athero!$F71</f>
        <v>4.5641259698767684E-5</v>
      </c>
    </row>
    <row r="72" spans="1:55" ht="33.950000000000003">
      <c r="A72" s="5">
        <v>1010</v>
      </c>
      <c r="B72" s="6" t="s">
        <v>35</v>
      </c>
      <c r="C72" s="8" t="s">
        <v>169</v>
      </c>
      <c r="D72" s="8">
        <v>284997</v>
      </c>
      <c r="E72" s="8">
        <v>278506</v>
      </c>
      <c r="F72" s="8">
        <v>276399</v>
      </c>
      <c r="G72" s="8">
        <f>athero!G72/athero!$F72</f>
        <v>0.78258242613034057</v>
      </c>
      <c r="H72" s="8">
        <f>athero!H72/athero!$F72</f>
        <v>1.9826410370515088E-3</v>
      </c>
      <c r="I72" s="8">
        <f>athero!I72/athero!$F72</f>
        <v>1.9392255398897971E-3</v>
      </c>
      <c r="J72" s="8">
        <f>athero!J72/athero!$F72</f>
        <v>1.8125970065014708E-3</v>
      </c>
      <c r="K72" s="8">
        <f>athero!K72/athero!$F72</f>
        <v>1.7945072160174241E-3</v>
      </c>
      <c r="L72" s="8">
        <f>athero!L72/athero!$F72</f>
        <v>1.7764174255333774E-3</v>
      </c>
      <c r="M72" s="8">
        <f>athero!M72/athero!$F72</f>
        <v>4.1244722303626277E-4</v>
      </c>
      <c r="N72" s="8">
        <f>athero!N72/athero!$F72</f>
        <v>9.8408460233213586E-4</v>
      </c>
      <c r="O72" s="8">
        <f>athero!O72/athero!$F72</f>
        <v>1.0853874290427969E-5</v>
      </c>
      <c r="P72" s="8">
        <f>athero!P72/athero!$F72</f>
        <v>0</v>
      </c>
      <c r="Q72" s="8">
        <f>athero!Q72/athero!$F72</f>
        <v>0.45132941870267257</v>
      </c>
      <c r="R72" s="8">
        <f>athero!R72/athero!$F72</f>
        <v>7.3737603971070806E-2</v>
      </c>
      <c r="S72" s="8">
        <f>athero!S72/athero!$F72</f>
        <v>0.37155344266802703</v>
      </c>
      <c r="T72" s="8">
        <f>athero!T72/athero!$F72</f>
        <v>1.1772835647017536E-2</v>
      </c>
      <c r="U72" s="8">
        <f>athero!U72/athero!$F72</f>
        <v>3.0857564607686714E-2</v>
      </c>
      <c r="V72" s="8">
        <f>athero!V72/athero!$F72</f>
        <v>6.0390956551941218E-2</v>
      </c>
      <c r="W72" s="8">
        <f>athero!W72/athero!$F72</f>
        <v>0.20667947423832936</v>
      </c>
      <c r="X72" s="8">
        <f>athero!X72/athero!$F72</f>
        <v>8.3998133133622047E-2</v>
      </c>
      <c r="Y72" s="8">
        <f>athero!Y72/athero!$F72</f>
        <v>8.3426495754326174E-2</v>
      </c>
      <c r="Z72" s="8">
        <f>athero!Z72/athero!$F72</f>
        <v>3.9124598858896013E-2</v>
      </c>
      <c r="AA72" s="8">
        <f>athero!AA72/athero!$F72</f>
        <v>4.106382439878581E-3</v>
      </c>
      <c r="AB72" s="8">
        <f>athero!AB72/athero!$F72</f>
        <v>3.1787379838566707E-2</v>
      </c>
      <c r="AC72" s="8">
        <f>athero!AC72/athero!$F72</f>
        <v>1.1570229993596214E-2</v>
      </c>
      <c r="AD72" s="8">
        <f>athero!AD72/athero!$F72</f>
        <v>1.4565899297754334E-2</v>
      </c>
      <c r="AE72" s="8">
        <f>athero!AE72/athero!$F72</f>
        <v>0.10250760675689854</v>
      </c>
      <c r="AF72" s="8">
        <f>athero!AF72/athero!$F72</f>
        <v>5.9696308597353824E-4</v>
      </c>
      <c r="AG72" s="8">
        <f>athero!AG72/athero!$F72</f>
        <v>0.3191147580128727</v>
      </c>
      <c r="AH72" s="8">
        <f>athero!AH72/athero!$F72</f>
        <v>0.3072406195391445</v>
      </c>
      <c r="AI72" s="8">
        <f>athero!AI72/athero!$F72</f>
        <v>3.798856001649789E-3</v>
      </c>
      <c r="AJ72" s="8">
        <f>athero!AJ72/athero!$F72</f>
        <v>2.0550001989876952E-3</v>
      </c>
      <c r="AK72" s="8">
        <f>athero!AK72/athero!$F72</f>
        <v>0.28915082905509787</v>
      </c>
      <c r="AL72" s="8">
        <f>athero!AL72/athero!$F72</f>
        <v>0.12987384180116426</v>
      </c>
      <c r="AM72" s="8">
        <f>athero!AM72/athero!$F72</f>
        <v>1.1939261719470765E-3</v>
      </c>
      <c r="AN72" s="8">
        <f>athero!AN72/athero!$F72</f>
        <v>6.7977814680950363E-2</v>
      </c>
      <c r="AO72" s="8">
        <f>athero!AO72/athero!$F72</f>
        <v>2.3795310402714917E-2</v>
      </c>
      <c r="AP72" s="8">
        <f>athero!AP72/athero!$F72</f>
        <v>3.9786685190612125E-2</v>
      </c>
      <c r="AQ72" s="8">
        <f>athero!AQ72/athero!$F72</f>
        <v>5.517747893443898E-2</v>
      </c>
      <c r="AR72" s="8">
        <f>athero!AR72/athero!$F72</f>
        <v>5.2941580830610818E-2</v>
      </c>
      <c r="AS72" s="8">
        <f>athero!AS72/athero!$F72</f>
        <v>1.9464614560834155E-2</v>
      </c>
      <c r="AT72" s="8">
        <f>athero!AT72/athero!$F72</f>
        <v>5.4631167261820776E-3</v>
      </c>
      <c r="AU72" s="8">
        <f>athero!AU72/athero!$F72</f>
        <v>0.14474364957905059</v>
      </c>
      <c r="AV72" s="8">
        <f>athero!AV72/athero!$F72</f>
        <v>2.7210662846102917E-2</v>
      </c>
      <c r="AW72" s="8">
        <f>athero!AW72/athero!$F72</f>
        <v>5.1881519108245688E-3</v>
      </c>
      <c r="AX72" s="8">
        <f>athero!AX72/athero!$F72</f>
        <v>2.6049298297027124E-2</v>
      </c>
      <c r="AY72" s="8">
        <f>athero!AY72/athero!$F72</f>
        <v>6.0781696026396626E-3</v>
      </c>
      <c r="AZ72" s="8">
        <f>athero!AZ72/athero!$F72</f>
        <v>1.9023223673023421E-2</v>
      </c>
      <c r="BA72" s="8">
        <f>athero!BA72/athero!$F72</f>
        <v>0.11392226455233195</v>
      </c>
      <c r="BB72" s="8">
        <f>athero!BB72/athero!$F72</f>
        <v>5.3339556221259847E-2</v>
      </c>
      <c r="BC72" s="8">
        <f>athero!BC72/athero!$F72</f>
        <v>1.7727994674365683E-4</v>
      </c>
    </row>
    <row r="73" spans="1:55" ht="33.950000000000003">
      <c r="A73" s="5">
        <v>1096</v>
      </c>
      <c r="B73" s="6" t="s">
        <v>68</v>
      </c>
      <c r="C73" s="8" t="s">
        <v>196</v>
      </c>
      <c r="D73" s="8">
        <v>140014</v>
      </c>
      <c r="E73" s="8">
        <v>136628</v>
      </c>
      <c r="F73" s="8">
        <v>130636</v>
      </c>
      <c r="G73" s="8">
        <f>athero!G73/athero!$F73</f>
        <v>0.63177837655776359</v>
      </c>
      <c r="H73" s="8">
        <f>athero!H73/athero!$F73</f>
        <v>2.5949967849597353E-3</v>
      </c>
      <c r="I73" s="8">
        <f>athero!I73/athero!$F73</f>
        <v>2.5184482072323098E-3</v>
      </c>
      <c r="J73" s="8">
        <f>athero!J73/athero!$F73</f>
        <v>2.4648642028231114E-3</v>
      </c>
      <c r="K73" s="8">
        <f>athero!K73/athero!$F73</f>
        <v>2.4648642028231114E-3</v>
      </c>
      <c r="L73" s="8">
        <f>athero!L73/athero!$F73</f>
        <v>2.4648642028231114E-3</v>
      </c>
      <c r="M73" s="8">
        <f>athero!M73/athero!$F73</f>
        <v>5.5880461741020856E-4</v>
      </c>
      <c r="N73" s="8">
        <f>athero!N73/athero!$F73</f>
        <v>1.7453075721853089E-3</v>
      </c>
      <c r="O73" s="8">
        <f>athero!O73/athero!$F73</f>
        <v>0</v>
      </c>
      <c r="P73" s="8">
        <f>athero!P73/athero!$F73</f>
        <v>0</v>
      </c>
      <c r="Q73" s="8">
        <f>athero!Q73/athero!$F73</f>
        <v>0.18001163538381457</v>
      </c>
      <c r="R73" s="8">
        <f>athero!R73/athero!$F73</f>
        <v>4.9909672678281634E-2</v>
      </c>
      <c r="S73" s="8">
        <f>athero!S73/athero!$F73</f>
        <v>0.12451391653143085</v>
      </c>
      <c r="T73" s="8">
        <f>athero!T73/athero!$F73</f>
        <v>1.5103034385621114E-2</v>
      </c>
      <c r="U73" s="8">
        <f>athero!U73/athero!$F73</f>
        <v>6.606142257876849E-3</v>
      </c>
      <c r="V73" s="8">
        <f>athero!V73/athero!$F73</f>
        <v>7.4787960439695027E-3</v>
      </c>
      <c r="W73" s="8">
        <f>athero!W73/athero!$F73</f>
        <v>4.4076671055451787E-2</v>
      </c>
      <c r="X73" s="8">
        <f>athero!X73/athero!$F73</f>
        <v>7.1726017330598002E-3</v>
      </c>
      <c r="Y73" s="8">
        <f>athero!Y73/athero!$F73</f>
        <v>6.4071159557855415E-3</v>
      </c>
      <c r="Z73" s="8">
        <f>athero!Z73/athero!$F73</f>
        <v>2.0759974279677882E-2</v>
      </c>
      <c r="AA73" s="8">
        <f>athero!AA73/athero!$F73</f>
        <v>3.8963226063259745E-3</v>
      </c>
      <c r="AB73" s="8">
        <f>athero!AB73/athero!$F73</f>
        <v>1.3549098257754371E-2</v>
      </c>
      <c r="AC73" s="8">
        <f>athero!AC73/athero!$F73</f>
        <v>1.3778743990936648E-4</v>
      </c>
      <c r="AD73" s="8">
        <f>athero!AD73/athero!$F73</f>
        <v>1.3319452524572093E-2</v>
      </c>
      <c r="AE73" s="8">
        <f>athero!AE73/athero!$F73</f>
        <v>5.17544934015126E-2</v>
      </c>
      <c r="AF73" s="8">
        <f>athero!AF73/athero!$F73</f>
        <v>2.1050858875042103E-3</v>
      </c>
      <c r="AG73" s="8">
        <f>athero!AG73/athero!$F73</f>
        <v>0.44155516090511038</v>
      </c>
      <c r="AH73" s="8">
        <f>athero!AH73/athero!$F73</f>
        <v>0.40011176092348205</v>
      </c>
      <c r="AI73" s="8">
        <f>athero!AI73/athero!$F73</f>
        <v>9.9513151045653577E-4</v>
      </c>
      <c r="AJ73" s="8">
        <f>athero!AJ73/athero!$F73</f>
        <v>1.23319758718883E-2</v>
      </c>
      <c r="AK73" s="8">
        <f>athero!AK73/athero!$F73</f>
        <v>0.37544015432193267</v>
      </c>
      <c r="AL73" s="8">
        <f>athero!AL73/athero!$F73</f>
        <v>9.9283505312471293E-2</v>
      </c>
      <c r="AM73" s="8">
        <f>athero!AM73/athero!$F73</f>
        <v>9.9513151045653572E-5</v>
      </c>
      <c r="AN73" s="8">
        <f>athero!AN73/athero!$F73</f>
        <v>2.9631954438286538E-2</v>
      </c>
      <c r="AO73" s="8">
        <f>athero!AO73/athero!$F73</f>
        <v>8.0299458036069693E-3</v>
      </c>
      <c r="AP73" s="8">
        <f>athero!AP73/athero!$F73</f>
        <v>2.0262408524449615E-2</v>
      </c>
      <c r="AQ73" s="8">
        <f>athero!AQ73/athero!$F73</f>
        <v>6.0381518111393494E-2</v>
      </c>
      <c r="AR73" s="8">
        <f>athero!AR73/athero!$F73</f>
        <v>5.9669616338528429E-2</v>
      </c>
      <c r="AS73" s="8">
        <f>athero!AS73/athero!$F73</f>
        <v>6.7592394133317007E-3</v>
      </c>
      <c r="AT73" s="8">
        <f>athero!AT73/athero!$F73</f>
        <v>1.0487155148657338E-3</v>
      </c>
      <c r="AU73" s="8">
        <f>athero!AU73/athero!$F73</f>
        <v>0.26232432101411557</v>
      </c>
      <c r="AV73" s="8">
        <f>athero!AV73/athero!$F73</f>
        <v>2.3393245353501332E-2</v>
      </c>
      <c r="AW73" s="8">
        <f>athero!AW73/athero!$F73</f>
        <v>2.9471202425058944E-3</v>
      </c>
      <c r="AX73" s="8">
        <f>athero!AX73/athero!$F73</f>
        <v>2.9432928136195229E-2</v>
      </c>
      <c r="AY73" s="8">
        <f>athero!AY73/athero!$F73</f>
        <v>1.4911662941302551E-2</v>
      </c>
      <c r="AZ73" s="8">
        <f>athero!AZ73/athero!$F73</f>
        <v>1.2599895893934291E-2</v>
      </c>
      <c r="BA73" s="8">
        <f>athero!BA73/athero!$F73</f>
        <v>0.2230549006399461</v>
      </c>
      <c r="BB73" s="8">
        <f>athero!BB73/athero!$F73</f>
        <v>0.14056615328087205</v>
      </c>
      <c r="BC73" s="8">
        <f>athero!BC73/athero!$F73</f>
        <v>7.1955663063780271E-4</v>
      </c>
    </row>
    <row r="74" spans="1:55" ht="33.950000000000003">
      <c r="A74" s="5">
        <v>1245</v>
      </c>
      <c r="B74" s="6" t="s">
        <v>105</v>
      </c>
      <c r="C74" s="8" t="s">
        <v>232</v>
      </c>
      <c r="D74" s="8">
        <v>41053</v>
      </c>
      <c r="E74" s="8">
        <v>38077</v>
      </c>
      <c r="F74" s="8">
        <v>36555</v>
      </c>
      <c r="G74" s="8">
        <f>athero!G74/athero!$F74</f>
        <v>0.75486253590480101</v>
      </c>
      <c r="H74" s="8">
        <f>athero!H74/athero!$F74</f>
        <v>1.8328546026535357E-3</v>
      </c>
      <c r="I74" s="8">
        <f>athero!I74/athero!$F74</f>
        <v>1.7781425249623855E-3</v>
      </c>
      <c r="J74" s="8">
        <f>athero!J74/athero!$F74</f>
        <v>1.5866502530433593E-3</v>
      </c>
      <c r="K74" s="8">
        <f>athero!K74/athero!$F74</f>
        <v>1.5592942141977842E-3</v>
      </c>
      <c r="L74" s="8">
        <f>athero!L74/athero!$F74</f>
        <v>1.5319381753522089E-3</v>
      </c>
      <c r="M74" s="8">
        <f>athero!M74/athero!$F74</f>
        <v>3.8298454383805223E-4</v>
      </c>
      <c r="N74" s="8">
        <f>athero!N74/athero!$F74</f>
        <v>9.848173984407058E-4</v>
      </c>
      <c r="O74" s="8">
        <f>athero!O74/athero!$F74</f>
        <v>0</v>
      </c>
      <c r="P74" s="8">
        <f>athero!P74/athero!$F74</f>
        <v>0</v>
      </c>
      <c r="Q74" s="8">
        <f>athero!Q74/athero!$F74</f>
        <v>0.40470523868143893</v>
      </c>
      <c r="R74" s="8">
        <f>athero!R74/athero!$F74</f>
        <v>8.5897961975106005E-2</v>
      </c>
      <c r="S74" s="8">
        <f>athero!S74/athero!$F74</f>
        <v>0.30969771577075639</v>
      </c>
      <c r="T74" s="8">
        <f>athero!T74/athero!$F74</f>
        <v>8.6171522363561754E-3</v>
      </c>
      <c r="U74" s="8">
        <f>athero!U74/athero!$F74</f>
        <v>1.5045821365066339E-3</v>
      </c>
      <c r="V74" s="8">
        <f>athero!V74/athero!$F74</f>
        <v>1.2966762412802627E-2</v>
      </c>
      <c r="W74" s="8">
        <f>athero!W74/athero!$F74</f>
        <v>0.18730679797565314</v>
      </c>
      <c r="X74" s="8">
        <f>athero!X74/athero!$F74</f>
        <v>3.8024893995349474E-2</v>
      </c>
      <c r="Y74" s="8">
        <f>athero!Y74/athero!$F74</f>
        <v>3.7094788674599921E-2</v>
      </c>
      <c r="Z74" s="8">
        <f>athero!Z74/athero!$F74</f>
        <v>3.8106962111886196E-2</v>
      </c>
      <c r="AA74" s="8">
        <f>athero!AA74/athero!$F74</f>
        <v>4.4043222541376012E-3</v>
      </c>
      <c r="AB74" s="8">
        <f>athero!AB74/athero!$F74</f>
        <v>3.1213240322801258E-2</v>
      </c>
      <c r="AC74" s="8">
        <f>athero!AC74/athero!$F74</f>
        <v>5.4438517302694573E-3</v>
      </c>
      <c r="AD74" s="8">
        <f>athero!AD74/athero!$F74</f>
        <v>2.4237450417179594E-2</v>
      </c>
      <c r="AE74" s="8">
        <f>athero!AE74/athero!$F74</f>
        <v>6.0128573382574206E-2</v>
      </c>
      <c r="AF74" s="8">
        <f>athero!AF74/athero!$F74</f>
        <v>2.708247845711941E-3</v>
      </c>
      <c r="AG74" s="8">
        <f>athero!AG74/athero!$F74</f>
        <v>0.34137600875393243</v>
      </c>
      <c r="AH74" s="8">
        <f>athero!AH74/athero!$F74</f>
        <v>0.31546983996717276</v>
      </c>
      <c r="AI74" s="8">
        <f>athero!AI74/athero!$F74</f>
        <v>1.6960744084256599E-3</v>
      </c>
      <c r="AJ74" s="8">
        <f>athero!AJ74/athero!$F74</f>
        <v>4.103405826836274E-4</v>
      </c>
      <c r="AK74" s="8">
        <f>athero!AK74/athero!$F74</f>
        <v>0.30720831623580908</v>
      </c>
      <c r="AL74" s="8">
        <f>athero!AL74/athero!$F74</f>
        <v>0.24138968677335521</v>
      </c>
      <c r="AM74" s="8">
        <f>athero!AM74/athero!$F74</f>
        <v>4.924086992203529E-4</v>
      </c>
      <c r="AN74" s="8">
        <f>athero!AN74/athero!$F74</f>
        <v>0.13169197100259883</v>
      </c>
      <c r="AO74" s="8">
        <f>athero!AO74/athero!$F74</f>
        <v>5.5943099439201206E-2</v>
      </c>
      <c r="AP74" s="8">
        <f>athero!AP74/athero!$F74</f>
        <v>6.4450827520175072E-2</v>
      </c>
      <c r="AQ74" s="8">
        <f>athero!AQ74/athero!$F74</f>
        <v>9.4733962522226781E-2</v>
      </c>
      <c r="AR74" s="8">
        <f>athero!AR74/athero!$F74</f>
        <v>9.3147312269183422E-2</v>
      </c>
      <c r="AS74" s="8">
        <f>athero!AS74/athero!$F74</f>
        <v>1.1243331965531391E-2</v>
      </c>
      <c r="AT74" s="8">
        <f>athero!AT74/athero!$F74</f>
        <v>5.1155792641225549E-3</v>
      </c>
      <c r="AU74" s="8">
        <f>athero!AU74/athero!$F74</f>
        <v>5.6326083983039253E-2</v>
      </c>
      <c r="AV74" s="8">
        <f>athero!AV74/athero!$F74</f>
        <v>8.1520995759813975E-3</v>
      </c>
      <c r="AW74" s="8">
        <f>athero!AW74/athero!$F74</f>
        <v>2.4893995349473397E-3</v>
      </c>
      <c r="AX74" s="8">
        <f>athero!AX74/athero!$F74</f>
        <v>2.5495828204076049E-2</v>
      </c>
      <c r="AY74" s="8">
        <f>athero!AY74/athero!$F74</f>
        <v>5.6353440021884834E-3</v>
      </c>
      <c r="AZ74" s="8">
        <f>athero!AZ74/athero!$F74</f>
        <v>1.849268225960881E-2</v>
      </c>
      <c r="BA74" s="8">
        <f>athero!BA74/athero!$F74</f>
        <v>2.8286144166324717E-2</v>
      </c>
      <c r="BB74" s="8">
        <f>athero!BB74/athero!$F74</f>
        <v>1.8109697715770756E-2</v>
      </c>
      <c r="BC74" s="8">
        <f>athero!BC74/athero!$F74</f>
        <v>1.9149227191902612E-4</v>
      </c>
    </row>
    <row r="75" spans="1:55" ht="33.950000000000003">
      <c r="A75" s="5">
        <v>1031</v>
      </c>
      <c r="B75" s="6" t="s">
        <v>50</v>
      </c>
      <c r="C75" s="8" t="s">
        <v>180</v>
      </c>
      <c r="D75" s="8">
        <v>74917</v>
      </c>
      <c r="E75" s="8">
        <v>72976</v>
      </c>
      <c r="F75" s="8">
        <v>71165</v>
      </c>
      <c r="G75" s="8">
        <f>athero!G75/athero!$F75</f>
        <v>0.57390571207756624</v>
      </c>
      <c r="H75" s="8">
        <f>athero!H75/athero!$F75</f>
        <v>9.9908662966345808E-3</v>
      </c>
      <c r="I75" s="8">
        <f>athero!I75/athero!$F75</f>
        <v>9.9346588913089302E-3</v>
      </c>
      <c r="J75" s="8">
        <f>athero!J75/athero!$F75</f>
        <v>9.5693107566921943E-3</v>
      </c>
      <c r="K75" s="8">
        <f>athero!K75/athero!$F75</f>
        <v>9.5552589053607816E-3</v>
      </c>
      <c r="L75" s="8">
        <f>athero!L75/athero!$F75</f>
        <v>9.5552589053607816E-3</v>
      </c>
      <c r="M75" s="8">
        <f>athero!M75/athero!$F75</f>
        <v>3.7658961568186608E-3</v>
      </c>
      <c r="N75" s="8">
        <f>athero!N75/athero!$F75</f>
        <v>4.2015035480924608E-3</v>
      </c>
      <c r="O75" s="8">
        <f>athero!O75/athero!$F75</f>
        <v>9.8362959319890389E-5</v>
      </c>
      <c r="P75" s="8">
        <f>athero!P75/athero!$F75</f>
        <v>9.8362959319890389E-5</v>
      </c>
      <c r="Q75" s="8">
        <f>athero!Q75/athero!$F75</f>
        <v>0.22942457668797864</v>
      </c>
      <c r="R75" s="8">
        <f>athero!R75/athero!$F75</f>
        <v>6.7252160472142206E-2</v>
      </c>
      <c r="S75" s="8">
        <f>athero!S75/athero!$F75</f>
        <v>0.15150706105529405</v>
      </c>
      <c r="T75" s="8">
        <f>athero!T75/athero!$F75</f>
        <v>5.6488442352279917E-3</v>
      </c>
      <c r="U75" s="8">
        <f>athero!U75/athero!$F75</f>
        <v>3.9204665214642026E-3</v>
      </c>
      <c r="V75" s="8">
        <f>athero!V75/athero!$F75</f>
        <v>1.0159488512611536E-2</v>
      </c>
      <c r="W75" s="8">
        <f>athero!W75/athero!$F75</f>
        <v>4.7242324176210215E-2</v>
      </c>
      <c r="X75" s="8">
        <f>athero!X75/athero!$F75</f>
        <v>1.3630295791470527E-2</v>
      </c>
      <c r="Y75" s="8">
        <f>athero!Y75/athero!$F75</f>
        <v>1.292770322489988E-2</v>
      </c>
      <c r="Z75" s="8">
        <f>athero!Z75/athero!$F75</f>
        <v>2.8202065622145719E-2</v>
      </c>
      <c r="AA75" s="8">
        <f>athero!AA75/athero!$F75</f>
        <v>5.7753108972107073E-3</v>
      </c>
      <c r="AB75" s="8">
        <f>athero!AB75/athero!$F75</f>
        <v>1.9124569662052976E-2</v>
      </c>
      <c r="AC75" s="8">
        <f>athero!AC75/athero!$F75</f>
        <v>5.9017775591934242E-4</v>
      </c>
      <c r="AD75" s="8">
        <f>athero!AD75/athero!$F75</f>
        <v>1.6651443827724304E-2</v>
      </c>
      <c r="AE75" s="8">
        <f>athero!AE75/athero!$F75</f>
        <v>6.50741235157732E-2</v>
      </c>
      <c r="AF75" s="8">
        <f>athero!AF75/athero!$F75</f>
        <v>4.4965924260521325E-4</v>
      </c>
      <c r="AG75" s="8">
        <f>athero!AG75/athero!$F75</f>
        <v>0.32922082484367315</v>
      </c>
      <c r="AH75" s="8">
        <f>athero!AH75/athero!$F75</f>
        <v>0.3191315955877187</v>
      </c>
      <c r="AI75" s="8">
        <f>athero!AI75/athero!$F75</f>
        <v>2.2342443616946532E-3</v>
      </c>
      <c r="AJ75" s="8">
        <f>athero!AJ75/athero!$F75</f>
        <v>3.5129628328532284E-4</v>
      </c>
      <c r="AK75" s="8">
        <f>athero!AK75/athero!$F75</f>
        <v>0.30742640342865174</v>
      </c>
      <c r="AL75" s="8">
        <f>athero!AL75/athero!$F75</f>
        <v>0.1583222089510293</v>
      </c>
      <c r="AM75" s="8">
        <f>athero!AM75/athero!$F75</f>
        <v>7.1664441790205856E-4</v>
      </c>
      <c r="AN75" s="8">
        <f>athero!AN75/athero!$F75</f>
        <v>0.11661631419939578</v>
      </c>
      <c r="AO75" s="8">
        <f>athero!AO75/athero!$F75</f>
        <v>1.5541347572542682E-2</v>
      </c>
      <c r="AP75" s="8">
        <f>athero!AP75/athero!$F75</f>
        <v>9.3332396543244572E-2</v>
      </c>
      <c r="AQ75" s="8">
        <f>athero!AQ75/athero!$F75</f>
        <v>3.1279421063725145E-2</v>
      </c>
      <c r="AR75" s="8">
        <f>athero!AR75/athero!$F75</f>
        <v>3.1152954401742431E-2</v>
      </c>
      <c r="AS75" s="8">
        <f>athero!AS75/athero!$F75</f>
        <v>1.6637391976392888E-2</v>
      </c>
      <c r="AT75" s="8">
        <f>athero!AT75/athero!$F75</f>
        <v>6.7870441930724373E-3</v>
      </c>
      <c r="AU75" s="8">
        <f>athero!AU75/athero!$F75</f>
        <v>0.13807349118246329</v>
      </c>
      <c r="AV75" s="8">
        <f>athero!AV75/athero!$F75</f>
        <v>3.5256094990514998E-2</v>
      </c>
      <c r="AW75" s="8">
        <f>athero!AW75/athero!$F75</f>
        <v>3.90641467013279E-3</v>
      </c>
      <c r="AX75" s="8">
        <f>athero!AX75/athero!$F75</f>
        <v>4.379962060001405E-2</v>
      </c>
      <c r="AY75" s="8">
        <f>athero!AY75/athero!$F75</f>
        <v>2.2089510292981101E-2</v>
      </c>
      <c r="AZ75" s="8">
        <f>athero!AZ75/athero!$F75</f>
        <v>1.7311880840300709E-2</v>
      </c>
      <c r="BA75" s="8">
        <f>athero!BA75/athero!$F75</f>
        <v>8.4831026487739755E-2</v>
      </c>
      <c r="BB75" s="8">
        <f>athero!BB75/athero!$F75</f>
        <v>7.7257078620108194E-2</v>
      </c>
      <c r="BC75" s="8">
        <f>athero!BC75/athero!$F75</f>
        <v>4.215555399423874E-5</v>
      </c>
    </row>
    <row r="76" spans="1:55" ht="33.950000000000003">
      <c r="A76" s="5">
        <v>1300</v>
      </c>
      <c r="B76" s="6" t="s">
        <v>106</v>
      </c>
      <c r="C76" s="8" t="s">
        <v>234</v>
      </c>
      <c r="D76" s="8">
        <v>93789</v>
      </c>
      <c r="E76" s="8">
        <v>90800</v>
      </c>
      <c r="F76" s="8">
        <v>89845</v>
      </c>
      <c r="G76" s="8">
        <f>athero!G76/athero!$F76</f>
        <v>0.91881573821581608</v>
      </c>
      <c r="H76" s="8">
        <f>athero!H76/athero!$F76</f>
        <v>1.5025877900829206E-3</v>
      </c>
      <c r="I76" s="8">
        <f>athero!I76/athero!$F76</f>
        <v>1.4914575101563805E-3</v>
      </c>
      <c r="J76" s="8">
        <f>athero!J76/athero!$F76</f>
        <v>1.391284990817519E-3</v>
      </c>
      <c r="K76" s="8">
        <f>athero!K76/athero!$F76</f>
        <v>1.3801547108909789E-3</v>
      </c>
      <c r="L76" s="8">
        <f>athero!L76/athero!$F76</f>
        <v>1.3690244309644388E-3</v>
      </c>
      <c r="M76" s="8">
        <f>athero!M76/athero!$F76</f>
        <v>4.006900773554455E-4</v>
      </c>
      <c r="N76" s="8">
        <f>athero!N76/athero!$F76</f>
        <v>6.9007735544548943E-4</v>
      </c>
      <c r="O76" s="8">
        <f>athero!O76/athero!$F76</f>
        <v>0</v>
      </c>
      <c r="P76" s="8">
        <f>athero!P76/athero!$F76</f>
        <v>4.4521119706160609E-5</v>
      </c>
      <c r="Q76" s="8">
        <f>athero!Q76/athero!$F76</f>
        <v>0.54227836830096277</v>
      </c>
      <c r="R76" s="8">
        <f>athero!R76/athero!$F76</f>
        <v>0.1071957259725082</v>
      </c>
      <c r="S76" s="8">
        <f>athero!S76/athero!$F76</f>
        <v>0.41002838221381266</v>
      </c>
      <c r="T76" s="8">
        <f>athero!T76/athero!$F76</f>
        <v>6.7004285157771714E-3</v>
      </c>
      <c r="U76" s="8">
        <f>athero!U76/athero!$F76</f>
        <v>3.6507318159051702E-3</v>
      </c>
      <c r="V76" s="8">
        <f>athero!V76/athero!$F76</f>
        <v>1.5304134898992709E-2</v>
      </c>
      <c r="W76" s="8">
        <f>athero!W76/athero!$F76</f>
        <v>0.24291835939673884</v>
      </c>
      <c r="X76" s="8">
        <f>athero!X76/athero!$F76</f>
        <v>7.3548889754577323E-2</v>
      </c>
      <c r="Y76" s="8">
        <f>athero!Y76/athero!$F76</f>
        <v>7.2424731481996768E-2</v>
      </c>
      <c r="Z76" s="8">
        <f>athero!Z76/athero!$F76</f>
        <v>6.5446045968056102E-2</v>
      </c>
      <c r="AA76" s="8">
        <f>athero!AA76/athero!$F76</f>
        <v>1.0106294173298459E-2</v>
      </c>
      <c r="AB76" s="8">
        <f>athero!AB76/athero!$F76</f>
        <v>1.590517001502588E-2</v>
      </c>
      <c r="AC76" s="8">
        <f>athero!AC76/athero!$F76</f>
        <v>4.6747175691468643E-4</v>
      </c>
      <c r="AD76" s="8">
        <f>athero!AD76/athero!$F76</f>
        <v>1.4435973064722578E-2</v>
      </c>
      <c r="AE76" s="8">
        <f>athero!AE76/athero!$F76</f>
        <v>7.3816016472814286E-2</v>
      </c>
      <c r="AF76" s="8">
        <f>athero!AF76/athero!$F76</f>
        <v>4.1070732928933165E-3</v>
      </c>
      <c r="AG76" s="8">
        <f>athero!AG76/athero!$F76</f>
        <v>0.3667315932995715</v>
      </c>
      <c r="AH76" s="8">
        <f>athero!AH76/athero!$F76</f>
        <v>0.34005231231565475</v>
      </c>
      <c r="AI76" s="8">
        <f>athero!AI76/athero!$F76</f>
        <v>2.9495241805331403E-3</v>
      </c>
      <c r="AJ76" s="8">
        <f>athero!AJ76/athero!$F76</f>
        <v>4.7860203684122653E-4</v>
      </c>
      <c r="AK76" s="8">
        <f>athero!AK76/athero!$F76</f>
        <v>0.32404696978129</v>
      </c>
      <c r="AL76" s="8">
        <f>athero!AL76/athero!$F76</f>
        <v>0.1493015749346096</v>
      </c>
      <c r="AM76" s="8">
        <f>athero!AM76/athero!$F76</f>
        <v>2.5265735433246147E-3</v>
      </c>
      <c r="AN76" s="8">
        <f>athero!AN76/athero!$F76</f>
        <v>4.0013356335911847E-2</v>
      </c>
      <c r="AO76" s="8">
        <f>athero!AO76/athero!$F76</f>
        <v>9.2937837386610281E-3</v>
      </c>
      <c r="AP76" s="8">
        <f>athero!AP76/athero!$F76</f>
        <v>2.8704991930547052E-2</v>
      </c>
      <c r="AQ76" s="8">
        <f>athero!AQ76/athero!$F76</f>
        <v>9.6621960042295063E-2</v>
      </c>
      <c r="AR76" s="8">
        <f>athero!AR76/athero!$F76</f>
        <v>9.5987534086482279E-2</v>
      </c>
      <c r="AS76" s="8">
        <f>athero!AS76/athero!$F76</f>
        <v>1.6005342534364739E-2</v>
      </c>
      <c r="AT76" s="8">
        <f>athero!AT76/athero!$F76</f>
        <v>5.1421893260615503E-3</v>
      </c>
      <c r="AU76" s="8">
        <f>athero!AU76/athero!$F76</f>
        <v>0.14284601257721632</v>
      </c>
      <c r="AV76" s="8">
        <f>athero!AV76/athero!$F76</f>
        <v>1.2065223440369525E-2</v>
      </c>
      <c r="AW76" s="8">
        <f>athero!AW76/athero!$F76</f>
        <v>4.9084534476042073E-3</v>
      </c>
      <c r="AX76" s="8">
        <f>athero!AX76/athero!$F76</f>
        <v>2.259446825087651E-2</v>
      </c>
      <c r="AY76" s="8">
        <f>athero!AY76/athero!$F76</f>
        <v>1.2120874840002226E-2</v>
      </c>
      <c r="AZ76" s="8">
        <f>athero!AZ76/athero!$F76</f>
        <v>8.9153542211586629E-3</v>
      </c>
      <c r="BA76" s="8">
        <f>athero!BA76/athero!$F76</f>
        <v>0.10678390561522623</v>
      </c>
      <c r="BB76" s="8">
        <f>athero!BB76/athero!$F76</f>
        <v>9.379486894095386E-2</v>
      </c>
      <c r="BC76" s="8">
        <f>athero!BC76/athero!$F76</f>
        <v>6.4555623573932881E-4</v>
      </c>
    </row>
    <row r="77" spans="1:55" ht="17.100000000000001">
      <c r="A77" s="5">
        <v>1118</v>
      </c>
      <c r="B77" s="6" t="s">
        <v>74</v>
      </c>
      <c r="C77" s="8" t="s">
        <v>201</v>
      </c>
      <c r="D77" s="8">
        <v>122549</v>
      </c>
      <c r="E77" s="8">
        <v>120601</v>
      </c>
      <c r="F77" s="8">
        <v>112566</v>
      </c>
      <c r="G77" s="8">
        <f>athero!G77/athero!$F77</f>
        <v>0.73427144963843438</v>
      </c>
      <c r="H77" s="8">
        <f>athero!H77/athero!$F77</f>
        <v>2.9937991933621164E-3</v>
      </c>
      <c r="I77" s="8">
        <f>athero!I77/athero!$F77</f>
        <v>2.9849155162304779E-3</v>
      </c>
      <c r="J77" s="8">
        <f>athero!J77/athero!$F77</f>
        <v>2.7805909422027966E-3</v>
      </c>
      <c r="K77" s="8">
        <f>athero!K77/athero!$F77</f>
        <v>2.7539399108078818E-3</v>
      </c>
      <c r="L77" s="8">
        <f>athero!L77/athero!$F77</f>
        <v>2.7539399108078818E-3</v>
      </c>
      <c r="M77" s="8">
        <f>athero!M77/athero!$F77</f>
        <v>8.1729829611072616E-4</v>
      </c>
      <c r="N77" s="8">
        <f>athero!N77/athero!$F77</f>
        <v>1.2970168612191958E-3</v>
      </c>
      <c r="O77" s="8">
        <f>athero!O77/athero!$F77</f>
        <v>3.5534708526553308E-5</v>
      </c>
      <c r="P77" s="8">
        <f>athero!P77/athero!$F77</f>
        <v>8.8836771316383269E-6</v>
      </c>
      <c r="Q77" s="8">
        <f>athero!Q77/athero!$F77</f>
        <v>0.22040402963594691</v>
      </c>
      <c r="R77" s="8">
        <f>athero!R77/athero!$F77</f>
        <v>3.8137625926123339E-2</v>
      </c>
      <c r="S77" s="8">
        <f>athero!S77/athero!$F77</f>
        <v>0.17607448074907164</v>
      </c>
      <c r="T77" s="8">
        <f>athero!T77/athero!$F77</f>
        <v>6.2185739921468298E-3</v>
      </c>
      <c r="U77" s="8">
        <f>athero!U77/athero!$F77</f>
        <v>4.6994652026366756E-3</v>
      </c>
      <c r="V77" s="8">
        <f>athero!V77/athero!$F77</f>
        <v>1.927757937565517E-2</v>
      </c>
      <c r="W77" s="8">
        <f>athero!W77/athero!$F77</f>
        <v>5.4323685659968375E-2</v>
      </c>
      <c r="X77" s="8">
        <f>athero!X77/athero!$F77</f>
        <v>1.7465309240800954E-2</v>
      </c>
      <c r="Y77" s="8">
        <f>athero!Y77/athero!$F77</f>
        <v>1.6585825204768759E-2</v>
      </c>
      <c r="Z77" s="8">
        <f>athero!Z77/athero!$F77</f>
        <v>3.3118348346747685E-2</v>
      </c>
      <c r="AA77" s="8">
        <f>athero!AA77/athero!$F77</f>
        <v>5.0814633192971231E-3</v>
      </c>
      <c r="AB77" s="8">
        <f>athero!AB77/athero!$F77</f>
        <v>2.5211875699589575E-2</v>
      </c>
      <c r="AC77" s="8">
        <f>athero!AC77/athero!$F77</f>
        <v>2.4696622425954551E-3</v>
      </c>
      <c r="AD77" s="8">
        <f>athero!AD77/athero!$F77</f>
        <v>2.0006040900449513E-2</v>
      </c>
      <c r="AE77" s="8">
        <f>athero!AE77/athero!$F77</f>
        <v>7.7145852211147239E-2</v>
      </c>
      <c r="AF77" s="8">
        <f>athero!AF77/athero!$F77</f>
        <v>3.9177016150525028E-3</v>
      </c>
      <c r="AG77" s="8">
        <f>athero!AG77/athero!$F77</f>
        <v>0.50135031892400905</v>
      </c>
      <c r="AH77" s="8">
        <f>athero!AH77/athero!$F77</f>
        <v>0.47297585416555621</v>
      </c>
      <c r="AI77" s="8">
        <f>athero!AI77/athero!$F77</f>
        <v>9.2390242169038605E-4</v>
      </c>
      <c r="AJ77" s="8">
        <f>athero!AJ77/athero!$F77</f>
        <v>4.9748591937174636E-4</v>
      </c>
      <c r="AK77" s="8">
        <f>athero!AK77/athero!$F77</f>
        <v>0.46745020698967715</v>
      </c>
      <c r="AL77" s="8">
        <f>athero!AL77/athero!$F77</f>
        <v>0.2923884654336123</v>
      </c>
      <c r="AM77" s="8">
        <f>athero!AM77/athero!$F77</f>
        <v>1.4480393724570473E-3</v>
      </c>
      <c r="AN77" s="8">
        <f>athero!AN77/athero!$F77</f>
        <v>0.13637332764777996</v>
      </c>
      <c r="AO77" s="8">
        <f>athero!AO77/athero!$F77</f>
        <v>6.0417888172272269E-2</v>
      </c>
      <c r="AP77" s="8">
        <f>athero!AP77/athero!$F77</f>
        <v>6.6858554092710049E-2</v>
      </c>
      <c r="AQ77" s="8">
        <f>athero!AQ77/athero!$F77</f>
        <v>0.13157614199669526</v>
      </c>
      <c r="AR77" s="8">
        <f>athero!AR77/athero!$F77</f>
        <v>0.1293108043281275</v>
      </c>
      <c r="AS77" s="8">
        <f>athero!AS77/athero!$F77</f>
        <v>1.1193433185864294E-2</v>
      </c>
      <c r="AT77" s="8">
        <f>athero!AT77/athero!$F77</f>
        <v>3.473517758470586E-3</v>
      </c>
      <c r="AU77" s="8">
        <f>athero!AU77/athero!$F77</f>
        <v>0.13918945329850932</v>
      </c>
      <c r="AV77" s="8">
        <f>athero!AV77/athero!$F77</f>
        <v>1.6434802693530905E-2</v>
      </c>
      <c r="AW77" s="8">
        <f>athero!AW77/athero!$F77</f>
        <v>2.2564539914361353E-3</v>
      </c>
      <c r="AX77" s="8">
        <f>athero!AX77/athero!$F77</f>
        <v>7.2828385125171008E-2</v>
      </c>
      <c r="AY77" s="8">
        <f>athero!AY77/athero!$F77</f>
        <v>8.2973544409501981E-3</v>
      </c>
      <c r="AZ77" s="8">
        <f>athero!AZ77/athero!$F77</f>
        <v>6.0799886288932715E-2</v>
      </c>
      <c r="BA77" s="8">
        <f>athero!BA77/athero!$F77</f>
        <v>5.795710960680845E-2</v>
      </c>
      <c r="BB77" s="8">
        <f>athero!BB77/athero!$F77</f>
        <v>5.0308263596467853E-2</v>
      </c>
      <c r="BC77" s="8">
        <f>athero!BC77/athero!$F77</f>
        <v>3.1092869960734149E-4</v>
      </c>
    </row>
    <row r="78" spans="1:55" s="12" customFormat="1">
      <c r="A78" s="12" t="s">
        <v>240</v>
      </c>
      <c r="B78" s="14"/>
      <c r="D78" s="18">
        <f>TTEST(D2:D40,D42:D77,2,2)</f>
        <v>9.3447570563727211E-2</v>
      </c>
      <c r="E78" s="18">
        <f>TTEST(E2:E40,E42:E77,2,2)</f>
        <v>8.3935971658253603E-2</v>
      </c>
      <c r="F78" s="18">
        <f t="shared" ref="F78:BC78" si="0">TTEST(F2:F40,F42:F77,2,2)</f>
        <v>9.0269047897179128E-2</v>
      </c>
      <c r="G78" s="12">
        <f>TTEST(G2:G40,G42:G77,2,2)</f>
        <v>0.19338123427647888</v>
      </c>
      <c r="H78" s="12">
        <f t="shared" si="0"/>
        <v>3.7476987424266625E-2</v>
      </c>
      <c r="I78" s="12">
        <f t="shared" si="0"/>
        <v>3.527074869813264E-2</v>
      </c>
      <c r="J78" s="12">
        <f t="shared" si="0"/>
        <v>3.4812539339146548E-2</v>
      </c>
      <c r="K78" s="12">
        <f t="shared" si="0"/>
        <v>3.4195892744496213E-2</v>
      </c>
      <c r="L78" s="12">
        <f t="shared" si="0"/>
        <v>3.3457643440233331E-2</v>
      </c>
      <c r="M78" s="12">
        <f t="shared" si="0"/>
        <v>4.8681176744724428E-2</v>
      </c>
      <c r="N78" s="12">
        <f t="shared" si="0"/>
        <v>0.14305539308950166</v>
      </c>
      <c r="O78" s="12">
        <f t="shared" si="0"/>
        <v>0.71551156450173836</v>
      </c>
      <c r="P78" s="12">
        <f t="shared" si="0"/>
        <v>0.52360696778582205</v>
      </c>
      <c r="Q78" s="12">
        <f t="shared" si="0"/>
        <v>0.93357986292110673</v>
      </c>
      <c r="R78" s="12">
        <f t="shared" si="0"/>
        <v>0.87408595009460677</v>
      </c>
      <c r="S78" s="12">
        <f t="shared" si="0"/>
        <v>0.98201897481816025</v>
      </c>
      <c r="T78" s="12">
        <f t="shared" si="0"/>
        <v>0.67848697922305878</v>
      </c>
      <c r="U78" s="12">
        <f t="shared" si="0"/>
        <v>0.54689525532201877</v>
      </c>
      <c r="V78" s="12">
        <f t="shared" si="0"/>
        <v>0.41884716979277359</v>
      </c>
      <c r="W78" s="12">
        <f t="shared" si="0"/>
        <v>0.46788249817078775</v>
      </c>
      <c r="X78" s="12">
        <f t="shared" si="0"/>
        <v>0.58018998244235687</v>
      </c>
      <c r="Y78" s="12">
        <f t="shared" si="0"/>
        <v>0.51774395264058093</v>
      </c>
      <c r="Z78" s="12">
        <f t="shared" si="0"/>
        <v>0.13061647868916215</v>
      </c>
      <c r="AA78" s="12">
        <f t="shared" si="0"/>
        <v>0.62292257745711022</v>
      </c>
      <c r="AB78" s="12">
        <f t="shared" si="0"/>
        <v>0.61988326185905196</v>
      </c>
      <c r="AC78" s="12">
        <f t="shared" si="0"/>
        <v>0.59330905284086088</v>
      </c>
      <c r="AD78" s="12">
        <f t="shared" si="0"/>
        <v>0.46246681238795995</v>
      </c>
      <c r="AE78" s="12">
        <f t="shared" si="0"/>
        <v>9.9564683197089651E-2</v>
      </c>
      <c r="AF78" s="12">
        <f t="shared" si="0"/>
        <v>0.55149443783005747</v>
      </c>
      <c r="AG78" s="13">
        <f t="shared" si="0"/>
        <v>6.2321904068754083E-2</v>
      </c>
      <c r="AH78" s="13">
        <f t="shared" si="0"/>
        <v>7.3630150341194606E-2</v>
      </c>
      <c r="AI78" s="12">
        <f t="shared" si="0"/>
        <v>0.4561588353840389</v>
      </c>
      <c r="AJ78" s="12">
        <f t="shared" si="0"/>
        <v>0.1865274479438736</v>
      </c>
      <c r="AK78" s="13">
        <f t="shared" si="0"/>
        <v>4.8941920749926926E-2</v>
      </c>
      <c r="AL78" s="13">
        <f t="shared" si="0"/>
        <v>0.15691740926771225</v>
      </c>
      <c r="AM78" s="12">
        <f t="shared" si="0"/>
        <v>0.41329770123721976</v>
      </c>
      <c r="AN78" s="12">
        <f t="shared" si="0"/>
        <v>0.1453438441975102</v>
      </c>
      <c r="AO78" s="12">
        <f t="shared" si="0"/>
        <v>2.0798562323003443E-2</v>
      </c>
      <c r="AP78" s="12">
        <f t="shared" si="0"/>
        <v>0.79332070261070609</v>
      </c>
      <c r="AQ78" s="12">
        <f t="shared" si="0"/>
        <v>0.48821662249200937</v>
      </c>
      <c r="AR78" s="12">
        <f t="shared" si="0"/>
        <v>0.53387543503176826</v>
      </c>
      <c r="AS78" s="12">
        <f t="shared" si="0"/>
        <v>0.76767460420976463</v>
      </c>
      <c r="AT78" s="12">
        <f t="shared" si="0"/>
        <v>0.7601035318932341</v>
      </c>
      <c r="AU78" s="12">
        <f t="shared" si="0"/>
        <v>7.4779609485582876E-2</v>
      </c>
      <c r="AV78" s="12">
        <f t="shared" si="0"/>
        <v>0.72721134855543679</v>
      </c>
      <c r="AW78" s="12">
        <f t="shared" si="0"/>
        <v>0.97171420261180674</v>
      </c>
      <c r="AX78" s="12">
        <f t="shared" si="0"/>
        <v>1.6635798955363757E-2</v>
      </c>
      <c r="AY78" s="12">
        <f t="shared" si="0"/>
        <v>0.80227139838979311</v>
      </c>
      <c r="AZ78" s="12">
        <f t="shared" si="0"/>
        <v>1.1513688230829712E-2</v>
      </c>
      <c r="BA78" s="12">
        <f t="shared" si="0"/>
        <v>0.38190247396865007</v>
      </c>
      <c r="BB78" s="12">
        <f t="shared" si="0"/>
        <v>0.82739248587337755</v>
      </c>
      <c r="BC78" s="12">
        <f t="shared" si="0"/>
        <v>0.27144221345083058</v>
      </c>
    </row>
  </sheetData>
  <autoFilter ref="A1:BC1" xr:uid="{DB346A20-A0C9-0248-871F-3C29C07F1981}">
    <sortState xmlns:xlrd2="http://schemas.microsoft.com/office/spreadsheetml/2017/richdata2" ref="A2:BC5">
      <sortCondition ref="B1:B5"/>
    </sortState>
  </autoFilter>
  <conditionalFormatting sqref="A78:XFD78">
    <cfRule type="colorScale" priority="1">
      <colorScale>
        <cfvo type="num" val="0"/>
        <cfvo type="num" val="0.05"/>
        <color rgb="FFF8696B"/>
        <color rgb="FFFCFCF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4EAB-D2C6-C043-9DCB-6D5402556B06}">
  <dimension ref="A1:BC78"/>
  <sheetViews>
    <sheetView topLeftCell="A57" workbookViewId="0">
      <selection activeCell="K73" sqref="K73"/>
    </sheetView>
  </sheetViews>
  <sheetFormatPr defaultColWidth="11" defaultRowHeight="15.95"/>
  <sheetData>
    <row r="1" spans="1:55" ht="288.95">
      <c r="A1" s="1" t="s">
        <v>0</v>
      </c>
      <c r="B1" s="1" t="s">
        <v>6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  <c r="U1" s="2" t="s">
        <v>130</v>
      </c>
      <c r="V1" s="2" t="s">
        <v>131</v>
      </c>
      <c r="W1" s="2" t="s">
        <v>132</v>
      </c>
      <c r="X1" s="2" t="s">
        <v>133</v>
      </c>
      <c r="Y1" s="2" t="s">
        <v>134</v>
      </c>
      <c r="Z1" s="2" t="s">
        <v>135</v>
      </c>
      <c r="AA1" s="2" t="s">
        <v>136</v>
      </c>
      <c r="AB1" s="2" t="s">
        <v>137</v>
      </c>
      <c r="AC1" s="2" t="s">
        <v>138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150</v>
      </c>
      <c r="AP1" s="2" t="s">
        <v>151</v>
      </c>
      <c r="AQ1" s="2" t="s">
        <v>152</v>
      </c>
      <c r="AR1" s="2" t="s">
        <v>153</v>
      </c>
      <c r="AS1" s="2" t="s">
        <v>154</v>
      </c>
      <c r="AT1" s="2" t="s">
        <v>155</v>
      </c>
      <c r="AU1" s="2" t="s">
        <v>156</v>
      </c>
      <c r="AV1" s="2" t="s">
        <v>157</v>
      </c>
      <c r="AW1" s="2" t="s">
        <v>158</v>
      </c>
      <c r="AX1" s="2" t="s">
        <v>159</v>
      </c>
      <c r="AY1" s="2" t="s">
        <v>160</v>
      </c>
      <c r="AZ1" s="2" t="s">
        <v>161</v>
      </c>
      <c r="BA1" s="2" t="s">
        <v>162</v>
      </c>
      <c r="BB1" s="2" t="s">
        <v>163</v>
      </c>
      <c r="BC1" s="2" t="s">
        <v>164</v>
      </c>
    </row>
    <row r="2" spans="1:55">
      <c r="A2" s="1">
        <v>1001</v>
      </c>
      <c r="B2" s="1" t="s">
        <v>26</v>
      </c>
      <c r="C2" t="s">
        <v>165</v>
      </c>
      <c r="D2">
        <v>277764</v>
      </c>
      <c r="E2">
        <v>265500</v>
      </c>
      <c r="F2">
        <v>262632</v>
      </c>
      <c r="G2">
        <v>102216</v>
      </c>
      <c r="H2">
        <v>2698</v>
      </c>
      <c r="I2">
        <v>2649</v>
      </c>
      <c r="J2">
        <v>2482</v>
      </c>
      <c r="K2">
        <v>2472</v>
      </c>
      <c r="L2">
        <v>2463</v>
      </c>
      <c r="M2">
        <v>547</v>
      </c>
      <c r="N2">
        <v>1517</v>
      </c>
      <c r="O2">
        <v>53</v>
      </c>
      <c r="P2">
        <v>86</v>
      </c>
      <c r="Q2">
        <v>38541</v>
      </c>
      <c r="R2">
        <v>7265</v>
      </c>
      <c r="S2">
        <v>29957</v>
      </c>
      <c r="T2">
        <v>1300</v>
      </c>
      <c r="U2">
        <v>889</v>
      </c>
      <c r="V2">
        <v>1026</v>
      </c>
      <c r="W2">
        <v>13380</v>
      </c>
      <c r="X2">
        <v>5675</v>
      </c>
      <c r="Y2">
        <v>5624</v>
      </c>
      <c r="Z2">
        <v>8258</v>
      </c>
      <c r="AA2">
        <v>2276</v>
      </c>
      <c r="AB2">
        <v>5095</v>
      </c>
      <c r="AC2">
        <v>42</v>
      </c>
      <c r="AD2">
        <v>4884</v>
      </c>
      <c r="AE2">
        <v>5749</v>
      </c>
      <c r="AF2">
        <v>106</v>
      </c>
      <c r="AG2">
        <v>58069</v>
      </c>
      <c r="AH2">
        <v>55511</v>
      </c>
      <c r="AI2">
        <v>301</v>
      </c>
      <c r="AJ2">
        <v>176</v>
      </c>
      <c r="AK2">
        <v>53861</v>
      </c>
      <c r="AL2">
        <v>32786</v>
      </c>
      <c r="AM2">
        <v>130</v>
      </c>
      <c r="AN2">
        <v>19853</v>
      </c>
      <c r="AO2">
        <v>15656</v>
      </c>
      <c r="AP2">
        <v>3132</v>
      </c>
      <c r="AQ2">
        <v>7645</v>
      </c>
      <c r="AR2">
        <v>6090</v>
      </c>
      <c r="AS2">
        <v>1144</v>
      </c>
      <c r="AT2">
        <v>201</v>
      </c>
      <c r="AU2">
        <v>19694</v>
      </c>
      <c r="AV2">
        <v>1655</v>
      </c>
      <c r="AW2">
        <v>130</v>
      </c>
      <c r="AX2">
        <v>7234</v>
      </c>
      <c r="AY2">
        <v>298</v>
      </c>
      <c r="AZ2">
        <v>6835</v>
      </c>
      <c r="BA2">
        <v>11340</v>
      </c>
      <c r="BB2">
        <v>5716</v>
      </c>
      <c r="BC2">
        <v>154</v>
      </c>
    </row>
    <row r="3" spans="1:55">
      <c r="A3" s="1">
        <v>1003</v>
      </c>
      <c r="B3" s="1" t="s">
        <v>26</v>
      </c>
      <c r="C3" t="s">
        <v>166</v>
      </c>
      <c r="D3">
        <v>321845</v>
      </c>
      <c r="E3">
        <v>314310</v>
      </c>
      <c r="F3">
        <v>309191</v>
      </c>
      <c r="G3">
        <v>181785</v>
      </c>
      <c r="H3">
        <v>3329</v>
      </c>
      <c r="I3">
        <v>3197</v>
      </c>
      <c r="J3">
        <v>2976</v>
      </c>
      <c r="K3">
        <v>2935</v>
      </c>
      <c r="L3">
        <v>2904</v>
      </c>
      <c r="M3">
        <v>1162</v>
      </c>
      <c r="N3">
        <v>407</v>
      </c>
      <c r="O3">
        <v>9</v>
      </c>
      <c r="P3">
        <v>20</v>
      </c>
      <c r="Q3">
        <v>90578</v>
      </c>
      <c r="R3">
        <v>35124</v>
      </c>
      <c r="S3">
        <v>51872</v>
      </c>
      <c r="T3">
        <v>1659</v>
      </c>
      <c r="U3">
        <v>927</v>
      </c>
      <c r="V3">
        <v>2509</v>
      </c>
      <c r="W3">
        <v>21579</v>
      </c>
      <c r="X3">
        <v>11303</v>
      </c>
      <c r="Y3">
        <v>10861</v>
      </c>
      <c r="Z3">
        <v>13356</v>
      </c>
      <c r="AA3">
        <v>2863</v>
      </c>
      <c r="AB3">
        <v>8637</v>
      </c>
      <c r="AC3">
        <v>317</v>
      </c>
      <c r="AD3">
        <v>6310</v>
      </c>
      <c r="AE3">
        <v>9556</v>
      </c>
      <c r="AF3">
        <v>122</v>
      </c>
      <c r="AG3">
        <v>82123</v>
      </c>
      <c r="AH3">
        <v>75753</v>
      </c>
      <c r="AI3">
        <v>618</v>
      </c>
      <c r="AJ3">
        <v>651</v>
      </c>
      <c r="AK3">
        <v>72429</v>
      </c>
      <c r="AL3">
        <v>46060</v>
      </c>
      <c r="AM3">
        <v>125</v>
      </c>
      <c r="AN3">
        <v>38228</v>
      </c>
      <c r="AO3">
        <v>36081</v>
      </c>
      <c r="AP3">
        <v>1486</v>
      </c>
      <c r="AQ3">
        <v>5701</v>
      </c>
      <c r="AR3">
        <v>2403</v>
      </c>
      <c r="AS3">
        <v>5549</v>
      </c>
      <c r="AT3">
        <v>3054</v>
      </c>
      <c r="AU3">
        <v>24060</v>
      </c>
      <c r="AV3">
        <v>3824</v>
      </c>
      <c r="AW3">
        <v>736</v>
      </c>
      <c r="AX3">
        <v>8187</v>
      </c>
      <c r="AY3">
        <v>89</v>
      </c>
      <c r="AZ3">
        <v>7976</v>
      </c>
      <c r="BA3">
        <v>15216</v>
      </c>
      <c r="BB3">
        <v>788</v>
      </c>
      <c r="BC3">
        <v>165</v>
      </c>
    </row>
    <row r="4" spans="1:55">
      <c r="A4" s="1">
        <v>1010</v>
      </c>
      <c r="B4" s="1" t="s">
        <v>26</v>
      </c>
      <c r="C4" t="s">
        <v>169</v>
      </c>
      <c r="D4">
        <v>284997</v>
      </c>
      <c r="E4">
        <v>278506</v>
      </c>
      <c r="F4">
        <v>276399</v>
      </c>
      <c r="G4">
        <v>216305</v>
      </c>
      <c r="H4">
        <v>548</v>
      </c>
      <c r="I4">
        <v>536</v>
      </c>
      <c r="J4">
        <v>501</v>
      </c>
      <c r="K4">
        <v>496</v>
      </c>
      <c r="L4">
        <v>491</v>
      </c>
      <c r="M4">
        <v>114</v>
      </c>
      <c r="N4">
        <v>272</v>
      </c>
      <c r="O4">
        <v>3</v>
      </c>
      <c r="P4">
        <v>0</v>
      </c>
      <c r="Q4">
        <v>124747</v>
      </c>
      <c r="R4">
        <v>20381</v>
      </c>
      <c r="S4">
        <v>102697</v>
      </c>
      <c r="T4">
        <v>3254</v>
      </c>
      <c r="U4">
        <v>8529</v>
      </c>
      <c r="V4">
        <v>16692</v>
      </c>
      <c r="W4">
        <v>57126</v>
      </c>
      <c r="X4">
        <v>23217</v>
      </c>
      <c r="Y4">
        <v>23059</v>
      </c>
      <c r="Z4">
        <v>10814</v>
      </c>
      <c r="AA4">
        <v>1135</v>
      </c>
      <c r="AB4">
        <v>8786</v>
      </c>
      <c r="AC4">
        <v>3198</v>
      </c>
      <c r="AD4">
        <v>4026</v>
      </c>
      <c r="AE4">
        <v>28333</v>
      </c>
      <c r="AF4">
        <v>165</v>
      </c>
      <c r="AG4">
        <v>88203</v>
      </c>
      <c r="AH4">
        <v>84921</v>
      </c>
      <c r="AI4">
        <v>1050</v>
      </c>
      <c r="AJ4">
        <v>568</v>
      </c>
      <c r="AK4">
        <v>79921</v>
      </c>
      <c r="AL4">
        <v>35897</v>
      </c>
      <c r="AM4">
        <v>330</v>
      </c>
      <c r="AN4">
        <v>18789</v>
      </c>
      <c r="AO4">
        <v>6577</v>
      </c>
      <c r="AP4">
        <v>10997</v>
      </c>
      <c r="AQ4">
        <v>15251</v>
      </c>
      <c r="AR4">
        <v>14633</v>
      </c>
      <c r="AS4">
        <v>5380</v>
      </c>
      <c r="AT4">
        <v>1510</v>
      </c>
      <c r="AU4">
        <v>40007</v>
      </c>
      <c r="AV4">
        <v>7521</v>
      </c>
      <c r="AW4">
        <v>1434</v>
      </c>
      <c r="AX4">
        <v>7200</v>
      </c>
      <c r="AY4">
        <v>1680</v>
      </c>
      <c r="AZ4">
        <v>5258</v>
      </c>
      <c r="BA4">
        <v>31488</v>
      </c>
      <c r="BB4">
        <v>14743</v>
      </c>
      <c r="BC4">
        <v>49</v>
      </c>
    </row>
    <row r="5" spans="1:55">
      <c r="A5" s="1">
        <v>1012</v>
      </c>
      <c r="B5" s="1" t="s">
        <v>26</v>
      </c>
      <c r="C5" t="s">
        <v>170</v>
      </c>
      <c r="D5">
        <v>270926</v>
      </c>
      <c r="E5">
        <v>265202</v>
      </c>
      <c r="F5">
        <v>261135</v>
      </c>
      <c r="G5">
        <v>167832</v>
      </c>
      <c r="H5">
        <v>1547</v>
      </c>
      <c r="I5">
        <v>1516</v>
      </c>
      <c r="J5">
        <v>1454</v>
      </c>
      <c r="K5">
        <v>1439</v>
      </c>
      <c r="L5">
        <v>1432</v>
      </c>
      <c r="M5">
        <v>639</v>
      </c>
      <c r="N5">
        <v>612</v>
      </c>
      <c r="O5">
        <v>16</v>
      </c>
      <c r="P5">
        <v>20</v>
      </c>
      <c r="Q5">
        <v>100530</v>
      </c>
      <c r="R5">
        <v>24253</v>
      </c>
      <c r="S5">
        <v>71034</v>
      </c>
      <c r="T5">
        <v>2153</v>
      </c>
      <c r="U5">
        <v>2647</v>
      </c>
      <c r="V5">
        <v>4370</v>
      </c>
      <c r="W5">
        <v>27309</v>
      </c>
      <c r="X5">
        <v>9535</v>
      </c>
      <c r="Y5">
        <v>9282</v>
      </c>
      <c r="Z5">
        <v>21634</v>
      </c>
      <c r="AA5">
        <v>4506</v>
      </c>
      <c r="AB5">
        <v>13647</v>
      </c>
      <c r="AC5">
        <v>155</v>
      </c>
      <c r="AD5">
        <v>12386</v>
      </c>
      <c r="AE5">
        <v>15506</v>
      </c>
      <c r="AF5">
        <v>214</v>
      </c>
      <c r="AG5">
        <v>63098</v>
      </c>
      <c r="AH5">
        <v>60720</v>
      </c>
      <c r="AI5">
        <v>522</v>
      </c>
      <c r="AJ5">
        <v>519</v>
      </c>
      <c r="AK5">
        <v>57375</v>
      </c>
      <c r="AL5">
        <v>25309</v>
      </c>
      <c r="AM5">
        <v>208</v>
      </c>
      <c r="AN5">
        <v>12451</v>
      </c>
      <c r="AO5">
        <v>7555</v>
      </c>
      <c r="AP5">
        <v>3972</v>
      </c>
      <c r="AQ5">
        <v>10943</v>
      </c>
      <c r="AR5">
        <v>10584</v>
      </c>
      <c r="AS5">
        <v>2019</v>
      </c>
      <c r="AT5">
        <v>434</v>
      </c>
      <c r="AU5">
        <v>29360</v>
      </c>
      <c r="AV5">
        <v>5302</v>
      </c>
      <c r="AW5">
        <v>760</v>
      </c>
      <c r="AX5">
        <v>12353</v>
      </c>
      <c r="AY5">
        <v>888</v>
      </c>
      <c r="AZ5">
        <v>11077</v>
      </c>
      <c r="BA5">
        <v>15587</v>
      </c>
      <c r="BB5">
        <v>10183</v>
      </c>
      <c r="BC5">
        <v>21</v>
      </c>
    </row>
    <row r="6" spans="1:55">
      <c r="A6" s="1">
        <v>1015</v>
      </c>
      <c r="B6" s="1" t="s">
        <v>26</v>
      </c>
      <c r="C6" t="s">
        <v>173</v>
      </c>
      <c r="D6">
        <v>34385</v>
      </c>
      <c r="E6">
        <v>33666</v>
      </c>
      <c r="F6">
        <v>33296</v>
      </c>
      <c r="G6">
        <v>27707</v>
      </c>
      <c r="H6">
        <v>21</v>
      </c>
      <c r="I6">
        <v>21</v>
      </c>
      <c r="J6">
        <v>18</v>
      </c>
      <c r="K6">
        <v>18</v>
      </c>
      <c r="L6">
        <v>17</v>
      </c>
      <c r="M6">
        <v>7</v>
      </c>
      <c r="N6">
        <v>9</v>
      </c>
      <c r="O6">
        <v>0</v>
      </c>
      <c r="P6">
        <v>0</v>
      </c>
      <c r="Q6">
        <v>9378</v>
      </c>
      <c r="R6">
        <v>650</v>
      </c>
      <c r="S6">
        <v>8646</v>
      </c>
      <c r="T6">
        <v>486</v>
      </c>
      <c r="U6">
        <v>957</v>
      </c>
      <c r="V6">
        <v>1716</v>
      </c>
      <c r="W6">
        <v>4430</v>
      </c>
      <c r="X6">
        <v>2388</v>
      </c>
      <c r="Y6">
        <v>2368</v>
      </c>
      <c r="Z6">
        <v>585</v>
      </c>
      <c r="AA6">
        <v>193</v>
      </c>
      <c r="AB6">
        <v>357</v>
      </c>
      <c r="AC6">
        <v>160</v>
      </c>
      <c r="AD6">
        <v>166</v>
      </c>
      <c r="AE6">
        <v>3158</v>
      </c>
      <c r="AF6">
        <v>14</v>
      </c>
      <c r="AG6">
        <v>18081</v>
      </c>
      <c r="AH6">
        <v>17641</v>
      </c>
      <c r="AI6">
        <v>104</v>
      </c>
      <c r="AJ6">
        <v>15</v>
      </c>
      <c r="AK6">
        <v>17232</v>
      </c>
      <c r="AL6">
        <v>12711</v>
      </c>
      <c r="AM6">
        <v>47</v>
      </c>
      <c r="AN6">
        <v>8536</v>
      </c>
      <c r="AO6">
        <v>4280</v>
      </c>
      <c r="AP6">
        <v>3552</v>
      </c>
      <c r="AQ6">
        <v>3064</v>
      </c>
      <c r="AR6">
        <v>2988</v>
      </c>
      <c r="AS6">
        <v>669</v>
      </c>
      <c r="AT6">
        <v>502</v>
      </c>
      <c r="AU6">
        <v>4126</v>
      </c>
      <c r="AV6">
        <v>165</v>
      </c>
      <c r="AW6">
        <v>136</v>
      </c>
      <c r="AX6">
        <v>3792</v>
      </c>
      <c r="AY6">
        <v>67</v>
      </c>
      <c r="AZ6">
        <v>3653</v>
      </c>
      <c r="BA6">
        <v>200</v>
      </c>
      <c r="BB6">
        <v>146</v>
      </c>
      <c r="BC6">
        <v>2</v>
      </c>
    </row>
    <row r="7" spans="1:55">
      <c r="A7" s="1">
        <v>1020</v>
      </c>
      <c r="B7" s="1" t="s">
        <v>26</v>
      </c>
      <c r="C7" t="s">
        <v>175</v>
      </c>
      <c r="D7">
        <v>120938</v>
      </c>
      <c r="E7">
        <v>118043</v>
      </c>
      <c r="F7">
        <v>117453</v>
      </c>
      <c r="G7">
        <v>95879</v>
      </c>
      <c r="H7">
        <v>1432</v>
      </c>
      <c r="I7">
        <v>1414</v>
      </c>
      <c r="J7">
        <v>1371</v>
      </c>
      <c r="K7">
        <v>1362</v>
      </c>
      <c r="L7">
        <v>1361</v>
      </c>
      <c r="M7">
        <v>806</v>
      </c>
      <c r="N7">
        <v>380</v>
      </c>
      <c r="O7">
        <v>26</v>
      </c>
      <c r="P7">
        <v>6</v>
      </c>
      <c r="Q7">
        <v>40720</v>
      </c>
      <c r="R7">
        <v>4743</v>
      </c>
      <c r="S7">
        <v>34778</v>
      </c>
      <c r="T7">
        <v>1331</v>
      </c>
      <c r="U7">
        <v>1857</v>
      </c>
      <c r="V7">
        <v>4280</v>
      </c>
      <c r="W7">
        <v>16106</v>
      </c>
      <c r="X7">
        <v>7580</v>
      </c>
      <c r="Y7">
        <v>7465</v>
      </c>
      <c r="Z7">
        <v>3794</v>
      </c>
      <c r="AA7">
        <v>601</v>
      </c>
      <c r="AB7">
        <v>2570</v>
      </c>
      <c r="AC7">
        <v>476</v>
      </c>
      <c r="AD7">
        <v>1879</v>
      </c>
      <c r="AE7">
        <v>12354</v>
      </c>
      <c r="AF7">
        <v>58</v>
      </c>
      <c r="AG7">
        <v>52416</v>
      </c>
      <c r="AH7">
        <v>50097</v>
      </c>
      <c r="AI7">
        <v>724</v>
      </c>
      <c r="AJ7">
        <v>513</v>
      </c>
      <c r="AK7">
        <v>46234</v>
      </c>
      <c r="AL7">
        <v>25558</v>
      </c>
      <c r="AM7">
        <v>655</v>
      </c>
      <c r="AN7">
        <v>14495</v>
      </c>
      <c r="AO7">
        <v>3917</v>
      </c>
      <c r="AP7">
        <v>9535</v>
      </c>
      <c r="AQ7">
        <v>9685</v>
      </c>
      <c r="AR7">
        <v>9643</v>
      </c>
      <c r="AS7">
        <v>2797</v>
      </c>
      <c r="AT7">
        <v>720</v>
      </c>
      <c r="AU7">
        <v>18289</v>
      </c>
      <c r="AV7">
        <v>4047</v>
      </c>
      <c r="AW7">
        <v>967</v>
      </c>
      <c r="AX7">
        <v>4293</v>
      </c>
      <c r="AY7">
        <v>1267</v>
      </c>
      <c r="AZ7">
        <v>2868</v>
      </c>
      <c r="BA7">
        <v>12911</v>
      </c>
      <c r="BB7">
        <v>8578</v>
      </c>
      <c r="BC7">
        <v>73</v>
      </c>
    </row>
    <row r="8" spans="1:55">
      <c r="A8" s="1">
        <v>1021</v>
      </c>
      <c r="B8" s="1" t="s">
        <v>26</v>
      </c>
      <c r="C8" t="s">
        <v>176</v>
      </c>
      <c r="D8">
        <v>36221</v>
      </c>
      <c r="E8">
        <v>34723</v>
      </c>
      <c r="F8">
        <v>34052</v>
      </c>
      <c r="G8">
        <v>25348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8936</v>
      </c>
      <c r="R8">
        <v>2132</v>
      </c>
      <c r="S8">
        <v>6627</v>
      </c>
      <c r="T8">
        <v>753</v>
      </c>
      <c r="U8">
        <v>2379</v>
      </c>
      <c r="V8">
        <v>3468</v>
      </c>
      <c r="W8">
        <v>552</v>
      </c>
      <c r="X8">
        <v>116</v>
      </c>
      <c r="Y8">
        <v>85</v>
      </c>
      <c r="Z8">
        <v>1790</v>
      </c>
      <c r="AA8">
        <v>25</v>
      </c>
      <c r="AB8">
        <v>263</v>
      </c>
      <c r="AC8">
        <v>83</v>
      </c>
      <c r="AD8">
        <v>154</v>
      </c>
      <c r="AE8">
        <v>3893</v>
      </c>
      <c r="AF8">
        <v>49</v>
      </c>
      <c r="AG8">
        <v>16346</v>
      </c>
      <c r="AH8">
        <v>14272</v>
      </c>
      <c r="AI8">
        <v>499</v>
      </c>
      <c r="AJ8">
        <v>99</v>
      </c>
      <c r="AK8">
        <v>12810</v>
      </c>
      <c r="AL8">
        <v>10079</v>
      </c>
      <c r="AM8">
        <v>45</v>
      </c>
      <c r="AN8">
        <v>4337</v>
      </c>
      <c r="AO8">
        <v>1711</v>
      </c>
      <c r="AP8">
        <v>2272</v>
      </c>
      <c r="AQ8">
        <v>4664</v>
      </c>
      <c r="AR8">
        <v>4636</v>
      </c>
      <c r="AS8">
        <v>835</v>
      </c>
      <c r="AT8">
        <v>582</v>
      </c>
      <c r="AU8">
        <v>2184</v>
      </c>
      <c r="AV8">
        <v>136</v>
      </c>
      <c r="AW8">
        <v>122</v>
      </c>
      <c r="AX8">
        <v>605</v>
      </c>
      <c r="AY8">
        <v>217</v>
      </c>
      <c r="AZ8">
        <v>365</v>
      </c>
      <c r="BA8">
        <v>1283</v>
      </c>
      <c r="BB8">
        <v>1030</v>
      </c>
      <c r="BC8">
        <v>15</v>
      </c>
    </row>
    <row r="9" spans="1:55">
      <c r="A9" s="1">
        <v>1022</v>
      </c>
      <c r="B9" s="1" t="s">
        <v>26</v>
      </c>
      <c r="C9" t="s">
        <v>177</v>
      </c>
      <c r="D9">
        <v>214901</v>
      </c>
      <c r="E9">
        <v>208043</v>
      </c>
      <c r="F9">
        <v>204524</v>
      </c>
      <c r="G9">
        <v>115766</v>
      </c>
      <c r="H9">
        <v>1203</v>
      </c>
      <c r="I9">
        <v>1147</v>
      </c>
      <c r="J9">
        <v>1114</v>
      </c>
      <c r="K9">
        <v>1106</v>
      </c>
      <c r="L9">
        <v>1103</v>
      </c>
      <c r="M9">
        <v>231</v>
      </c>
      <c r="N9">
        <v>777</v>
      </c>
      <c r="O9">
        <v>25</v>
      </c>
      <c r="P9">
        <v>12</v>
      </c>
      <c r="Q9">
        <v>69363</v>
      </c>
      <c r="R9">
        <v>26951</v>
      </c>
      <c r="S9">
        <v>35074</v>
      </c>
      <c r="T9">
        <v>2522</v>
      </c>
      <c r="U9">
        <v>2953</v>
      </c>
      <c r="V9">
        <v>3384</v>
      </c>
      <c r="W9">
        <v>13383</v>
      </c>
      <c r="X9">
        <v>3161</v>
      </c>
      <c r="Y9">
        <v>2853</v>
      </c>
      <c r="Z9">
        <v>8709</v>
      </c>
      <c r="AA9">
        <v>1677</v>
      </c>
      <c r="AB9">
        <v>5405</v>
      </c>
      <c r="AC9">
        <v>172</v>
      </c>
      <c r="AD9">
        <v>5126</v>
      </c>
      <c r="AE9">
        <v>10282</v>
      </c>
      <c r="AF9">
        <v>172</v>
      </c>
      <c r="AG9">
        <v>42430</v>
      </c>
      <c r="AH9">
        <v>40972</v>
      </c>
      <c r="AI9">
        <v>162</v>
      </c>
      <c r="AJ9">
        <v>339</v>
      </c>
      <c r="AK9">
        <v>39428</v>
      </c>
      <c r="AL9">
        <v>23898</v>
      </c>
      <c r="AM9">
        <v>55</v>
      </c>
      <c r="AN9">
        <v>17942</v>
      </c>
      <c r="AO9">
        <v>13786</v>
      </c>
      <c r="AP9">
        <v>3233</v>
      </c>
      <c r="AQ9">
        <v>4811</v>
      </c>
      <c r="AR9">
        <v>4592</v>
      </c>
      <c r="AS9">
        <v>1748</v>
      </c>
      <c r="AT9">
        <v>404</v>
      </c>
      <c r="AU9">
        <v>13083</v>
      </c>
      <c r="AV9">
        <v>3842</v>
      </c>
      <c r="AW9">
        <v>335</v>
      </c>
      <c r="AX9">
        <v>1852</v>
      </c>
      <c r="AY9">
        <v>421</v>
      </c>
      <c r="AZ9">
        <v>1377</v>
      </c>
      <c r="BA9">
        <v>10786</v>
      </c>
      <c r="BB9">
        <v>6785</v>
      </c>
      <c r="BC9">
        <v>26</v>
      </c>
    </row>
    <row r="10" spans="1:55">
      <c r="A10" s="1">
        <v>1026</v>
      </c>
      <c r="B10" s="1" t="s">
        <v>26</v>
      </c>
      <c r="C10" t="s">
        <v>179</v>
      </c>
      <c r="D10">
        <v>259455</v>
      </c>
      <c r="E10">
        <v>252631</v>
      </c>
      <c r="F10">
        <v>242041</v>
      </c>
      <c r="G10">
        <v>173053</v>
      </c>
      <c r="H10">
        <v>348</v>
      </c>
      <c r="I10">
        <v>337</v>
      </c>
      <c r="J10">
        <v>316</v>
      </c>
      <c r="K10">
        <v>313</v>
      </c>
      <c r="L10">
        <v>311</v>
      </c>
      <c r="M10">
        <v>145</v>
      </c>
      <c r="N10">
        <v>142</v>
      </c>
      <c r="O10">
        <v>16</v>
      </c>
      <c r="P10">
        <v>1</v>
      </c>
      <c r="Q10">
        <v>91092</v>
      </c>
      <c r="R10">
        <v>35108</v>
      </c>
      <c r="S10">
        <v>53897</v>
      </c>
      <c r="T10">
        <v>4116</v>
      </c>
      <c r="U10">
        <v>2535</v>
      </c>
      <c r="V10">
        <v>3082</v>
      </c>
      <c r="W10">
        <v>18819</v>
      </c>
      <c r="X10">
        <v>2263</v>
      </c>
      <c r="Y10">
        <v>2165</v>
      </c>
      <c r="Z10">
        <v>14814</v>
      </c>
      <c r="AA10">
        <v>2109</v>
      </c>
      <c r="AB10">
        <v>11865</v>
      </c>
      <c r="AC10">
        <v>800</v>
      </c>
      <c r="AD10">
        <v>10253</v>
      </c>
      <c r="AE10">
        <v>16059</v>
      </c>
      <c r="AF10">
        <v>180</v>
      </c>
      <c r="AG10">
        <v>80290</v>
      </c>
      <c r="AH10">
        <v>72422</v>
      </c>
      <c r="AI10">
        <v>658</v>
      </c>
      <c r="AJ10">
        <v>475</v>
      </c>
      <c r="AK10">
        <v>69674</v>
      </c>
      <c r="AL10">
        <v>47233</v>
      </c>
      <c r="AM10">
        <v>60</v>
      </c>
      <c r="AN10">
        <v>12537</v>
      </c>
      <c r="AO10">
        <v>1468</v>
      </c>
      <c r="AP10">
        <v>10548</v>
      </c>
      <c r="AQ10">
        <v>29598</v>
      </c>
      <c r="AR10">
        <v>29371</v>
      </c>
      <c r="AS10">
        <v>4043</v>
      </c>
      <c r="AT10">
        <v>788</v>
      </c>
      <c r="AU10">
        <v>19847</v>
      </c>
      <c r="AV10">
        <v>3939</v>
      </c>
      <c r="AW10">
        <v>434</v>
      </c>
      <c r="AX10">
        <v>2247</v>
      </c>
      <c r="AY10">
        <v>1386</v>
      </c>
      <c r="AZ10">
        <v>708</v>
      </c>
      <c r="BA10">
        <v>16317</v>
      </c>
      <c r="BB10">
        <v>12098</v>
      </c>
      <c r="BC10">
        <v>257</v>
      </c>
    </row>
    <row r="11" spans="1:55">
      <c r="A11" s="1">
        <v>1039</v>
      </c>
      <c r="B11" s="1" t="s">
        <v>26</v>
      </c>
      <c r="C11" t="s">
        <v>182</v>
      </c>
      <c r="D11">
        <v>135493</v>
      </c>
      <c r="E11">
        <v>133046</v>
      </c>
      <c r="F11">
        <v>127178</v>
      </c>
      <c r="G11">
        <v>72801</v>
      </c>
      <c r="H11">
        <v>614</v>
      </c>
      <c r="I11">
        <v>608</v>
      </c>
      <c r="J11">
        <v>549</v>
      </c>
      <c r="K11">
        <v>548</v>
      </c>
      <c r="L11">
        <v>548</v>
      </c>
      <c r="M11">
        <v>141</v>
      </c>
      <c r="N11">
        <v>335</v>
      </c>
      <c r="O11">
        <v>7</v>
      </c>
      <c r="P11">
        <v>22</v>
      </c>
      <c r="Q11">
        <v>29246</v>
      </c>
      <c r="R11">
        <v>11935</v>
      </c>
      <c r="S11">
        <v>16230</v>
      </c>
      <c r="T11">
        <v>1327</v>
      </c>
      <c r="U11">
        <v>249</v>
      </c>
      <c r="V11">
        <v>650</v>
      </c>
      <c r="W11">
        <v>4820</v>
      </c>
      <c r="X11">
        <v>683</v>
      </c>
      <c r="Y11">
        <v>641</v>
      </c>
      <c r="Z11">
        <v>5380</v>
      </c>
      <c r="AA11">
        <v>710</v>
      </c>
      <c r="AB11">
        <v>4089</v>
      </c>
      <c r="AC11">
        <v>142</v>
      </c>
      <c r="AD11">
        <v>3736</v>
      </c>
      <c r="AE11">
        <v>4702</v>
      </c>
      <c r="AF11">
        <v>141</v>
      </c>
      <c r="AG11">
        <v>42314</v>
      </c>
      <c r="AH11">
        <v>40762</v>
      </c>
      <c r="AI11">
        <v>185</v>
      </c>
      <c r="AJ11">
        <v>75</v>
      </c>
      <c r="AK11">
        <v>39969</v>
      </c>
      <c r="AL11">
        <v>21686</v>
      </c>
      <c r="AM11">
        <v>60</v>
      </c>
      <c r="AN11">
        <v>11094</v>
      </c>
      <c r="AO11">
        <v>2039</v>
      </c>
      <c r="AP11">
        <v>8470</v>
      </c>
      <c r="AQ11">
        <v>8422</v>
      </c>
      <c r="AR11">
        <v>8345</v>
      </c>
      <c r="AS11">
        <v>3409</v>
      </c>
      <c r="AT11">
        <v>1251</v>
      </c>
      <c r="AU11">
        <v>16986</v>
      </c>
      <c r="AV11">
        <v>6980</v>
      </c>
      <c r="AW11">
        <v>883</v>
      </c>
      <c r="AX11">
        <v>4502</v>
      </c>
      <c r="AY11">
        <v>2061</v>
      </c>
      <c r="AZ11">
        <v>2107</v>
      </c>
      <c r="BA11">
        <v>11421</v>
      </c>
      <c r="BB11">
        <v>9040</v>
      </c>
      <c r="BC11">
        <v>32</v>
      </c>
    </row>
    <row r="12" spans="1:55">
      <c r="A12" s="1">
        <v>1040</v>
      </c>
      <c r="B12" s="1" t="s">
        <v>26</v>
      </c>
      <c r="C12" t="s">
        <v>183</v>
      </c>
      <c r="D12">
        <v>69173</v>
      </c>
      <c r="E12">
        <v>66483</v>
      </c>
      <c r="F12">
        <v>62058</v>
      </c>
      <c r="G12">
        <v>39796</v>
      </c>
      <c r="H12">
        <v>913</v>
      </c>
      <c r="I12">
        <v>890</v>
      </c>
      <c r="J12">
        <v>792</v>
      </c>
      <c r="K12">
        <v>791</v>
      </c>
      <c r="L12">
        <v>788</v>
      </c>
      <c r="M12">
        <v>157</v>
      </c>
      <c r="N12">
        <v>534</v>
      </c>
      <c r="O12">
        <v>53</v>
      </c>
      <c r="P12">
        <v>13</v>
      </c>
      <c r="Q12">
        <v>22630</v>
      </c>
      <c r="R12">
        <v>2121</v>
      </c>
      <c r="S12">
        <v>20291</v>
      </c>
      <c r="T12">
        <v>984</v>
      </c>
      <c r="U12">
        <v>1013</v>
      </c>
      <c r="V12">
        <v>999</v>
      </c>
      <c r="W12">
        <v>12056</v>
      </c>
      <c r="X12">
        <v>3069</v>
      </c>
      <c r="Y12">
        <v>3013</v>
      </c>
      <c r="Z12">
        <v>3179</v>
      </c>
      <c r="AA12">
        <v>436</v>
      </c>
      <c r="AB12">
        <v>2357</v>
      </c>
      <c r="AC12">
        <v>75</v>
      </c>
      <c r="AD12">
        <v>1955</v>
      </c>
      <c r="AE12">
        <v>3783</v>
      </c>
      <c r="AF12">
        <v>48</v>
      </c>
      <c r="AG12">
        <v>15299</v>
      </c>
      <c r="AH12">
        <v>14780</v>
      </c>
      <c r="AI12">
        <v>191</v>
      </c>
      <c r="AJ12">
        <v>288</v>
      </c>
      <c r="AK12">
        <v>13461</v>
      </c>
      <c r="AL12">
        <v>7442</v>
      </c>
      <c r="AM12">
        <v>36</v>
      </c>
      <c r="AN12">
        <v>4594</v>
      </c>
      <c r="AO12">
        <v>1297</v>
      </c>
      <c r="AP12">
        <v>2954</v>
      </c>
      <c r="AQ12">
        <v>2204</v>
      </c>
      <c r="AR12">
        <v>2186</v>
      </c>
      <c r="AS12">
        <v>664</v>
      </c>
      <c r="AT12">
        <v>205</v>
      </c>
      <c r="AU12">
        <v>5013</v>
      </c>
      <c r="AV12">
        <v>1756</v>
      </c>
      <c r="AW12">
        <v>119</v>
      </c>
      <c r="AX12">
        <v>1009</v>
      </c>
      <c r="AY12">
        <v>587</v>
      </c>
      <c r="AZ12">
        <v>351</v>
      </c>
      <c r="BA12">
        <v>3640</v>
      </c>
      <c r="BB12">
        <v>2576</v>
      </c>
      <c r="BC12">
        <v>7</v>
      </c>
    </row>
    <row r="13" spans="1:55">
      <c r="A13" s="1">
        <v>1048</v>
      </c>
      <c r="B13" s="1" t="s">
        <v>26</v>
      </c>
      <c r="C13" t="s">
        <v>186</v>
      </c>
      <c r="D13">
        <v>148761</v>
      </c>
      <c r="E13">
        <v>144702</v>
      </c>
      <c r="F13">
        <v>136700</v>
      </c>
      <c r="G13">
        <v>94801</v>
      </c>
      <c r="H13">
        <v>74</v>
      </c>
      <c r="I13">
        <v>67</v>
      </c>
      <c r="J13">
        <v>59</v>
      </c>
      <c r="K13">
        <v>59</v>
      </c>
      <c r="L13">
        <v>59</v>
      </c>
      <c r="M13">
        <v>12</v>
      </c>
      <c r="N13">
        <v>40</v>
      </c>
      <c r="O13">
        <v>0</v>
      </c>
      <c r="P13">
        <v>0</v>
      </c>
      <c r="Q13">
        <v>32910</v>
      </c>
      <c r="R13">
        <v>7765</v>
      </c>
      <c r="S13">
        <v>24615</v>
      </c>
      <c r="T13">
        <v>1384</v>
      </c>
      <c r="U13">
        <v>2647</v>
      </c>
      <c r="V13">
        <v>4320</v>
      </c>
      <c r="W13">
        <v>9659</v>
      </c>
      <c r="X13">
        <v>4074</v>
      </c>
      <c r="Y13">
        <v>3993</v>
      </c>
      <c r="Z13">
        <v>1735</v>
      </c>
      <c r="AA13">
        <v>365</v>
      </c>
      <c r="AB13">
        <v>1149</v>
      </c>
      <c r="AC13">
        <v>95</v>
      </c>
      <c r="AD13">
        <v>1023</v>
      </c>
      <c r="AE13">
        <v>12211</v>
      </c>
      <c r="AF13">
        <v>176</v>
      </c>
      <c r="AG13">
        <v>61337</v>
      </c>
      <c r="AH13">
        <v>55718</v>
      </c>
      <c r="AI13">
        <v>535</v>
      </c>
      <c r="AJ13">
        <v>373</v>
      </c>
      <c r="AK13">
        <v>53500</v>
      </c>
      <c r="AL13">
        <v>30299</v>
      </c>
      <c r="AM13">
        <v>64</v>
      </c>
      <c r="AN13">
        <v>19538</v>
      </c>
      <c r="AO13">
        <v>7660</v>
      </c>
      <c r="AP13">
        <v>10219</v>
      </c>
      <c r="AQ13">
        <v>8767</v>
      </c>
      <c r="AR13">
        <v>8712</v>
      </c>
      <c r="AS13">
        <v>2332</v>
      </c>
      <c r="AT13">
        <v>695</v>
      </c>
      <c r="AU13">
        <v>20453</v>
      </c>
      <c r="AV13">
        <v>3134</v>
      </c>
      <c r="AW13">
        <v>466</v>
      </c>
      <c r="AX13">
        <v>11251</v>
      </c>
      <c r="AY13">
        <v>1902</v>
      </c>
      <c r="AZ13">
        <v>8800</v>
      </c>
      <c r="BA13">
        <v>8324</v>
      </c>
      <c r="BB13">
        <v>6821</v>
      </c>
      <c r="BC13">
        <v>163</v>
      </c>
    </row>
    <row r="14" spans="1:55">
      <c r="A14" s="1">
        <v>1059</v>
      </c>
      <c r="B14" s="1" t="s">
        <v>26</v>
      </c>
      <c r="C14" t="s">
        <v>188</v>
      </c>
      <c r="D14">
        <v>175293</v>
      </c>
      <c r="E14">
        <v>171404</v>
      </c>
      <c r="F14">
        <v>153549</v>
      </c>
      <c r="G14">
        <v>81209</v>
      </c>
      <c r="H14">
        <v>561</v>
      </c>
      <c r="I14">
        <v>553</v>
      </c>
      <c r="J14">
        <v>533</v>
      </c>
      <c r="K14">
        <v>528</v>
      </c>
      <c r="L14">
        <v>524</v>
      </c>
      <c r="M14">
        <v>147</v>
      </c>
      <c r="N14">
        <v>326</v>
      </c>
      <c r="O14">
        <v>11</v>
      </c>
      <c r="P14">
        <v>5</v>
      </c>
      <c r="Q14">
        <v>40538</v>
      </c>
      <c r="R14">
        <v>6160</v>
      </c>
      <c r="S14">
        <v>33620</v>
      </c>
      <c r="T14">
        <v>385</v>
      </c>
      <c r="U14">
        <v>194</v>
      </c>
      <c r="V14">
        <v>2092</v>
      </c>
      <c r="W14">
        <v>14943</v>
      </c>
      <c r="X14">
        <v>2752</v>
      </c>
      <c r="Y14">
        <v>2657</v>
      </c>
      <c r="Z14">
        <v>8456</v>
      </c>
      <c r="AA14">
        <v>1474</v>
      </c>
      <c r="AB14">
        <v>6124</v>
      </c>
      <c r="AC14">
        <v>144</v>
      </c>
      <c r="AD14">
        <v>5295</v>
      </c>
      <c r="AE14">
        <v>7688</v>
      </c>
      <c r="AF14">
        <v>101</v>
      </c>
      <c r="AG14">
        <v>39051</v>
      </c>
      <c r="AH14">
        <v>36347</v>
      </c>
      <c r="AI14">
        <v>139</v>
      </c>
      <c r="AJ14">
        <v>66</v>
      </c>
      <c r="AK14">
        <v>35628</v>
      </c>
      <c r="AL14">
        <v>22138</v>
      </c>
      <c r="AM14">
        <v>58</v>
      </c>
      <c r="AN14">
        <v>9610</v>
      </c>
      <c r="AO14">
        <v>2984</v>
      </c>
      <c r="AP14">
        <v>5998</v>
      </c>
      <c r="AQ14">
        <v>10519</v>
      </c>
      <c r="AR14">
        <v>10321</v>
      </c>
      <c r="AS14">
        <v>2520</v>
      </c>
      <c r="AT14">
        <v>478</v>
      </c>
      <c r="AU14">
        <v>9728</v>
      </c>
      <c r="AV14">
        <v>2196</v>
      </c>
      <c r="AW14">
        <v>221</v>
      </c>
      <c r="AX14">
        <v>1990</v>
      </c>
      <c r="AY14">
        <v>844</v>
      </c>
      <c r="AZ14">
        <v>1027</v>
      </c>
      <c r="BA14">
        <v>7202</v>
      </c>
      <c r="BB14">
        <v>4229</v>
      </c>
      <c r="BC14">
        <v>53</v>
      </c>
    </row>
    <row r="15" spans="1:55">
      <c r="A15" s="1">
        <v>1061</v>
      </c>
      <c r="B15" s="1" t="s">
        <v>26</v>
      </c>
      <c r="C15" t="s">
        <v>189</v>
      </c>
      <c r="D15">
        <v>162753</v>
      </c>
      <c r="E15">
        <v>158102</v>
      </c>
      <c r="F15">
        <v>148260</v>
      </c>
      <c r="G15">
        <v>115634</v>
      </c>
      <c r="H15">
        <v>19</v>
      </c>
      <c r="I15">
        <v>14</v>
      </c>
      <c r="J15">
        <v>8</v>
      </c>
      <c r="K15">
        <v>8</v>
      </c>
      <c r="L15">
        <v>8</v>
      </c>
      <c r="M15">
        <v>1</v>
      </c>
      <c r="N15">
        <v>4</v>
      </c>
      <c r="O15">
        <v>0</v>
      </c>
      <c r="P15">
        <v>0</v>
      </c>
      <c r="Q15">
        <v>52874</v>
      </c>
      <c r="R15">
        <v>8851</v>
      </c>
      <c r="S15">
        <v>42896</v>
      </c>
      <c r="T15">
        <v>2120</v>
      </c>
      <c r="U15">
        <v>1631</v>
      </c>
      <c r="V15">
        <v>5222</v>
      </c>
      <c r="W15">
        <v>21757</v>
      </c>
      <c r="X15">
        <v>6837</v>
      </c>
      <c r="Y15">
        <v>6580</v>
      </c>
      <c r="Z15">
        <v>3329</v>
      </c>
      <c r="AA15">
        <v>565</v>
      </c>
      <c r="AB15">
        <v>2479</v>
      </c>
      <c r="AC15">
        <v>1039</v>
      </c>
      <c r="AD15">
        <v>1200</v>
      </c>
      <c r="AE15">
        <v>15814</v>
      </c>
      <c r="AF15">
        <v>55</v>
      </c>
      <c r="AG15">
        <v>62263</v>
      </c>
      <c r="AH15">
        <v>58436</v>
      </c>
      <c r="AI15">
        <v>350</v>
      </c>
      <c r="AJ15">
        <v>113</v>
      </c>
      <c r="AK15">
        <v>56784</v>
      </c>
      <c r="AL15">
        <v>41893</v>
      </c>
      <c r="AM15">
        <v>152</v>
      </c>
      <c r="AN15">
        <v>26441</v>
      </c>
      <c r="AO15">
        <v>4699</v>
      </c>
      <c r="AP15">
        <v>19581</v>
      </c>
      <c r="AQ15">
        <v>12611</v>
      </c>
      <c r="AR15">
        <v>12515</v>
      </c>
      <c r="AS15">
        <v>4606</v>
      </c>
      <c r="AT15">
        <v>2410</v>
      </c>
      <c r="AU15">
        <v>12805</v>
      </c>
      <c r="AV15">
        <v>1873</v>
      </c>
      <c r="AW15">
        <v>641</v>
      </c>
      <c r="AX15">
        <v>4880</v>
      </c>
      <c r="AY15">
        <v>1645</v>
      </c>
      <c r="AZ15">
        <v>2662</v>
      </c>
      <c r="BA15">
        <v>7300</v>
      </c>
      <c r="BB15">
        <v>5368</v>
      </c>
      <c r="BC15">
        <v>230</v>
      </c>
    </row>
    <row r="16" spans="1:55">
      <c r="A16" s="1">
        <v>1069</v>
      </c>
      <c r="B16" s="1" t="s">
        <v>26</v>
      </c>
      <c r="C16" t="s">
        <v>191</v>
      </c>
      <c r="D16">
        <v>195514</v>
      </c>
      <c r="E16">
        <v>191326</v>
      </c>
      <c r="F16">
        <v>189278</v>
      </c>
      <c r="G16">
        <v>151871</v>
      </c>
      <c r="H16">
        <v>4779</v>
      </c>
      <c r="I16">
        <v>4746</v>
      </c>
      <c r="J16">
        <v>4568</v>
      </c>
      <c r="K16">
        <v>4557</v>
      </c>
      <c r="L16">
        <v>4547</v>
      </c>
      <c r="M16">
        <v>1025</v>
      </c>
      <c r="N16">
        <v>3020</v>
      </c>
      <c r="O16">
        <v>4</v>
      </c>
      <c r="P16">
        <v>36</v>
      </c>
      <c r="Q16">
        <v>90157</v>
      </c>
      <c r="R16">
        <v>23770</v>
      </c>
      <c r="S16">
        <v>63914</v>
      </c>
      <c r="T16">
        <v>1166</v>
      </c>
      <c r="U16">
        <v>311</v>
      </c>
      <c r="V16">
        <v>1218</v>
      </c>
      <c r="W16">
        <v>31700</v>
      </c>
      <c r="X16">
        <v>7782</v>
      </c>
      <c r="Y16">
        <v>7581</v>
      </c>
      <c r="Z16">
        <v>18229</v>
      </c>
      <c r="AA16">
        <v>3851</v>
      </c>
      <c r="AB16">
        <v>11044</v>
      </c>
      <c r="AC16">
        <v>173</v>
      </c>
      <c r="AD16">
        <v>9862</v>
      </c>
      <c r="AE16">
        <v>7980</v>
      </c>
      <c r="AF16">
        <v>122</v>
      </c>
      <c r="AG16">
        <v>53447</v>
      </c>
      <c r="AH16">
        <v>50207</v>
      </c>
      <c r="AI16">
        <v>275</v>
      </c>
      <c r="AJ16">
        <v>290</v>
      </c>
      <c r="AK16">
        <v>48822</v>
      </c>
      <c r="AL16">
        <v>32990</v>
      </c>
      <c r="AM16">
        <v>108</v>
      </c>
      <c r="AN16">
        <v>26767</v>
      </c>
      <c r="AO16">
        <v>7187</v>
      </c>
      <c r="AP16">
        <v>16646</v>
      </c>
      <c r="AQ16">
        <v>5246</v>
      </c>
      <c r="AR16">
        <v>5064</v>
      </c>
      <c r="AS16">
        <v>3693</v>
      </c>
      <c r="AT16">
        <v>2360</v>
      </c>
      <c r="AU16">
        <v>14257</v>
      </c>
      <c r="AV16">
        <v>2877</v>
      </c>
      <c r="AW16">
        <v>733</v>
      </c>
      <c r="AX16">
        <v>8560</v>
      </c>
      <c r="AY16">
        <v>1374</v>
      </c>
      <c r="AZ16">
        <v>6395</v>
      </c>
      <c r="BA16">
        <v>5420</v>
      </c>
      <c r="BB16">
        <v>4024</v>
      </c>
      <c r="BC16">
        <v>204</v>
      </c>
    </row>
    <row r="17" spans="1:55">
      <c r="A17" s="1">
        <v>1073</v>
      </c>
      <c r="B17" s="1" t="s">
        <v>26</v>
      </c>
      <c r="C17" t="s">
        <v>192</v>
      </c>
      <c r="D17">
        <v>52549</v>
      </c>
      <c r="E17">
        <v>50413</v>
      </c>
      <c r="F17">
        <v>48624</v>
      </c>
      <c r="G17">
        <v>28018</v>
      </c>
      <c r="H17">
        <v>145</v>
      </c>
      <c r="I17">
        <v>143</v>
      </c>
      <c r="J17">
        <v>140</v>
      </c>
      <c r="K17">
        <v>140</v>
      </c>
      <c r="L17">
        <v>140</v>
      </c>
      <c r="M17">
        <v>47</v>
      </c>
      <c r="N17">
        <v>74</v>
      </c>
      <c r="O17">
        <v>6</v>
      </c>
      <c r="P17">
        <v>2</v>
      </c>
      <c r="Q17">
        <v>17963</v>
      </c>
      <c r="R17">
        <v>3239</v>
      </c>
      <c r="S17">
        <v>14171</v>
      </c>
      <c r="T17">
        <v>447</v>
      </c>
      <c r="U17">
        <v>784</v>
      </c>
      <c r="V17">
        <v>2288</v>
      </c>
      <c r="W17">
        <v>3058</v>
      </c>
      <c r="X17">
        <v>587</v>
      </c>
      <c r="Y17">
        <v>552</v>
      </c>
      <c r="Z17">
        <v>925</v>
      </c>
      <c r="AA17">
        <v>102</v>
      </c>
      <c r="AB17">
        <v>745</v>
      </c>
      <c r="AC17">
        <v>178</v>
      </c>
      <c r="AD17">
        <v>499</v>
      </c>
      <c r="AE17">
        <v>9782</v>
      </c>
      <c r="AF17">
        <v>25</v>
      </c>
      <c r="AG17">
        <v>9638</v>
      </c>
      <c r="AH17">
        <v>9360</v>
      </c>
      <c r="AI17">
        <v>74</v>
      </c>
      <c r="AJ17">
        <v>41</v>
      </c>
      <c r="AK17">
        <v>8801</v>
      </c>
      <c r="AL17">
        <v>4881</v>
      </c>
      <c r="AM17">
        <v>54</v>
      </c>
      <c r="AN17">
        <v>3368</v>
      </c>
      <c r="AO17">
        <v>509</v>
      </c>
      <c r="AP17">
        <v>2626</v>
      </c>
      <c r="AQ17">
        <v>1164</v>
      </c>
      <c r="AR17">
        <v>1155</v>
      </c>
      <c r="AS17">
        <v>492</v>
      </c>
      <c r="AT17">
        <v>181</v>
      </c>
      <c r="AU17">
        <v>3349</v>
      </c>
      <c r="AV17">
        <v>438</v>
      </c>
      <c r="AW17">
        <v>50</v>
      </c>
      <c r="AX17">
        <v>1048</v>
      </c>
      <c r="AY17">
        <v>657</v>
      </c>
      <c r="AZ17">
        <v>309</v>
      </c>
      <c r="BA17">
        <v>2031</v>
      </c>
      <c r="BB17">
        <v>1366</v>
      </c>
      <c r="BC17">
        <v>11</v>
      </c>
    </row>
    <row r="18" spans="1:55">
      <c r="A18" s="1">
        <v>1091</v>
      </c>
      <c r="B18" s="1" t="s">
        <v>26</v>
      </c>
      <c r="C18" t="s">
        <v>195</v>
      </c>
      <c r="D18">
        <v>219518</v>
      </c>
      <c r="E18">
        <v>216315</v>
      </c>
      <c r="F18">
        <v>196851</v>
      </c>
      <c r="G18">
        <v>93614</v>
      </c>
      <c r="H18">
        <v>353</v>
      </c>
      <c r="I18">
        <v>353</v>
      </c>
      <c r="J18">
        <v>336</v>
      </c>
      <c r="K18">
        <v>330</v>
      </c>
      <c r="L18">
        <v>328</v>
      </c>
      <c r="M18">
        <v>185</v>
      </c>
      <c r="N18">
        <v>19</v>
      </c>
      <c r="O18">
        <v>0</v>
      </c>
      <c r="P18">
        <v>0</v>
      </c>
      <c r="Q18">
        <v>34564</v>
      </c>
      <c r="R18">
        <v>4324</v>
      </c>
      <c r="S18">
        <v>29353</v>
      </c>
      <c r="T18">
        <v>683</v>
      </c>
      <c r="U18">
        <v>2649</v>
      </c>
      <c r="V18">
        <v>6757</v>
      </c>
      <c r="W18">
        <v>11811</v>
      </c>
      <c r="X18">
        <v>10308</v>
      </c>
      <c r="Y18">
        <v>10065</v>
      </c>
      <c r="Z18">
        <v>1695</v>
      </c>
      <c r="AA18">
        <v>250</v>
      </c>
      <c r="AB18">
        <v>1293</v>
      </c>
      <c r="AC18">
        <v>116</v>
      </c>
      <c r="AD18">
        <v>901</v>
      </c>
      <c r="AE18">
        <v>13136</v>
      </c>
      <c r="AF18">
        <v>123</v>
      </c>
      <c r="AG18">
        <v>57919</v>
      </c>
      <c r="AH18">
        <v>55364</v>
      </c>
      <c r="AI18">
        <v>253</v>
      </c>
      <c r="AJ18">
        <v>356</v>
      </c>
      <c r="AK18">
        <v>53436</v>
      </c>
      <c r="AL18">
        <v>38925</v>
      </c>
      <c r="AM18">
        <v>91</v>
      </c>
      <c r="AN18">
        <v>26088</v>
      </c>
      <c r="AO18">
        <v>5447</v>
      </c>
      <c r="AP18">
        <v>18128</v>
      </c>
      <c r="AQ18">
        <v>9765</v>
      </c>
      <c r="AR18">
        <v>9624</v>
      </c>
      <c r="AS18">
        <v>2212</v>
      </c>
      <c r="AT18">
        <v>829</v>
      </c>
      <c r="AU18">
        <v>12392</v>
      </c>
      <c r="AV18">
        <v>1112</v>
      </c>
      <c r="AW18">
        <v>170</v>
      </c>
      <c r="AX18">
        <v>3140</v>
      </c>
      <c r="AY18">
        <v>1220</v>
      </c>
      <c r="AZ18">
        <v>1625</v>
      </c>
      <c r="BA18">
        <v>8487</v>
      </c>
      <c r="BB18">
        <v>5886</v>
      </c>
      <c r="BC18">
        <v>123</v>
      </c>
    </row>
    <row r="19" spans="1:55">
      <c r="A19" s="1">
        <v>1102</v>
      </c>
      <c r="B19" s="1" t="s">
        <v>26</v>
      </c>
      <c r="C19" t="s">
        <v>198</v>
      </c>
      <c r="D19">
        <v>325659</v>
      </c>
      <c r="E19">
        <v>316769</v>
      </c>
      <c r="F19">
        <v>305455</v>
      </c>
      <c r="G19">
        <v>212019</v>
      </c>
      <c r="H19">
        <v>163</v>
      </c>
      <c r="I19">
        <v>163</v>
      </c>
      <c r="J19">
        <v>154</v>
      </c>
      <c r="K19">
        <v>152</v>
      </c>
      <c r="L19">
        <v>149</v>
      </c>
      <c r="M19">
        <v>41</v>
      </c>
      <c r="N19">
        <v>88</v>
      </c>
      <c r="O19">
        <v>1</v>
      </c>
      <c r="P19">
        <v>1</v>
      </c>
      <c r="Q19">
        <v>89622</v>
      </c>
      <c r="R19">
        <v>31257</v>
      </c>
      <c r="S19">
        <v>56926</v>
      </c>
      <c r="T19">
        <v>3636</v>
      </c>
      <c r="U19">
        <v>6119</v>
      </c>
      <c r="V19">
        <v>8385</v>
      </c>
      <c r="W19">
        <v>17471</v>
      </c>
      <c r="X19">
        <v>10857</v>
      </c>
      <c r="Y19">
        <v>7791</v>
      </c>
      <c r="Z19">
        <v>2878</v>
      </c>
      <c r="AA19">
        <v>580</v>
      </c>
      <c r="AB19">
        <v>2024</v>
      </c>
      <c r="AC19">
        <v>209</v>
      </c>
      <c r="AD19">
        <v>1630</v>
      </c>
      <c r="AE19">
        <v>31800</v>
      </c>
      <c r="AF19">
        <v>944</v>
      </c>
      <c r="AG19">
        <v>120787</v>
      </c>
      <c r="AH19">
        <v>111758</v>
      </c>
      <c r="AI19">
        <v>7923</v>
      </c>
      <c r="AJ19">
        <v>660</v>
      </c>
      <c r="AK19">
        <v>90682</v>
      </c>
      <c r="AL19">
        <v>57620</v>
      </c>
      <c r="AM19">
        <v>76</v>
      </c>
      <c r="AN19">
        <v>28775</v>
      </c>
      <c r="AO19">
        <v>2605</v>
      </c>
      <c r="AP19">
        <v>24696</v>
      </c>
      <c r="AQ19">
        <v>24538</v>
      </c>
      <c r="AR19">
        <v>24451</v>
      </c>
      <c r="AS19">
        <v>7295</v>
      </c>
      <c r="AT19">
        <v>4602</v>
      </c>
      <c r="AU19">
        <v>24313</v>
      </c>
      <c r="AV19">
        <v>4814</v>
      </c>
      <c r="AW19">
        <v>2773</v>
      </c>
      <c r="AX19">
        <v>4029</v>
      </c>
      <c r="AY19">
        <v>2388</v>
      </c>
      <c r="AZ19">
        <v>1286</v>
      </c>
      <c r="BA19">
        <v>19131</v>
      </c>
      <c r="BB19">
        <v>15533</v>
      </c>
      <c r="BC19">
        <v>50</v>
      </c>
    </row>
    <row r="20" spans="1:55">
      <c r="A20" s="1">
        <v>1153</v>
      </c>
      <c r="B20" s="1" t="s">
        <v>26</v>
      </c>
      <c r="C20" t="s">
        <v>207</v>
      </c>
      <c r="D20">
        <v>319599</v>
      </c>
      <c r="E20">
        <v>283483</v>
      </c>
      <c r="F20">
        <v>263446</v>
      </c>
      <c r="G20">
        <v>169300</v>
      </c>
      <c r="H20">
        <v>388</v>
      </c>
      <c r="I20">
        <v>384</v>
      </c>
      <c r="J20">
        <v>361</v>
      </c>
      <c r="K20">
        <v>359</v>
      </c>
      <c r="L20">
        <v>359</v>
      </c>
      <c r="M20">
        <v>61</v>
      </c>
      <c r="N20">
        <v>262</v>
      </c>
      <c r="O20">
        <v>0</v>
      </c>
      <c r="P20">
        <v>5</v>
      </c>
      <c r="Q20">
        <v>101651</v>
      </c>
      <c r="R20">
        <v>11487</v>
      </c>
      <c r="S20">
        <v>88685</v>
      </c>
      <c r="T20">
        <v>3190</v>
      </c>
      <c r="U20">
        <v>2765</v>
      </c>
      <c r="V20">
        <v>9840</v>
      </c>
      <c r="W20">
        <v>50866</v>
      </c>
      <c r="X20">
        <v>6935</v>
      </c>
      <c r="Y20">
        <v>6671</v>
      </c>
      <c r="Z20">
        <v>10404</v>
      </c>
      <c r="AA20">
        <v>1442</v>
      </c>
      <c r="AB20">
        <v>7556</v>
      </c>
      <c r="AC20">
        <v>2135</v>
      </c>
      <c r="AD20">
        <v>4258</v>
      </c>
      <c r="AE20">
        <v>22143</v>
      </c>
      <c r="AF20">
        <v>199</v>
      </c>
      <c r="AG20">
        <v>66499</v>
      </c>
      <c r="AH20">
        <v>62739</v>
      </c>
      <c r="AI20">
        <v>470</v>
      </c>
      <c r="AJ20">
        <v>78</v>
      </c>
      <c r="AK20">
        <v>60766</v>
      </c>
      <c r="AL20">
        <v>48237</v>
      </c>
      <c r="AM20">
        <v>381</v>
      </c>
      <c r="AN20">
        <v>17704</v>
      </c>
      <c r="AO20">
        <v>1858</v>
      </c>
      <c r="AP20">
        <v>15239</v>
      </c>
      <c r="AQ20">
        <v>25497</v>
      </c>
      <c r="AR20">
        <v>25441</v>
      </c>
      <c r="AS20">
        <v>2829</v>
      </c>
      <c r="AT20">
        <v>896</v>
      </c>
      <c r="AU20">
        <v>11119</v>
      </c>
      <c r="AV20">
        <v>1544</v>
      </c>
      <c r="AW20">
        <v>210</v>
      </c>
      <c r="AX20">
        <v>2155</v>
      </c>
      <c r="AY20">
        <v>1642</v>
      </c>
      <c r="AZ20">
        <v>393</v>
      </c>
      <c r="BA20">
        <v>7779</v>
      </c>
      <c r="BB20">
        <v>6462</v>
      </c>
      <c r="BC20">
        <v>51</v>
      </c>
    </row>
    <row r="21" spans="1:55">
      <c r="A21" s="1">
        <v>1156</v>
      </c>
      <c r="B21" s="1" t="s">
        <v>26</v>
      </c>
      <c r="C21" t="s">
        <v>210</v>
      </c>
      <c r="D21">
        <v>94953</v>
      </c>
      <c r="E21">
        <v>87185</v>
      </c>
      <c r="F21">
        <v>85970</v>
      </c>
      <c r="G21">
        <v>55444</v>
      </c>
      <c r="H21">
        <v>641</v>
      </c>
      <c r="I21">
        <v>615</v>
      </c>
      <c r="J21">
        <v>564</v>
      </c>
      <c r="K21">
        <v>557</v>
      </c>
      <c r="L21">
        <v>549</v>
      </c>
      <c r="M21">
        <v>152</v>
      </c>
      <c r="N21">
        <v>334</v>
      </c>
      <c r="O21">
        <v>64</v>
      </c>
      <c r="P21">
        <v>12</v>
      </c>
      <c r="Q21">
        <v>26662</v>
      </c>
      <c r="R21">
        <v>6097</v>
      </c>
      <c r="S21">
        <v>19150</v>
      </c>
      <c r="T21">
        <v>1374</v>
      </c>
      <c r="U21">
        <v>2846</v>
      </c>
      <c r="V21">
        <v>2831</v>
      </c>
      <c r="W21">
        <v>9192</v>
      </c>
      <c r="X21">
        <v>4548</v>
      </c>
      <c r="Y21">
        <v>4358</v>
      </c>
      <c r="Z21">
        <v>2090</v>
      </c>
      <c r="AA21">
        <v>269</v>
      </c>
      <c r="AB21">
        <v>1412</v>
      </c>
      <c r="AC21">
        <v>172</v>
      </c>
      <c r="AD21">
        <v>1162</v>
      </c>
      <c r="AE21">
        <v>6759</v>
      </c>
      <c r="AF21">
        <v>72</v>
      </c>
      <c r="AG21">
        <v>26319</v>
      </c>
      <c r="AH21">
        <v>24480</v>
      </c>
      <c r="AI21">
        <v>319</v>
      </c>
      <c r="AJ21">
        <v>271</v>
      </c>
      <c r="AK21">
        <v>22811</v>
      </c>
      <c r="AL21">
        <v>18172</v>
      </c>
      <c r="AM21">
        <v>338</v>
      </c>
      <c r="AN21">
        <v>8746</v>
      </c>
      <c r="AO21">
        <v>4190</v>
      </c>
      <c r="AP21">
        <v>3967</v>
      </c>
      <c r="AQ21">
        <v>7403</v>
      </c>
      <c r="AR21">
        <v>7256</v>
      </c>
      <c r="AS21">
        <v>4061</v>
      </c>
      <c r="AT21">
        <v>2269</v>
      </c>
      <c r="AU21">
        <v>3721</v>
      </c>
      <c r="AV21">
        <v>2150</v>
      </c>
      <c r="AW21">
        <v>963</v>
      </c>
      <c r="AX21">
        <v>766</v>
      </c>
      <c r="AY21">
        <v>226</v>
      </c>
      <c r="AZ21">
        <v>519</v>
      </c>
      <c r="BA21">
        <v>2396</v>
      </c>
      <c r="BB21">
        <v>1824</v>
      </c>
      <c r="BC21">
        <v>15</v>
      </c>
    </row>
    <row r="22" spans="1:55">
      <c r="A22" s="1">
        <v>1157</v>
      </c>
      <c r="B22" s="1" t="s">
        <v>26</v>
      </c>
      <c r="C22" t="s">
        <v>211</v>
      </c>
      <c r="D22">
        <v>137475</v>
      </c>
      <c r="E22">
        <v>125596</v>
      </c>
      <c r="F22">
        <v>123468</v>
      </c>
      <c r="G22">
        <v>89313</v>
      </c>
      <c r="H22">
        <v>297</v>
      </c>
      <c r="I22">
        <v>281</v>
      </c>
      <c r="J22">
        <v>246</v>
      </c>
      <c r="K22">
        <v>242</v>
      </c>
      <c r="L22">
        <v>236</v>
      </c>
      <c r="M22">
        <v>30</v>
      </c>
      <c r="N22">
        <v>155</v>
      </c>
      <c r="O22">
        <v>5</v>
      </c>
      <c r="P22">
        <v>4</v>
      </c>
      <c r="Q22">
        <v>31267</v>
      </c>
      <c r="R22">
        <v>6869</v>
      </c>
      <c r="S22">
        <v>23464</v>
      </c>
      <c r="T22">
        <v>970</v>
      </c>
      <c r="U22">
        <v>1505</v>
      </c>
      <c r="V22">
        <v>2763</v>
      </c>
      <c r="W22">
        <v>12545</v>
      </c>
      <c r="X22">
        <v>4416</v>
      </c>
      <c r="Y22">
        <v>4372</v>
      </c>
      <c r="Z22">
        <v>2588</v>
      </c>
      <c r="AA22">
        <v>321</v>
      </c>
      <c r="AB22">
        <v>1881</v>
      </c>
      <c r="AC22">
        <v>402</v>
      </c>
      <c r="AD22">
        <v>1373</v>
      </c>
      <c r="AE22">
        <v>6866</v>
      </c>
      <c r="AF22">
        <v>74</v>
      </c>
      <c r="AG22">
        <v>54964</v>
      </c>
      <c r="AH22">
        <v>50396</v>
      </c>
      <c r="AI22">
        <v>700</v>
      </c>
      <c r="AJ22">
        <v>391</v>
      </c>
      <c r="AK22">
        <v>47115</v>
      </c>
      <c r="AL22">
        <v>35712</v>
      </c>
      <c r="AM22">
        <v>349</v>
      </c>
      <c r="AN22">
        <v>20614</v>
      </c>
      <c r="AO22">
        <v>11006</v>
      </c>
      <c r="AP22">
        <v>8241</v>
      </c>
      <c r="AQ22">
        <v>11938</v>
      </c>
      <c r="AR22">
        <v>10811</v>
      </c>
      <c r="AS22">
        <v>8018</v>
      </c>
      <c r="AT22">
        <v>4409</v>
      </c>
      <c r="AU22">
        <v>9125</v>
      </c>
      <c r="AV22">
        <v>3865</v>
      </c>
      <c r="AW22">
        <v>2103</v>
      </c>
      <c r="AX22">
        <v>2077</v>
      </c>
      <c r="AY22">
        <v>592</v>
      </c>
      <c r="AZ22">
        <v>1425</v>
      </c>
      <c r="BA22">
        <v>6019</v>
      </c>
      <c r="BB22">
        <v>3844</v>
      </c>
      <c r="BC22">
        <v>66</v>
      </c>
    </row>
    <row r="23" spans="1:55">
      <c r="A23" s="1">
        <v>1159</v>
      </c>
      <c r="B23" s="1" t="s">
        <v>26</v>
      </c>
      <c r="C23" t="s">
        <v>213</v>
      </c>
      <c r="D23">
        <v>152950</v>
      </c>
      <c r="E23">
        <v>139335</v>
      </c>
      <c r="F23">
        <v>134934</v>
      </c>
      <c r="G23">
        <v>86737</v>
      </c>
      <c r="H23">
        <v>781</v>
      </c>
      <c r="I23">
        <v>765</v>
      </c>
      <c r="J23">
        <v>725</v>
      </c>
      <c r="K23">
        <v>717</v>
      </c>
      <c r="L23">
        <v>714</v>
      </c>
      <c r="M23">
        <v>115</v>
      </c>
      <c r="N23">
        <v>490</v>
      </c>
      <c r="O23">
        <v>14</v>
      </c>
      <c r="P23">
        <v>10</v>
      </c>
      <c r="Q23">
        <v>38718</v>
      </c>
      <c r="R23">
        <v>8069</v>
      </c>
      <c r="S23">
        <v>29938</v>
      </c>
      <c r="T23">
        <v>850</v>
      </c>
      <c r="U23">
        <v>875</v>
      </c>
      <c r="V23">
        <v>3349</v>
      </c>
      <c r="W23">
        <v>13222</v>
      </c>
      <c r="X23">
        <v>1737</v>
      </c>
      <c r="Y23">
        <v>738</v>
      </c>
      <c r="Z23">
        <v>5667</v>
      </c>
      <c r="AA23">
        <v>932</v>
      </c>
      <c r="AB23">
        <v>3188</v>
      </c>
      <c r="AC23">
        <v>39</v>
      </c>
      <c r="AD23">
        <v>3071</v>
      </c>
      <c r="AE23">
        <v>9911</v>
      </c>
      <c r="AF23">
        <v>107</v>
      </c>
      <c r="AG23">
        <v>46362</v>
      </c>
      <c r="AH23">
        <v>43958</v>
      </c>
      <c r="AI23">
        <v>244</v>
      </c>
      <c r="AJ23">
        <v>814</v>
      </c>
      <c r="AK23">
        <v>41117</v>
      </c>
      <c r="AL23">
        <v>23748</v>
      </c>
      <c r="AM23">
        <v>247</v>
      </c>
      <c r="AN23">
        <v>9778</v>
      </c>
      <c r="AO23">
        <v>2655</v>
      </c>
      <c r="AP23">
        <v>6816</v>
      </c>
      <c r="AQ23">
        <v>10709</v>
      </c>
      <c r="AR23">
        <v>10638</v>
      </c>
      <c r="AS23">
        <v>2148</v>
      </c>
      <c r="AT23">
        <v>305</v>
      </c>
      <c r="AU23">
        <v>13853</v>
      </c>
      <c r="AV23">
        <v>3698</v>
      </c>
      <c r="AW23">
        <v>162</v>
      </c>
      <c r="AX23">
        <v>1581</v>
      </c>
      <c r="AY23">
        <v>688</v>
      </c>
      <c r="AZ23">
        <v>845</v>
      </c>
      <c r="BA23">
        <v>11634</v>
      </c>
      <c r="BB23">
        <v>8984</v>
      </c>
      <c r="BC23">
        <v>59</v>
      </c>
    </row>
    <row r="24" spans="1:55">
      <c r="A24" s="1">
        <v>1164</v>
      </c>
      <c r="B24" s="1" t="s">
        <v>26</v>
      </c>
      <c r="C24" t="s">
        <v>216</v>
      </c>
      <c r="D24">
        <v>62413</v>
      </c>
      <c r="E24">
        <v>59157</v>
      </c>
      <c r="F24">
        <v>55171</v>
      </c>
      <c r="G24">
        <v>21132</v>
      </c>
      <c r="H24">
        <v>165</v>
      </c>
      <c r="I24">
        <v>162</v>
      </c>
      <c r="J24">
        <v>149</v>
      </c>
      <c r="K24">
        <v>149</v>
      </c>
      <c r="L24">
        <v>149</v>
      </c>
      <c r="M24">
        <v>52</v>
      </c>
      <c r="N24">
        <v>84</v>
      </c>
      <c r="O24">
        <v>1</v>
      </c>
      <c r="P24">
        <v>0</v>
      </c>
      <c r="Q24">
        <v>8185</v>
      </c>
      <c r="R24">
        <v>1962</v>
      </c>
      <c r="S24">
        <v>6031</v>
      </c>
      <c r="T24">
        <v>339</v>
      </c>
      <c r="U24">
        <v>614</v>
      </c>
      <c r="V24">
        <v>816</v>
      </c>
      <c r="W24">
        <v>1652</v>
      </c>
      <c r="X24">
        <v>942</v>
      </c>
      <c r="Y24">
        <v>880</v>
      </c>
      <c r="Z24">
        <v>1111</v>
      </c>
      <c r="AA24">
        <v>49</v>
      </c>
      <c r="AB24">
        <v>759</v>
      </c>
      <c r="AC24">
        <v>15</v>
      </c>
      <c r="AD24">
        <v>705</v>
      </c>
      <c r="AE24">
        <v>2674</v>
      </c>
      <c r="AF24">
        <v>14</v>
      </c>
      <c r="AG24">
        <v>12549</v>
      </c>
      <c r="AH24">
        <v>11822</v>
      </c>
      <c r="AI24">
        <v>152</v>
      </c>
      <c r="AJ24">
        <v>58</v>
      </c>
      <c r="AK24">
        <v>11145</v>
      </c>
      <c r="AL24">
        <v>6993</v>
      </c>
      <c r="AM24">
        <v>94</v>
      </c>
      <c r="AN24">
        <v>5031</v>
      </c>
      <c r="AO24">
        <v>1372</v>
      </c>
      <c r="AP24">
        <v>3146</v>
      </c>
      <c r="AQ24">
        <v>1598</v>
      </c>
      <c r="AR24">
        <v>1572</v>
      </c>
      <c r="AS24">
        <v>560</v>
      </c>
      <c r="AT24">
        <v>297</v>
      </c>
      <c r="AU24">
        <v>3815</v>
      </c>
      <c r="AV24">
        <v>657</v>
      </c>
      <c r="AW24">
        <v>94</v>
      </c>
      <c r="AX24">
        <v>934</v>
      </c>
      <c r="AY24">
        <v>302</v>
      </c>
      <c r="AZ24">
        <v>568</v>
      </c>
      <c r="BA24">
        <v>2737</v>
      </c>
      <c r="BB24">
        <v>2549</v>
      </c>
      <c r="BC24">
        <v>4</v>
      </c>
    </row>
    <row r="25" spans="1:55">
      <c r="A25" s="1">
        <v>1166</v>
      </c>
      <c r="B25" s="1" t="s">
        <v>26</v>
      </c>
      <c r="C25" t="s">
        <v>218</v>
      </c>
      <c r="D25">
        <v>86919</v>
      </c>
      <c r="E25">
        <v>81185</v>
      </c>
      <c r="F25">
        <v>78665</v>
      </c>
      <c r="G25">
        <v>49508</v>
      </c>
      <c r="H25">
        <v>92</v>
      </c>
      <c r="I25">
        <v>90</v>
      </c>
      <c r="J25">
        <v>86</v>
      </c>
      <c r="K25">
        <v>84</v>
      </c>
      <c r="L25">
        <v>84</v>
      </c>
      <c r="M25">
        <v>17</v>
      </c>
      <c r="N25">
        <v>58</v>
      </c>
      <c r="O25">
        <v>1</v>
      </c>
      <c r="P25">
        <v>1</v>
      </c>
      <c r="Q25">
        <v>24820</v>
      </c>
      <c r="R25">
        <v>3921</v>
      </c>
      <c r="S25">
        <v>20293</v>
      </c>
      <c r="T25">
        <v>717</v>
      </c>
      <c r="U25">
        <v>1560</v>
      </c>
      <c r="V25">
        <v>2990</v>
      </c>
      <c r="W25">
        <v>8315</v>
      </c>
      <c r="X25">
        <v>1019</v>
      </c>
      <c r="Y25">
        <v>1007</v>
      </c>
      <c r="Z25">
        <v>3475</v>
      </c>
      <c r="AA25">
        <v>534</v>
      </c>
      <c r="AB25">
        <v>2727</v>
      </c>
      <c r="AC25">
        <v>357</v>
      </c>
      <c r="AD25">
        <v>2123</v>
      </c>
      <c r="AE25">
        <v>7120</v>
      </c>
      <c r="AF25">
        <v>31</v>
      </c>
      <c r="AG25">
        <v>24379</v>
      </c>
      <c r="AH25">
        <v>21837</v>
      </c>
      <c r="AI25">
        <v>93</v>
      </c>
      <c r="AJ25">
        <v>251</v>
      </c>
      <c r="AK25">
        <v>20954</v>
      </c>
      <c r="AL25">
        <v>11790</v>
      </c>
      <c r="AM25">
        <v>55</v>
      </c>
      <c r="AN25">
        <v>6357</v>
      </c>
      <c r="AO25">
        <v>1930</v>
      </c>
      <c r="AP25">
        <v>3879</v>
      </c>
      <c r="AQ25">
        <v>4362</v>
      </c>
      <c r="AR25">
        <v>4285</v>
      </c>
      <c r="AS25">
        <v>637</v>
      </c>
      <c r="AT25">
        <v>191</v>
      </c>
      <c r="AU25">
        <v>7680</v>
      </c>
      <c r="AV25">
        <v>432</v>
      </c>
      <c r="AW25">
        <v>103</v>
      </c>
      <c r="AX25">
        <v>2100</v>
      </c>
      <c r="AY25">
        <v>475</v>
      </c>
      <c r="AZ25">
        <v>1487</v>
      </c>
      <c r="BA25">
        <v>5215</v>
      </c>
      <c r="BB25">
        <v>2100</v>
      </c>
      <c r="BC25">
        <v>283</v>
      </c>
    </row>
    <row r="26" spans="1:55">
      <c r="A26" s="1">
        <v>1169</v>
      </c>
      <c r="B26" s="1" t="s">
        <v>26</v>
      </c>
      <c r="C26" t="s">
        <v>220</v>
      </c>
      <c r="D26">
        <v>123596</v>
      </c>
      <c r="E26">
        <v>120354</v>
      </c>
      <c r="F26">
        <v>110696</v>
      </c>
      <c r="G26">
        <v>48343</v>
      </c>
      <c r="H26">
        <v>310</v>
      </c>
      <c r="I26">
        <v>246</v>
      </c>
      <c r="J26">
        <v>238</v>
      </c>
      <c r="K26">
        <v>238</v>
      </c>
      <c r="L26">
        <v>238</v>
      </c>
      <c r="M26">
        <v>50</v>
      </c>
      <c r="N26">
        <v>152</v>
      </c>
      <c r="O26">
        <v>5</v>
      </c>
      <c r="P26">
        <v>1</v>
      </c>
      <c r="Q26">
        <v>23706</v>
      </c>
      <c r="R26">
        <v>6770</v>
      </c>
      <c r="S26">
        <v>16594</v>
      </c>
      <c r="T26">
        <v>673</v>
      </c>
      <c r="U26">
        <v>994</v>
      </c>
      <c r="V26">
        <v>4092</v>
      </c>
      <c r="W26">
        <v>1450</v>
      </c>
      <c r="X26">
        <v>885</v>
      </c>
      <c r="Y26">
        <v>857</v>
      </c>
      <c r="Z26">
        <v>2518</v>
      </c>
      <c r="AA26">
        <v>321</v>
      </c>
      <c r="AB26">
        <v>1404</v>
      </c>
      <c r="AC26">
        <v>513</v>
      </c>
      <c r="AD26">
        <v>376</v>
      </c>
      <c r="AE26">
        <v>9823</v>
      </c>
      <c r="AF26">
        <v>72</v>
      </c>
      <c r="AG26">
        <v>23327</v>
      </c>
      <c r="AH26">
        <v>13636</v>
      </c>
      <c r="AI26">
        <v>86</v>
      </c>
      <c r="AJ26">
        <v>40</v>
      </c>
      <c r="AK26">
        <v>13287</v>
      </c>
      <c r="AL26">
        <v>8815</v>
      </c>
      <c r="AM26">
        <v>24</v>
      </c>
      <c r="AN26">
        <v>2173</v>
      </c>
      <c r="AO26">
        <v>593</v>
      </c>
      <c r="AP26">
        <v>1431</v>
      </c>
      <c r="AQ26">
        <v>6023</v>
      </c>
      <c r="AR26">
        <v>5504</v>
      </c>
      <c r="AS26">
        <v>291</v>
      </c>
      <c r="AT26">
        <v>70</v>
      </c>
      <c r="AU26">
        <v>3987</v>
      </c>
      <c r="AV26">
        <v>335</v>
      </c>
      <c r="AW26">
        <v>43</v>
      </c>
      <c r="AX26">
        <v>1291</v>
      </c>
      <c r="AY26">
        <v>211</v>
      </c>
      <c r="AZ26">
        <v>1000</v>
      </c>
      <c r="BA26">
        <v>2493</v>
      </c>
      <c r="BB26">
        <v>1487</v>
      </c>
      <c r="BC26">
        <v>11</v>
      </c>
    </row>
    <row r="27" spans="1:55">
      <c r="A27" s="1">
        <v>1204</v>
      </c>
      <c r="B27" s="1" t="s">
        <v>26</v>
      </c>
      <c r="C27" t="s">
        <v>225</v>
      </c>
      <c r="D27">
        <v>129019</v>
      </c>
      <c r="E27">
        <v>125046</v>
      </c>
      <c r="F27">
        <v>121389</v>
      </c>
      <c r="G27">
        <v>85644</v>
      </c>
      <c r="H27">
        <v>95</v>
      </c>
      <c r="I27">
        <v>94</v>
      </c>
      <c r="J27">
        <v>89</v>
      </c>
      <c r="K27">
        <v>89</v>
      </c>
      <c r="L27">
        <v>89</v>
      </c>
      <c r="M27">
        <v>14</v>
      </c>
      <c r="N27">
        <v>68</v>
      </c>
      <c r="O27">
        <v>0</v>
      </c>
      <c r="P27">
        <v>1</v>
      </c>
      <c r="Q27">
        <v>22951</v>
      </c>
      <c r="R27">
        <v>4476</v>
      </c>
      <c r="S27">
        <v>18070</v>
      </c>
      <c r="T27">
        <v>2316</v>
      </c>
      <c r="U27">
        <v>5017</v>
      </c>
      <c r="V27">
        <v>5347</v>
      </c>
      <c r="W27">
        <v>2259</v>
      </c>
      <c r="X27">
        <v>1123</v>
      </c>
      <c r="Y27">
        <v>981</v>
      </c>
      <c r="Z27">
        <v>1831</v>
      </c>
      <c r="AA27">
        <v>641</v>
      </c>
      <c r="AB27">
        <v>1034</v>
      </c>
      <c r="AC27">
        <v>499</v>
      </c>
      <c r="AD27">
        <v>410</v>
      </c>
      <c r="AE27">
        <v>13158</v>
      </c>
      <c r="AF27">
        <v>120</v>
      </c>
      <c r="AG27">
        <v>62018</v>
      </c>
      <c r="AH27">
        <v>58887</v>
      </c>
      <c r="AI27">
        <v>1197</v>
      </c>
      <c r="AJ27">
        <v>1129</v>
      </c>
      <c r="AK27">
        <v>52400</v>
      </c>
      <c r="AL27">
        <v>35018</v>
      </c>
      <c r="AM27">
        <v>217</v>
      </c>
      <c r="AN27">
        <v>14679</v>
      </c>
      <c r="AO27">
        <v>5023</v>
      </c>
      <c r="AP27">
        <v>8154</v>
      </c>
      <c r="AQ27">
        <v>18292</v>
      </c>
      <c r="AR27">
        <v>18120</v>
      </c>
      <c r="AS27">
        <v>2379</v>
      </c>
      <c r="AT27">
        <v>1363</v>
      </c>
      <c r="AU27">
        <v>16555</v>
      </c>
      <c r="AV27">
        <v>2027</v>
      </c>
      <c r="AW27">
        <v>704</v>
      </c>
      <c r="AX27">
        <v>5055</v>
      </c>
      <c r="AY27">
        <v>726</v>
      </c>
      <c r="AZ27">
        <v>3941</v>
      </c>
      <c r="BA27">
        <v>10968</v>
      </c>
      <c r="BB27">
        <v>7112</v>
      </c>
      <c r="BC27">
        <v>32</v>
      </c>
    </row>
    <row r="28" spans="1:55">
      <c r="A28" s="1">
        <v>1205</v>
      </c>
      <c r="B28" s="1" t="s">
        <v>26</v>
      </c>
      <c r="C28" t="s">
        <v>226</v>
      </c>
      <c r="D28">
        <v>35601</v>
      </c>
      <c r="E28">
        <v>32502</v>
      </c>
      <c r="F28">
        <v>31893</v>
      </c>
      <c r="G28">
        <v>12529</v>
      </c>
      <c r="H28">
        <v>139</v>
      </c>
      <c r="I28">
        <v>132</v>
      </c>
      <c r="J28">
        <v>121</v>
      </c>
      <c r="K28">
        <v>121</v>
      </c>
      <c r="L28">
        <v>121</v>
      </c>
      <c r="M28">
        <v>26</v>
      </c>
      <c r="N28">
        <v>73</v>
      </c>
      <c r="O28">
        <v>2</v>
      </c>
      <c r="P28">
        <v>0</v>
      </c>
      <c r="Q28">
        <v>3066</v>
      </c>
      <c r="R28">
        <v>600</v>
      </c>
      <c r="S28">
        <v>2325</v>
      </c>
      <c r="T28">
        <v>60</v>
      </c>
      <c r="U28">
        <v>13</v>
      </c>
      <c r="V28">
        <v>225</v>
      </c>
      <c r="W28">
        <v>692</v>
      </c>
      <c r="X28">
        <v>66</v>
      </c>
      <c r="Y28">
        <v>26</v>
      </c>
      <c r="Z28">
        <v>491</v>
      </c>
      <c r="AA28">
        <v>133</v>
      </c>
      <c r="AB28">
        <v>314</v>
      </c>
      <c r="AC28">
        <v>7</v>
      </c>
      <c r="AD28">
        <v>301</v>
      </c>
      <c r="AE28">
        <v>1048</v>
      </c>
      <c r="AF28">
        <v>33</v>
      </c>
      <c r="AG28">
        <v>9216</v>
      </c>
      <c r="AH28">
        <v>8684</v>
      </c>
      <c r="AI28">
        <v>41</v>
      </c>
      <c r="AJ28">
        <v>5</v>
      </c>
      <c r="AK28">
        <v>8442</v>
      </c>
      <c r="AL28">
        <v>6202</v>
      </c>
      <c r="AM28">
        <v>45</v>
      </c>
      <c r="AN28">
        <v>3116</v>
      </c>
      <c r="AO28">
        <v>1051</v>
      </c>
      <c r="AP28">
        <v>1760</v>
      </c>
      <c r="AQ28">
        <v>2621</v>
      </c>
      <c r="AR28">
        <v>2583</v>
      </c>
      <c r="AS28">
        <v>413</v>
      </c>
      <c r="AT28">
        <v>225</v>
      </c>
      <c r="AU28">
        <v>1915</v>
      </c>
      <c r="AV28">
        <v>285</v>
      </c>
      <c r="AW28">
        <v>47</v>
      </c>
      <c r="AX28">
        <v>542</v>
      </c>
      <c r="AY28">
        <v>216</v>
      </c>
      <c r="AZ28">
        <v>297</v>
      </c>
      <c r="BA28">
        <v>1252</v>
      </c>
      <c r="BB28">
        <v>1053</v>
      </c>
      <c r="BC28">
        <v>12</v>
      </c>
    </row>
    <row r="29" spans="1:55">
      <c r="A29" s="1">
        <v>1207</v>
      </c>
      <c r="B29" s="1" t="s">
        <v>26</v>
      </c>
      <c r="C29" t="s">
        <v>227</v>
      </c>
      <c r="D29">
        <v>82779</v>
      </c>
      <c r="E29">
        <v>76468</v>
      </c>
      <c r="F29">
        <v>75354</v>
      </c>
      <c r="G29">
        <v>43236</v>
      </c>
      <c r="H29">
        <v>549</v>
      </c>
      <c r="I29">
        <v>499</v>
      </c>
      <c r="J29">
        <v>439</v>
      </c>
      <c r="K29">
        <v>437</v>
      </c>
      <c r="L29">
        <v>417</v>
      </c>
      <c r="M29">
        <v>101</v>
      </c>
      <c r="N29">
        <v>220</v>
      </c>
      <c r="O29">
        <v>26</v>
      </c>
      <c r="P29">
        <v>8</v>
      </c>
      <c r="Q29">
        <v>21638</v>
      </c>
      <c r="R29">
        <v>12539</v>
      </c>
      <c r="S29">
        <v>8046</v>
      </c>
      <c r="T29">
        <v>656</v>
      </c>
      <c r="U29">
        <v>1027</v>
      </c>
      <c r="V29">
        <v>1316</v>
      </c>
      <c r="W29">
        <v>2187</v>
      </c>
      <c r="X29">
        <v>568</v>
      </c>
      <c r="Y29">
        <v>534</v>
      </c>
      <c r="Z29">
        <v>1305</v>
      </c>
      <c r="AA29">
        <v>309</v>
      </c>
      <c r="AB29">
        <v>763</v>
      </c>
      <c r="AC29">
        <v>101</v>
      </c>
      <c r="AD29">
        <v>558</v>
      </c>
      <c r="AE29">
        <v>4097</v>
      </c>
      <c r="AF29">
        <v>31</v>
      </c>
      <c r="AG29">
        <v>18168</v>
      </c>
      <c r="AH29">
        <v>14978</v>
      </c>
      <c r="AI29">
        <v>325</v>
      </c>
      <c r="AJ29">
        <v>76</v>
      </c>
      <c r="AK29">
        <v>13641</v>
      </c>
      <c r="AL29">
        <v>9594</v>
      </c>
      <c r="AM29">
        <v>376</v>
      </c>
      <c r="AN29">
        <v>5658</v>
      </c>
      <c r="AO29">
        <v>3292</v>
      </c>
      <c r="AP29">
        <v>2263</v>
      </c>
      <c r="AQ29">
        <v>2817</v>
      </c>
      <c r="AR29">
        <v>2708</v>
      </c>
      <c r="AS29">
        <v>3366</v>
      </c>
      <c r="AT29">
        <v>2439</v>
      </c>
      <c r="AU29">
        <v>3048</v>
      </c>
      <c r="AV29">
        <v>1553</v>
      </c>
      <c r="AW29">
        <v>1097</v>
      </c>
      <c r="AX29">
        <v>1384</v>
      </c>
      <c r="AY29">
        <v>255</v>
      </c>
      <c r="AZ29">
        <v>1108</v>
      </c>
      <c r="BA29">
        <v>1310</v>
      </c>
      <c r="BB29">
        <v>1071</v>
      </c>
      <c r="BC29">
        <v>57</v>
      </c>
    </row>
    <row r="30" spans="1:55">
      <c r="A30" s="1">
        <v>1227</v>
      </c>
      <c r="B30" s="1" t="s">
        <v>26</v>
      </c>
      <c r="C30" t="s">
        <v>230</v>
      </c>
      <c r="D30">
        <v>149245</v>
      </c>
      <c r="E30">
        <v>146074</v>
      </c>
      <c r="F30">
        <v>145481</v>
      </c>
      <c r="G30">
        <v>135150</v>
      </c>
      <c r="H30">
        <v>37</v>
      </c>
      <c r="I30">
        <v>36</v>
      </c>
      <c r="J30">
        <v>33</v>
      </c>
      <c r="K30">
        <v>31</v>
      </c>
      <c r="L30">
        <v>30</v>
      </c>
      <c r="M30">
        <v>6</v>
      </c>
      <c r="N30">
        <v>18</v>
      </c>
      <c r="O30">
        <v>0</v>
      </c>
      <c r="P30">
        <v>0</v>
      </c>
      <c r="Q30">
        <v>49041</v>
      </c>
      <c r="R30">
        <v>6193</v>
      </c>
      <c r="S30">
        <v>41403</v>
      </c>
      <c r="T30">
        <v>4477</v>
      </c>
      <c r="U30">
        <v>5787</v>
      </c>
      <c r="V30">
        <v>7834</v>
      </c>
      <c r="W30">
        <v>8778</v>
      </c>
      <c r="X30">
        <v>2067</v>
      </c>
      <c r="Y30">
        <v>1389</v>
      </c>
      <c r="Z30">
        <v>2499</v>
      </c>
      <c r="AA30">
        <v>299</v>
      </c>
      <c r="AB30">
        <v>1924</v>
      </c>
      <c r="AC30">
        <v>440</v>
      </c>
      <c r="AD30">
        <v>1345</v>
      </c>
      <c r="AE30">
        <v>28939</v>
      </c>
      <c r="AF30">
        <v>285</v>
      </c>
      <c r="AG30">
        <v>85539</v>
      </c>
      <c r="AH30">
        <v>77590</v>
      </c>
      <c r="AI30">
        <v>344</v>
      </c>
      <c r="AJ30">
        <v>132</v>
      </c>
      <c r="AK30">
        <v>74877</v>
      </c>
      <c r="AL30">
        <v>57384</v>
      </c>
      <c r="AM30">
        <v>254</v>
      </c>
      <c r="AN30">
        <v>16496</v>
      </c>
      <c r="AO30">
        <v>5208</v>
      </c>
      <c r="AP30">
        <v>9764</v>
      </c>
      <c r="AQ30">
        <v>35449</v>
      </c>
      <c r="AR30">
        <v>34754</v>
      </c>
      <c r="AS30">
        <v>1904</v>
      </c>
      <c r="AT30">
        <v>581</v>
      </c>
      <c r="AU30">
        <v>14873</v>
      </c>
      <c r="AV30">
        <v>1406</v>
      </c>
      <c r="AW30">
        <v>341</v>
      </c>
      <c r="AX30">
        <v>3286</v>
      </c>
      <c r="AY30">
        <v>495</v>
      </c>
      <c r="AZ30">
        <v>2532</v>
      </c>
      <c r="BA30">
        <v>10397</v>
      </c>
      <c r="BB30">
        <v>5415</v>
      </c>
      <c r="BC30">
        <v>22</v>
      </c>
    </row>
    <row r="31" spans="1:55">
      <c r="A31" s="1">
        <v>1245</v>
      </c>
      <c r="B31" s="1" t="s">
        <v>26</v>
      </c>
      <c r="C31" t="s">
        <v>232</v>
      </c>
      <c r="D31">
        <v>41053</v>
      </c>
      <c r="E31">
        <v>38077</v>
      </c>
      <c r="F31">
        <v>36555</v>
      </c>
      <c r="G31">
        <v>27594</v>
      </c>
      <c r="H31">
        <v>67</v>
      </c>
      <c r="I31">
        <v>65</v>
      </c>
      <c r="J31">
        <v>58</v>
      </c>
      <c r="K31">
        <v>57</v>
      </c>
      <c r="L31">
        <v>56</v>
      </c>
      <c r="M31">
        <v>14</v>
      </c>
      <c r="N31">
        <v>36</v>
      </c>
      <c r="O31">
        <v>0</v>
      </c>
      <c r="P31">
        <v>0</v>
      </c>
      <c r="Q31">
        <v>14794</v>
      </c>
      <c r="R31">
        <v>3140</v>
      </c>
      <c r="S31">
        <v>11321</v>
      </c>
      <c r="T31">
        <v>315</v>
      </c>
      <c r="U31">
        <v>55</v>
      </c>
      <c r="V31">
        <v>474</v>
      </c>
      <c r="W31">
        <v>6847</v>
      </c>
      <c r="X31">
        <v>1390</v>
      </c>
      <c r="Y31">
        <v>1356</v>
      </c>
      <c r="Z31">
        <v>1393</v>
      </c>
      <c r="AA31">
        <v>161</v>
      </c>
      <c r="AB31">
        <v>1141</v>
      </c>
      <c r="AC31">
        <v>199</v>
      </c>
      <c r="AD31">
        <v>886</v>
      </c>
      <c r="AE31">
        <v>2198</v>
      </c>
      <c r="AF31">
        <v>99</v>
      </c>
      <c r="AG31">
        <v>12479</v>
      </c>
      <c r="AH31">
        <v>11532</v>
      </c>
      <c r="AI31">
        <v>62</v>
      </c>
      <c r="AJ31">
        <v>15</v>
      </c>
      <c r="AK31">
        <v>11230</v>
      </c>
      <c r="AL31">
        <v>8824</v>
      </c>
      <c r="AM31">
        <v>18</v>
      </c>
      <c r="AN31">
        <v>4814</v>
      </c>
      <c r="AO31">
        <v>2045</v>
      </c>
      <c r="AP31">
        <v>2356</v>
      </c>
      <c r="AQ31">
        <v>3463</v>
      </c>
      <c r="AR31">
        <v>3405</v>
      </c>
      <c r="AS31">
        <v>411</v>
      </c>
      <c r="AT31">
        <v>187</v>
      </c>
      <c r="AU31">
        <v>2059</v>
      </c>
      <c r="AV31">
        <v>298</v>
      </c>
      <c r="AW31">
        <v>91</v>
      </c>
      <c r="AX31">
        <v>932</v>
      </c>
      <c r="AY31">
        <v>206</v>
      </c>
      <c r="AZ31">
        <v>676</v>
      </c>
      <c r="BA31">
        <v>1034</v>
      </c>
      <c r="BB31">
        <v>662</v>
      </c>
      <c r="BC31">
        <v>7</v>
      </c>
    </row>
    <row r="32" spans="1:55">
      <c r="A32" s="1">
        <v>1258</v>
      </c>
      <c r="B32" s="1" t="s">
        <v>26</v>
      </c>
      <c r="C32" t="s">
        <v>233</v>
      </c>
      <c r="D32">
        <v>284351</v>
      </c>
      <c r="E32">
        <v>257365</v>
      </c>
      <c r="F32">
        <v>244867</v>
      </c>
      <c r="G32">
        <v>125873</v>
      </c>
      <c r="H32">
        <v>654</v>
      </c>
      <c r="I32">
        <v>651</v>
      </c>
      <c r="J32">
        <v>612</v>
      </c>
      <c r="K32">
        <v>608</v>
      </c>
      <c r="L32">
        <v>607</v>
      </c>
      <c r="M32">
        <v>107</v>
      </c>
      <c r="N32">
        <v>377</v>
      </c>
      <c r="O32">
        <v>9</v>
      </c>
      <c r="P32">
        <v>22</v>
      </c>
      <c r="Q32">
        <v>80189</v>
      </c>
      <c r="R32">
        <v>22269</v>
      </c>
      <c r="S32">
        <v>55458</v>
      </c>
      <c r="T32">
        <v>2003</v>
      </c>
      <c r="U32">
        <v>5426</v>
      </c>
      <c r="V32">
        <v>6784</v>
      </c>
      <c r="W32">
        <v>23128</v>
      </c>
      <c r="X32">
        <v>8107</v>
      </c>
      <c r="Y32">
        <v>8010</v>
      </c>
      <c r="Z32">
        <v>8088</v>
      </c>
      <c r="AA32">
        <v>884</v>
      </c>
      <c r="AB32">
        <v>6142</v>
      </c>
      <c r="AC32">
        <v>712</v>
      </c>
      <c r="AD32">
        <v>5160</v>
      </c>
      <c r="AE32">
        <v>20229</v>
      </c>
      <c r="AF32">
        <v>136</v>
      </c>
      <c r="AG32">
        <v>43882</v>
      </c>
      <c r="AH32">
        <v>41370</v>
      </c>
      <c r="AI32">
        <v>228</v>
      </c>
      <c r="AJ32">
        <v>154</v>
      </c>
      <c r="AK32">
        <v>40179</v>
      </c>
      <c r="AL32">
        <v>29171</v>
      </c>
      <c r="AM32">
        <v>127</v>
      </c>
      <c r="AN32">
        <v>7243</v>
      </c>
      <c r="AO32">
        <v>1948</v>
      </c>
      <c r="AP32">
        <v>4680</v>
      </c>
      <c r="AQ32">
        <v>19336</v>
      </c>
      <c r="AR32">
        <v>19055</v>
      </c>
      <c r="AS32">
        <v>2222</v>
      </c>
      <c r="AT32">
        <v>377</v>
      </c>
      <c r="AU32">
        <v>9452</v>
      </c>
      <c r="AV32">
        <v>1833</v>
      </c>
      <c r="AW32">
        <v>77</v>
      </c>
      <c r="AX32">
        <v>1173</v>
      </c>
      <c r="AY32">
        <v>329</v>
      </c>
      <c r="AZ32">
        <v>776</v>
      </c>
      <c r="BA32">
        <v>7848</v>
      </c>
      <c r="BB32">
        <v>6177</v>
      </c>
      <c r="BC32">
        <v>16</v>
      </c>
    </row>
    <row r="33" spans="1:55">
      <c r="A33" s="1">
        <v>1300</v>
      </c>
      <c r="B33" s="1" t="s">
        <v>26</v>
      </c>
      <c r="C33" t="s">
        <v>234</v>
      </c>
      <c r="D33">
        <v>93789</v>
      </c>
      <c r="E33">
        <v>90800</v>
      </c>
      <c r="F33">
        <v>89845</v>
      </c>
      <c r="G33">
        <v>82551</v>
      </c>
      <c r="H33">
        <v>135</v>
      </c>
      <c r="I33">
        <v>134</v>
      </c>
      <c r="J33">
        <v>125</v>
      </c>
      <c r="K33">
        <v>124</v>
      </c>
      <c r="L33">
        <v>123</v>
      </c>
      <c r="M33">
        <v>36</v>
      </c>
      <c r="N33">
        <v>62</v>
      </c>
      <c r="O33">
        <v>0</v>
      </c>
      <c r="P33">
        <v>4</v>
      </c>
      <c r="Q33">
        <v>48721</v>
      </c>
      <c r="R33">
        <v>9631</v>
      </c>
      <c r="S33">
        <v>36839</v>
      </c>
      <c r="T33">
        <v>602</v>
      </c>
      <c r="U33">
        <v>328</v>
      </c>
      <c r="V33">
        <v>1375</v>
      </c>
      <c r="W33">
        <v>21825</v>
      </c>
      <c r="X33">
        <v>6608</v>
      </c>
      <c r="Y33">
        <v>6507</v>
      </c>
      <c r="Z33">
        <v>5880</v>
      </c>
      <c r="AA33">
        <v>908</v>
      </c>
      <c r="AB33">
        <v>1429</v>
      </c>
      <c r="AC33">
        <v>42</v>
      </c>
      <c r="AD33">
        <v>1297</v>
      </c>
      <c r="AE33">
        <v>6632</v>
      </c>
      <c r="AF33">
        <v>369</v>
      </c>
      <c r="AG33">
        <v>32949</v>
      </c>
      <c r="AH33">
        <v>30552</v>
      </c>
      <c r="AI33">
        <v>265</v>
      </c>
      <c r="AJ33">
        <v>43</v>
      </c>
      <c r="AK33">
        <v>29114</v>
      </c>
      <c r="AL33">
        <v>13414</v>
      </c>
      <c r="AM33">
        <v>227</v>
      </c>
      <c r="AN33">
        <v>3595</v>
      </c>
      <c r="AO33">
        <v>835</v>
      </c>
      <c r="AP33">
        <v>2579</v>
      </c>
      <c r="AQ33">
        <v>8681</v>
      </c>
      <c r="AR33">
        <v>8624</v>
      </c>
      <c r="AS33">
        <v>1438</v>
      </c>
      <c r="AT33">
        <v>462</v>
      </c>
      <c r="AU33">
        <v>12834</v>
      </c>
      <c r="AV33">
        <v>1084</v>
      </c>
      <c r="AW33">
        <v>441</v>
      </c>
      <c r="AX33">
        <v>2030</v>
      </c>
      <c r="AY33">
        <v>1089</v>
      </c>
      <c r="AZ33">
        <v>801</v>
      </c>
      <c r="BA33">
        <v>9594</v>
      </c>
      <c r="BB33">
        <v>8427</v>
      </c>
      <c r="BC33">
        <v>58</v>
      </c>
    </row>
    <row r="34" spans="1:55">
      <c r="A34" s="1">
        <v>1306</v>
      </c>
      <c r="B34" s="1" t="s">
        <v>26</v>
      </c>
      <c r="C34" t="s">
        <v>235</v>
      </c>
      <c r="D34">
        <v>531658</v>
      </c>
      <c r="E34">
        <v>526326</v>
      </c>
      <c r="F34">
        <v>525070</v>
      </c>
      <c r="G34">
        <v>487834</v>
      </c>
      <c r="H34">
        <v>139</v>
      </c>
      <c r="I34">
        <v>133</v>
      </c>
      <c r="J34">
        <v>126</v>
      </c>
      <c r="K34">
        <v>125</v>
      </c>
      <c r="L34">
        <v>125</v>
      </c>
      <c r="M34">
        <v>78</v>
      </c>
      <c r="N34">
        <v>24</v>
      </c>
      <c r="O34">
        <v>0</v>
      </c>
      <c r="P34">
        <v>2</v>
      </c>
      <c r="Q34">
        <v>171694</v>
      </c>
      <c r="R34">
        <v>112989</v>
      </c>
      <c r="S34">
        <v>55629</v>
      </c>
      <c r="T34">
        <v>1089</v>
      </c>
      <c r="U34">
        <v>611</v>
      </c>
      <c r="V34">
        <v>4434</v>
      </c>
      <c r="W34">
        <v>9296</v>
      </c>
      <c r="X34">
        <v>5618</v>
      </c>
      <c r="Y34">
        <v>324</v>
      </c>
      <c r="Z34">
        <v>5802</v>
      </c>
      <c r="AA34">
        <v>481</v>
      </c>
      <c r="AB34">
        <v>4927</v>
      </c>
      <c r="AC34">
        <v>1379</v>
      </c>
      <c r="AD34">
        <v>3115</v>
      </c>
      <c r="AE34">
        <v>36700</v>
      </c>
      <c r="AF34">
        <v>5315</v>
      </c>
      <c r="AG34">
        <v>302687</v>
      </c>
      <c r="AH34">
        <v>242169</v>
      </c>
      <c r="AI34">
        <v>1037</v>
      </c>
      <c r="AJ34">
        <v>2106</v>
      </c>
      <c r="AK34">
        <v>234465</v>
      </c>
      <c r="AL34">
        <v>128474</v>
      </c>
      <c r="AM34">
        <v>335</v>
      </c>
      <c r="AN34">
        <v>20581</v>
      </c>
      <c r="AO34">
        <v>5278</v>
      </c>
      <c r="AP34">
        <v>14071</v>
      </c>
      <c r="AQ34">
        <v>97729</v>
      </c>
      <c r="AR34">
        <v>93950</v>
      </c>
      <c r="AS34">
        <v>2667</v>
      </c>
      <c r="AT34">
        <v>728</v>
      </c>
      <c r="AU34">
        <v>90620</v>
      </c>
      <c r="AV34">
        <v>4253</v>
      </c>
      <c r="AW34">
        <v>892</v>
      </c>
      <c r="AX34">
        <v>13048</v>
      </c>
      <c r="AY34">
        <v>4792</v>
      </c>
      <c r="AZ34">
        <v>7619</v>
      </c>
      <c r="BA34">
        <v>71923</v>
      </c>
      <c r="BB34">
        <v>46760</v>
      </c>
      <c r="BC34">
        <v>89</v>
      </c>
    </row>
    <row r="35" spans="1:55">
      <c r="A35" s="1">
        <v>1309</v>
      </c>
      <c r="B35" s="1" t="s">
        <v>26</v>
      </c>
      <c r="C35" t="s">
        <v>236</v>
      </c>
      <c r="D35">
        <v>23831</v>
      </c>
      <c r="E35">
        <v>22120</v>
      </c>
      <c r="F35">
        <v>20852</v>
      </c>
      <c r="G35">
        <v>12950</v>
      </c>
      <c r="H35">
        <v>227</v>
      </c>
      <c r="I35">
        <v>227</v>
      </c>
      <c r="J35">
        <v>210</v>
      </c>
      <c r="K35">
        <v>210</v>
      </c>
      <c r="L35">
        <v>210</v>
      </c>
      <c r="M35">
        <v>29</v>
      </c>
      <c r="N35">
        <v>151</v>
      </c>
      <c r="O35">
        <v>12</v>
      </c>
      <c r="P35">
        <v>0</v>
      </c>
      <c r="Q35">
        <v>6366</v>
      </c>
      <c r="R35">
        <v>777</v>
      </c>
      <c r="S35">
        <v>5320</v>
      </c>
      <c r="T35">
        <v>170</v>
      </c>
      <c r="U35">
        <v>157</v>
      </c>
      <c r="V35">
        <v>357</v>
      </c>
      <c r="W35">
        <v>2174</v>
      </c>
      <c r="X35">
        <v>119</v>
      </c>
      <c r="Y35">
        <v>90</v>
      </c>
      <c r="Z35">
        <v>1120</v>
      </c>
      <c r="AA35">
        <v>146</v>
      </c>
      <c r="AB35">
        <v>864</v>
      </c>
      <c r="AC35">
        <v>18</v>
      </c>
      <c r="AD35">
        <v>805</v>
      </c>
      <c r="AE35">
        <v>1636</v>
      </c>
      <c r="AF35">
        <v>8</v>
      </c>
      <c r="AG35">
        <v>6169</v>
      </c>
      <c r="AH35">
        <v>5589</v>
      </c>
      <c r="AI35">
        <v>40</v>
      </c>
      <c r="AJ35">
        <v>53</v>
      </c>
      <c r="AK35">
        <v>5284</v>
      </c>
      <c r="AL35">
        <v>2825</v>
      </c>
      <c r="AM35">
        <v>19</v>
      </c>
      <c r="AN35">
        <v>829</v>
      </c>
      <c r="AO35">
        <v>355</v>
      </c>
      <c r="AP35">
        <v>423</v>
      </c>
      <c r="AQ35">
        <v>1907</v>
      </c>
      <c r="AR35">
        <v>1895</v>
      </c>
      <c r="AS35">
        <v>524</v>
      </c>
      <c r="AT35">
        <v>68</v>
      </c>
      <c r="AU35">
        <v>2047</v>
      </c>
      <c r="AV35">
        <v>432</v>
      </c>
      <c r="AW35">
        <v>70</v>
      </c>
      <c r="AX35">
        <v>575</v>
      </c>
      <c r="AY35">
        <v>56</v>
      </c>
      <c r="AZ35">
        <v>503</v>
      </c>
      <c r="BA35">
        <v>1411</v>
      </c>
      <c r="BB35">
        <v>886</v>
      </c>
      <c r="BC35">
        <v>23</v>
      </c>
    </row>
    <row r="36" spans="1:55">
      <c r="A36" s="1">
        <v>1337</v>
      </c>
      <c r="B36" s="1" t="s">
        <v>26</v>
      </c>
      <c r="C36" t="s">
        <v>239</v>
      </c>
      <c r="D36">
        <v>50067</v>
      </c>
      <c r="E36">
        <v>47421</v>
      </c>
      <c r="F36">
        <v>43820</v>
      </c>
      <c r="G36">
        <v>22368</v>
      </c>
      <c r="H36">
        <v>361</v>
      </c>
      <c r="I36">
        <v>358</v>
      </c>
      <c r="J36">
        <v>335</v>
      </c>
      <c r="K36">
        <v>335</v>
      </c>
      <c r="L36">
        <v>332</v>
      </c>
      <c r="M36">
        <v>190</v>
      </c>
      <c r="N36">
        <v>75</v>
      </c>
      <c r="O36">
        <v>0</v>
      </c>
      <c r="P36">
        <v>2</v>
      </c>
      <c r="Q36">
        <v>11444</v>
      </c>
      <c r="R36">
        <v>1689</v>
      </c>
      <c r="S36">
        <v>9435</v>
      </c>
      <c r="T36">
        <v>314</v>
      </c>
      <c r="U36">
        <v>58</v>
      </c>
      <c r="V36">
        <v>203</v>
      </c>
      <c r="W36">
        <v>3044</v>
      </c>
      <c r="X36">
        <v>537</v>
      </c>
      <c r="Y36">
        <v>424</v>
      </c>
      <c r="Z36">
        <v>3699</v>
      </c>
      <c r="AA36">
        <v>365</v>
      </c>
      <c r="AB36">
        <v>2831</v>
      </c>
      <c r="AC36">
        <v>45</v>
      </c>
      <c r="AD36">
        <v>2686</v>
      </c>
      <c r="AE36">
        <v>1665</v>
      </c>
      <c r="AF36">
        <v>54</v>
      </c>
      <c r="AG36">
        <v>10116</v>
      </c>
      <c r="AH36">
        <v>9168</v>
      </c>
      <c r="AI36">
        <v>86</v>
      </c>
      <c r="AJ36">
        <v>28</v>
      </c>
      <c r="AK36">
        <v>8623</v>
      </c>
      <c r="AL36">
        <v>4259</v>
      </c>
      <c r="AM36">
        <v>11</v>
      </c>
      <c r="AN36">
        <v>1376</v>
      </c>
      <c r="AO36">
        <v>475</v>
      </c>
      <c r="AP36">
        <v>770</v>
      </c>
      <c r="AQ36">
        <v>2608</v>
      </c>
      <c r="AR36">
        <v>2580</v>
      </c>
      <c r="AS36">
        <v>261</v>
      </c>
      <c r="AT36">
        <v>107</v>
      </c>
      <c r="AU36">
        <v>3537</v>
      </c>
      <c r="AV36">
        <v>1024</v>
      </c>
      <c r="AW36">
        <v>148</v>
      </c>
      <c r="AX36">
        <v>1250</v>
      </c>
      <c r="AY36">
        <v>215</v>
      </c>
      <c r="AZ36">
        <v>947</v>
      </c>
      <c r="BA36">
        <v>2143</v>
      </c>
      <c r="BB36">
        <v>1339</v>
      </c>
      <c r="BC36">
        <v>2</v>
      </c>
    </row>
    <row r="37" spans="1:55">
      <c r="A37" s="1"/>
      <c r="B37" s="1"/>
    </row>
    <row r="38" spans="1:55">
      <c r="A38" s="1">
        <v>1004</v>
      </c>
      <c r="B38" s="1" t="s">
        <v>32</v>
      </c>
      <c r="C38" t="s">
        <v>167</v>
      </c>
      <c r="D38">
        <v>303378</v>
      </c>
      <c r="E38">
        <v>294206</v>
      </c>
      <c r="F38">
        <v>293104</v>
      </c>
      <c r="G38">
        <v>123429</v>
      </c>
      <c r="H38">
        <v>1998</v>
      </c>
      <c r="I38">
        <v>1955</v>
      </c>
      <c r="J38">
        <v>1890</v>
      </c>
      <c r="K38">
        <v>1861</v>
      </c>
      <c r="L38">
        <v>1855</v>
      </c>
      <c r="M38">
        <v>613</v>
      </c>
      <c r="N38">
        <v>927</v>
      </c>
      <c r="O38">
        <v>22</v>
      </c>
      <c r="P38">
        <v>32</v>
      </c>
      <c r="Q38">
        <v>29560</v>
      </c>
      <c r="R38">
        <v>2362</v>
      </c>
      <c r="S38">
        <v>26672</v>
      </c>
      <c r="T38">
        <v>1932</v>
      </c>
      <c r="U38">
        <v>3761</v>
      </c>
      <c r="V38">
        <v>4628</v>
      </c>
      <c r="W38">
        <v>9325</v>
      </c>
      <c r="X38">
        <v>247</v>
      </c>
      <c r="Y38">
        <v>234</v>
      </c>
      <c r="Z38">
        <v>3798</v>
      </c>
      <c r="AA38">
        <v>831</v>
      </c>
      <c r="AB38">
        <v>2116</v>
      </c>
      <c r="AC38">
        <v>104</v>
      </c>
      <c r="AD38">
        <v>1905</v>
      </c>
      <c r="AE38">
        <v>12819</v>
      </c>
      <c r="AF38">
        <v>385</v>
      </c>
      <c r="AG38">
        <v>89371</v>
      </c>
      <c r="AH38">
        <v>81626</v>
      </c>
      <c r="AI38">
        <v>368</v>
      </c>
      <c r="AJ38">
        <v>1572</v>
      </c>
      <c r="AK38">
        <v>77563</v>
      </c>
      <c r="AL38">
        <v>35933</v>
      </c>
      <c r="AM38">
        <v>693</v>
      </c>
      <c r="AN38">
        <v>11210</v>
      </c>
      <c r="AO38">
        <v>2531</v>
      </c>
      <c r="AP38">
        <v>7689</v>
      </c>
      <c r="AQ38">
        <v>22284</v>
      </c>
      <c r="AR38">
        <v>22077</v>
      </c>
      <c r="AS38">
        <v>1226</v>
      </c>
      <c r="AT38">
        <v>243</v>
      </c>
      <c r="AU38">
        <v>38816</v>
      </c>
      <c r="AV38">
        <v>5337</v>
      </c>
      <c r="AW38">
        <v>346</v>
      </c>
      <c r="AX38">
        <v>764</v>
      </c>
      <c r="AY38">
        <v>401</v>
      </c>
      <c r="AZ38">
        <v>306</v>
      </c>
      <c r="BA38">
        <v>37407</v>
      </c>
      <c r="BB38">
        <v>14084</v>
      </c>
      <c r="BC38">
        <v>126</v>
      </c>
    </row>
    <row r="39" spans="1:55">
      <c r="A39" s="1">
        <v>1008</v>
      </c>
      <c r="B39" s="1" t="s">
        <v>32</v>
      </c>
      <c r="C39" t="s">
        <v>168</v>
      </c>
      <c r="D39">
        <v>47011</v>
      </c>
      <c r="E39">
        <v>45318</v>
      </c>
      <c r="F39">
        <v>44254</v>
      </c>
      <c r="G39">
        <v>27384</v>
      </c>
      <c r="H39">
        <v>190</v>
      </c>
      <c r="I39">
        <v>182</v>
      </c>
      <c r="J39">
        <v>169</v>
      </c>
      <c r="K39">
        <v>165</v>
      </c>
      <c r="L39">
        <v>163</v>
      </c>
      <c r="M39">
        <v>44</v>
      </c>
      <c r="N39">
        <v>104</v>
      </c>
      <c r="O39">
        <v>0</v>
      </c>
      <c r="P39">
        <v>0</v>
      </c>
      <c r="Q39">
        <v>13407</v>
      </c>
      <c r="R39">
        <v>3105</v>
      </c>
      <c r="S39">
        <v>9778</v>
      </c>
      <c r="T39">
        <v>647</v>
      </c>
      <c r="U39">
        <v>266</v>
      </c>
      <c r="V39">
        <v>438</v>
      </c>
      <c r="W39">
        <v>4268</v>
      </c>
      <c r="X39">
        <v>564</v>
      </c>
      <c r="Y39">
        <v>516</v>
      </c>
      <c r="Z39">
        <v>2355</v>
      </c>
      <c r="AA39">
        <v>374</v>
      </c>
      <c r="AB39">
        <v>1642</v>
      </c>
      <c r="AC39">
        <v>13</v>
      </c>
      <c r="AD39">
        <v>1617</v>
      </c>
      <c r="AE39">
        <v>2487</v>
      </c>
      <c r="AF39">
        <v>61</v>
      </c>
      <c r="AG39">
        <v>13320</v>
      </c>
      <c r="AH39">
        <v>12779</v>
      </c>
      <c r="AI39">
        <v>221</v>
      </c>
      <c r="AJ39">
        <v>168</v>
      </c>
      <c r="AK39">
        <v>11903</v>
      </c>
      <c r="AL39">
        <v>9575</v>
      </c>
      <c r="AM39">
        <v>12</v>
      </c>
      <c r="AN39">
        <v>7111</v>
      </c>
      <c r="AO39">
        <v>2140</v>
      </c>
      <c r="AP39">
        <v>4244</v>
      </c>
      <c r="AQ39">
        <v>1849</v>
      </c>
      <c r="AR39">
        <v>1802</v>
      </c>
      <c r="AS39">
        <v>826</v>
      </c>
      <c r="AT39">
        <v>357</v>
      </c>
      <c r="AU39">
        <v>2032</v>
      </c>
      <c r="AV39">
        <v>325</v>
      </c>
      <c r="AW39">
        <v>91</v>
      </c>
      <c r="AX39">
        <v>1281</v>
      </c>
      <c r="AY39">
        <v>85</v>
      </c>
      <c r="AZ39">
        <v>1159</v>
      </c>
      <c r="BA39">
        <v>679</v>
      </c>
      <c r="BB39">
        <v>496</v>
      </c>
      <c r="BC39">
        <v>3</v>
      </c>
    </row>
    <row r="40" spans="1:55">
      <c r="A40" s="1">
        <v>1013</v>
      </c>
      <c r="B40" s="1" t="s">
        <v>32</v>
      </c>
      <c r="C40" t="s">
        <v>171</v>
      </c>
      <c r="D40">
        <v>36817</v>
      </c>
      <c r="E40">
        <v>34554</v>
      </c>
      <c r="F40">
        <v>33806</v>
      </c>
      <c r="G40">
        <v>10634</v>
      </c>
      <c r="H40">
        <v>215</v>
      </c>
      <c r="I40">
        <v>215</v>
      </c>
      <c r="J40">
        <v>203</v>
      </c>
      <c r="K40">
        <v>203</v>
      </c>
      <c r="L40">
        <v>203</v>
      </c>
      <c r="M40">
        <v>119</v>
      </c>
      <c r="N40">
        <v>60</v>
      </c>
      <c r="O40">
        <v>8</v>
      </c>
      <c r="P40">
        <v>4</v>
      </c>
      <c r="Q40">
        <v>5790</v>
      </c>
      <c r="R40">
        <v>1094</v>
      </c>
      <c r="S40">
        <v>4532</v>
      </c>
      <c r="T40">
        <v>435</v>
      </c>
      <c r="U40">
        <v>813</v>
      </c>
      <c r="V40">
        <v>923</v>
      </c>
      <c r="W40">
        <v>785</v>
      </c>
      <c r="X40">
        <v>219</v>
      </c>
      <c r="Y40">
        <v>182</v>
      </c>
      <c r="Z40">
        <v>892</v>
      </c>
      <c r="AA40">
        <v>130</v>
      </c>
      <c r="AB40">
        <v>596</v>
      </c>
      <c r="AC40">
        <v>59</v>
      </c>
      <c r="AD40">
        <v>458</v>
      </c>
      <c r="AE40">
        <v>2512</v>
      </c>
      <c r="AF40">
        <v>10</v>
      </c>
      <c r="AG40">
        <v>4397</v>
      </c>
      <c r="AH40">
        <v>4172</v>
      </c>
      <c r="AI40">
        <v>68</v>
      </c>
      <c r="AJ40">
        <v>103</v>
      </c>
      <c r="AK40">
        <v>3741</v>
      </c>
      <c r="AL40">
        <v>2651</v>
      </c>
      <c r="AM40">
        <v>12</v>
      </c>
      <c r="AN40">
        <v>1277</v>
      </c>
      <c r="AO40">
        <v>241</v>
      </c>
      <c r="AP40">
        <v>956</v>
      </c>
      <c r="AQ40">
        <v>1103</v>
      </c>
      <c r="AR40">
        <v>1096</v>
      </c>
      <c r="AS40">
        <v>206</v>
      </c>
      <c r="AT40">
        <v>74</v>
      </c>
      <c r="AU40">
        <v>939</v>
      </c>
      <c r="AV40">
        <v>227</v>
      </c>
      <c r="AW40">
        <v>66</v>
      </c>
      <c r="AX40">
        <v>190</v>
      </c>
      <c r="AY40">
        <v>75</v>
      </c>
      <c r="AZ40">
        <v>105</v>
      </c>
      <c r="BA40">
        <v>693</v>
      </c>
      <c r="BB40">
        <v>438</v>
      </c>
      <c r="BC40">
        <v>3</v>
      </c>
    </row>
    <row r="41" spans="1:55">
      <c r="A41" s="1">
        <v>1014</v>
      </c>
      <c r="B41" s="1" t="s">
        <v>32</v>
      </c>
      <c r="C41" t="s">
        <v>172</v>
      </c>
      <c r="D41">
        <v>112228</v>
      </c>
      <c r="E41">
        <v>110574</v>
      </c>
      <c r="F41">
        <v>108857</v>
      </c>
      <c r="G41">
        <v>49789</v>
      </c>
      <c r="H41">
        <v>975</v>
      </c>
      <c r="I41">
        <v>936</v>
      </c>
      <c r="J41">
        <v>914</v>
      </c>
      <c r="K41">
        <v>908</v>
      </c>
      <c r="L41">
        <v>907</v>
      </c>
      <c r="M41">
        <v>749</v>
      </c>
      <c r="N41">
        <v>26</v>
      </c>
      <c r="O41">
        <v>0</v>
      </c>
      <c r="P41">
        <v>0</v>
      </c>
      <c r="Q41">
        <v>20845</v>
      </c>
      <c r="R41">
        <v>3782</v>
      </c>
      <c r="S41">
        <v>16514</v>
      </c>
      <c r="T41">
        <v>2447</v>
      </c>
      <c r="U41">
        <v>1124</v>
      </c>
      <c r="V41">
        <v>1219</v>
      </c>
      <c r="W41">
        <v>6527</v>
      </c>
      <c r="X41">
        <v>4609</v>
      </c>
      <c r="Y41">
        <v>4424</v>
      </c>
      <c r="Z41">
        <v>2183</v>
      </c>
      <c r="AA41">
        <v>369</v>
      </c>
      <c r="AB41">
        <v>955</v>
      </c>
      <c r="AC41">
        <v>167</v>
      </c>
      <c r="AD41">
        <v>646</v>
      </c>
      <c r="AE41">
        <v>6180</v>
      </c>
      <c r="AF41">
        <v>94</v>
      </c>
      <c r="AG41">
        <v>27126</v>
      </c>
      <c r="AH41">
        <v>25648</v>
      </c>
      <c r="AI41">
        <v>195</v>
      </c>
      <c r="AJ41">
        <v>1019</v>
      </c>
      <c r="AK41">
        <v>23619</v>
      </c>
      <c r="AL41">
        <v>17982</v>
      </c>
      <c r="AM41">
        <v>56</v>
      </c>
      <c r="AN41">
        <v>13351</v>
      </c>
      <c r="AO41">
        <v>6052</v>
      </c>
      <c r="AP41">
        <v>5873</v>
      </c>
      <c r="AQ41">
        <v>3827</v>
      </c>
      <c r="AR41">
        <v>3768</v>
      </c>
      <c r="AS41">
        <v>1661</v>
      </c>
      <c r="AT41">
        <v>438</v>
      </c>
      <c r="AU41">
        <v>5083</v>
      </c>
      <c r="AV41">
        <v>1141</v>
      </c>
      <c r="AW41">
        <v>231</v>
      </c>
      <c r="AX41">
        <v>409</v>
      </c>
      <c r="AY41">
        <v>127</v>
      </c>
      <c r="AZ41">
        <v>257</v>
      </c>
      <c r="BA41">
        <v>4579</v>
      </c>
      <c r="BB41">
        <v>3318</v>
      </c>
      <c r="BC41">
        <v>7</v>
      </c>
    </row>
    <row r="42" spans="1:55">
      <c r="A42" s="1">
        <v>1016</v>
      </c>
      <c r="B42" s="1" t="s">
        <v>32</v>
      </c>
      <c r="C42" t="s">
        <v>174</v>
      </c>
      <c r="D42">
        <v>68990</v>
      </c>
      <c r="E42">
        <v>66382</v>
      </c>
      <c r="F42">
        <v>62287</v>
      </c>
      <c r="G42">
        <v>24096</v>
      </c>
      <c r="H42">
        <v>2069</v>
      </c>
      <c r="I42">
        <v>2063</v>
      </c>
      <c r="J42">
        <v>2052</v>
      </c>
      <c r="K42">
        <v>2051</v>
      </c>
      <c r="L42">
        <v>2051</v>
      </c>
      <c r="M42">
        <v>1541</v>
      </c>
      <c r="N42">
        <v>330</v>
      </c>
      <c r="O42">
        <v>0</v>
      </c>
      <c r="P42">
        <v>3</v>
      </c>
      <c r="Q42">
        <v>9198</v>
      </c>
      <c r="R42">
        <v>1354</v>
      </c>
      <c r="S42">
        <v>7746</v>
      </c>
      <c r="T42">
        <v>485</v>
      </c>
      <c r="U42">
        <v>230</v>
      </c>
      <c r="V42">
        <v>662</v>
      </c>
      <c r="W42">
        <v>2203</v>
      </c>
      <c r="X42">
        <v>566</v>
      </c>
      <c r="Y42">
        <v>491</v>
      </c>
      <c r="Z42">
        <v>1667</v>
      </c>
      <c r="AA42">
        <v>720</v>
      </c>
      <c r="AB42">
        <v>660</v>
      </c>
      <c r="AC42">
        <v>262</v>
      </c>
      <c r="AD42">
        <v>369</v>
      </c>
      <c r="AE42">
        <v>3017</v>
      </c>
      <c r="AF42">
        <v>35</v>
      </c>
      <c r="AG42">
        <v>12328</v>
      </c>
      <c r="AH42">
        <v>11598</v>
      </c>
      <c r="AI42">
        <v>134</v>
      </c>
      <c r="AJ42">
        <v>524</v>
      </c>
      <c r="AK42">
        <v>10499</v>
      </c>
      <c r="AL42">
        <v>6185</v>
      </c>
      <c r="AM42">
        <v>10</v>
      </c>
      <c r="AN42">
        <v>4949</v>
      </c>
      <c r="AO42">
        <v>711</v>
      </c>
      <c r="AP42">
        <v>3833</v>
      </c>
      <c r="AQ42">
        <v>1000</v>
      </c>
      <c r="AR42">
        <v>984</v>
      </c>
      <c r="AS42">
        <v>741</v>
      </c>
      <c r="AT42">
        <v>395</v>
      </c>
      <c r="AU42">
        <v>3931</v>
      </c>
      <c r="AV42">
        <v>1005</v>
      </c>
      <c r="AW42">
        <v>184</v>
      </c>
      <c r="AX42">
        <v>594</v>
      </c>
      <c r="AY42">
        <v>386</v>
      </c>
      <c r="AZ42">
        <v>164</v>
      </c>
      <c r="BA42">
        <v>3159</v>
      </c>
      <c r="BB42">
        <v>2169</v>
      </c>
      <c r="BC42">
        <v>14</v>
      </c>
    </row>
    <row r="43" spans="1:55">
      <c r="A43" s="1">
        <v>1023</v>
      </c>
      <c r="B43" s="1" t="s">
        <v>32</v>
      </c>
      <c r="C43" t="s">
        <v>178</v>
      </c>
      <c r="D43">
        <v>28053</v>
      </c>
      <c r="E43">
        <v>26751</v>
      </c>
      <c r="F43">
        <v>26457</v>
      </c>
      <c r="G43">
        <v>19753</v>
      </c>
      <c r="H43">
        <v>110</v>
      </c>
      <c r="I43">
        <v>109</v>
      </c>
      <c r="J43">
        <v>102</v>
      </c>
      <c r="K43">
        <v>102</v>
      </c>
      <c r="L43">
        <v>100</v>
      </c>
      <c r="M43">
        <v>13</v>
      </c>
      <c r="N43">
        <v>72</v>
      </c>
      <c r="O43">
        <v>0</v>
      </c>
      <c r="P43">
        <v>3</v>
      </c>
      <c r="Q43">
        <v>5381</v>
      </c>
      <c r="R43">
        <v>2032</v>
      </c>
      <c r="S43">
        <v>2813</v>
      </c>
      <c r="T43">
        <v>177</v>
      </c>
      <c r="U43">
        <v>127</v>
      </c>
      <c r="V43">
        <v>251</v>
      </c>
      <c r="W43">
        <v>1466</v>
      </c>
      <c r="X43">
        <v>634</v>
      </c>
      <c r="Y43">
        <v>581</v>
      </c>
      <c r="Z43">
        <v>219</v>
      </c>
      <c r="AA43">
        <v>30</v>
      </c>
      <c r="AB43">
        <v>147</v>
      </c>
      <c r="AC43">
        <v>40</v>
      </c>
      <c r="AD43">
        <v>92</v>
      </c>
      <c r="AE43">
        <v>950</v>
      </c>
      <c r="AF43">
        <v>16</v>
      </c>
      <c r="AG43">
        <v>14066</v>
      </c>
      <c r="AH43">
        <v>13023</v>
      </c>
      <c r="AI43">
        <v>169</v>
      </c>
      <c r="AJ43">
        <v>36</v>
      </c>
      <c r="AK43">
        <v>12502</v>
      </c>
      <c r="AL43">
        <v>9631</v>
      </c>
      <c r="AM43">
        <v>34</v>
      </c>
      <c r="AN43">
        <v>6550</v>
      </c>
      <c r="AO43">
        <v>1496</v>
      </c>
      <c r="AP43">
        <v>4677</v>
      </c>
      <c r="AQ43">
        <v>2236</v>
      </c>
      <c r="AR43">
        <v>2205</v>
      </c>
      <c r="AS43">
        <v>1214</v>
      </c>
      <c r="AT43">
        <v>880</v>
      </c>
      <c r="AU43">
        <v>2419</v>
      </c>
      <c r="AV43">
        <v>587</v>
      </c>
      <c r="AW43">
        <v>255</v>
      </c>
      <c r="AX43">
        <v>847</v>
      </c>
      <c r="AY43">
        <v>471</v>
      </c>
      <c r="AZ43">
        <v>342</v>
      </c>
      <c r="BA43">
        <v>1371</v>
      </c>
      <c r="BB43">
        <v>1113</v>
      </c>
      <c r="BC43">
        <v>44</v>
      </c>
    </row>
    <row r="44" spans="1:55">
      <c r="A44" s="1">
        <v>1031</v>
      </c>
      <c r="B44" s="1" t="s">
        <v>32</v>
      </c>
      <c r="C44" t="s">
        <v>180</v>
      </c>
      <c r="D44">
        <v>74917</v>
      </c>
      <c r="E44">
        <v>72976</v>
      </c>
      <c r="F44">
        <v>71165</v>
      </c>
      <c r="G44">
        <v>40842</v>
      </c>
      <c r="H44">
        <v>711</v>
      </c>
      <c r="I44">
        <v>707</v>
      </c>
      <c r="J44">
        <v>681</v>
      </c>
      <c r="K44">
        <v>680</v>
      </c>
      <c r="L44">
        <v>680</v>
      </c>
      <c r="M44">
        <v>268</v>
      </c>
      <c r="N44">
        <v>299</v>
      </c>
      <c r="O44">
        <v>7</v>
      </c>
      <c r="P44">
        <v>7</v>
      </c>
      <c r="Q44">
        <v>16327</v>
      </c>
      <c r="R44">
        <v>4786</v>
      </c>
      <c r="S44">
        <v>10782</v>
      </c>
      <c r="T44">
        <v>402</v>
      </c>
      <c r="U44">
        <v>279</v>
      </c>
      <c r="V44">
        <v>723</v>
      </c>
      <c r="W44">
        <v>3362</v>
      </c>
      <c r="X44">
        <v>970</v>
      </c>
      <c r="Y44">
        <v>920</v>
      </c>
      <c r="Z44">
        <v>2007</v>
      </c>
      <c r="AA44">
        <v>411</v>
      </c>
      <c r="AB44">
        <v>1361</v>
      </c>
      <c r="AC44">
        <v>42</v>
      </c>
      <c r="AD44">
        <v>1185</v>
      </c>
      <c r="AE44">
        <v>4631</v>
      </c>
      <c r="AF44">
        <v>32</v>
      </c>
      <c r="AG44">
        <v>23429</v>
      </c>
      <c r="AH44">
        <v>22711</v>
      </c>
      <c r="AI44">
        <v>159</v>
      </c>
      <c r="AJ44">
        <v>25</v>
      </c>
      <c r="AK44">
        <v>21878</v>
      </c>
      <c r="AL44">
        <v>11267</v>
      </c>
      <c r="AM44">
        <v>51</v>
      </c>
      <c r="AN44">
        <v>8299</v>
      </c>
      <c r="AO44">
        <v>1106</v>
      </c>
      <c r="AP44">
        <v>6642</v>
      </c>
      <c r="AQ44">
        <v>2226</v>
      </c>
      <c r="AR44">
        <v>2217</v>
      </c>
      <c r="AS44">
        <v>1184</v>
      </c>
      <c r="AT44">
        <v>483</v>
      </c>
      <c r="AU44">
        <v>9826</v>
      </c>
      <c r="AV44">
        <v>2509</v>
      </c>
      <c r="AW44">
        <v>278</v>
      </c>
      <c r="AX44">
        <v>3117</v>
      </c>
      <c r="AY44">
        <v>1572</v>
      </c>
      <c r="AZ44">
        <v>1232</v>
      </c>
      <c r="BA44">
        <v>6037</v>
      </c>
      <c r="BB44">
        <v>5498</v>
      </c>
      <c r="BC44">
        <v>3</v>
      </c>
    </row>
    <row r="45" spans="1:55">
      <c r="A45" s="1">
        <v>1033</v>
      </c>
      <c r="B45" s="1" t="s">
        <v>32</v>
      </c>
      <c r="C45" t="s">
        <v>181</v>
      </c>
      <c r="D45">
        <v>128942</v>
      </c>
      <c r="E45">
        <v>125796</v>
      </c>
      <c r="F45">
        <v>122517</v>
      </c>
      <c r="G45">
        <v>55016</v>
      </c>
      <c r="H45">
        <v>301</v>
      </c>
      <c r="I45">
        <v>298</v>
      </c>
      <c r="J45">
        <v>283</v>
      </c>
      <c r="K45">
        <v>281</v>
      </c>
      <c r="L45">
        <v>280</v>
      </c>
      <c r="M45">
        <v>108</v>
      </c>
      <c r="N45">
        <v>26</v>
      </c>
      <c r="O45">
        <v>0</v>
      </c>
      <c r="P45">
        <v>0</v>
      </c>
      <c r="Q45">
        <v>39045</v>
      </c>
      <c r="R45">
        <v>4140</v>
      </c>
      <c r="S45">
        <v>33986</v>
      </c>
      <c r="T45">
        <v>1626</v>
      </c>
      <c r="U45">
        <v>2000</v>
      </c>
      <c r="V45">
        <v>4095</v>
      </c>
      <c r="W45">
        <v>14520</v>
      </c>
      <c r="X45">
        <v>1992</v>
      </c>
      <c r="Y45">
        <v>1773</v>
      </c>
      <c r="Z45">
        <v>6444</v>
      </c>
      <c r="AA45">
        <v>629</v>
      </c>
      <c r="AB45">
        <v>4481</v>
      </c>
      <c r="AC45">
        <v>135</v>
      </c>
      <c r="AD45">
        <v>4076</v>
      </c>
      <c r="AE45">
        <v>10491</v>
      </c>
      <c r="AF45">
        <v>85</v>
      </c>
      <c r="AG45">
        <v>15102</v>
      </c>
      <c r="AH45">
        <v>13977</v>
      </c>
      <c r="AI45">
        <v>190</v>
      </c>
      <c r="AJ45">
        <v>90</v>
      </c>
      <c r="AK45">
        <v>13318</v>
      </c>
      <c r="AL45">
        <v>7793</v>
      </c>
      <c r="AM45">
        <v>38</v>
      </c>
      <c r="AN45">
        <v>1699</v>
      </c>
      <c r="AO45">
        <v>286</v>
      </c>
      <c r="AP45">
        <v>1342</v>
      </c>
      <c r="AQ45">
        <v>5530</v>
      </c>
      <c r="AR45">
        <v>5493</v>
      </c>
      <c r="AS45">
        <v>1408</v>
      </c>
      <c r="AT45">
        <v>199</v>
      </c>
      <c r="AU45">
        <v>5054</v>
      </c>
      <c r="AV45">
        <v>2254</v>
      </c>
      <c r="AW45">
        <v>122</v>
      </c>
      <c r="AX45">
        <v>345</v>
      </c>
      <c r="AY45">
        <v>241</v>
      </c>
      <c r="AZ45">
        <v>81</v>
      </c>
      <c r="BA45">
        <v>4510</v>
      </c>
      <c r="BB45">
        <v>3052</v>
      </c>
      <c r="BC45">
        <v>68</v>
      </c>
    </row>
    <row r="46" spans="1:55">
      <c r="A46" s="1">
        <v>1046</v>
      </c>
      <c r="B46" s="1" t="s">
        <v>32</v>
      </c>
      <c r="C46" t="s">
        <v>184</v>
      </c>
      <c r="D46">
        <v>56307</v>
      </c>
      <c r="E46">
        <v>54235</v>
      </c>
      <c r="F46">
        <v>51105</v>
      </c>
      <c r="G46">
        <v>22098</v>
      </c>
      <c r="H46">
        <v>517</v>
      </c>
      <c r="I46">
        <v>514</v>
      </c>
      <c r="J46">
        <v>504</v>
      </c>
      <c r="K46">
        <v>504</v>
      </c>
      <c r="L46">
        <v>504</v>
      </c>
      <c r="M46">
        <v>189</v>
      </c>
      <c r="N46">
        <v>227</v>
      </c>
      <c r="O46">
        <v>0</v>
      </c>
      <c r="P46">
        <v>3</v>
      </c>
      <c r="Q46">
        <v>12597</v>
      </c>
      <c r="R46">
        <v>2186</v>
      </c>
      <c r="S46">
        <v>10164</v>
      </c>
      <c r="T46">
        <v>291</v>
      </c>
      <c r="U46">
        <v>61</v>
      </c>
      <c r="V46">
        <v>282</v>
      </c>
      <c r="W46">
        <v>3959</v>
      </c>
      <c r="X46">
        <v>933</v>
      </c>
      <c r="Y46">
        <v>881</v>
      </c>
      <c r="Z46">
        <v>3178</v>
      </c>
      <c r="AA46">
        <v>335</v>
      </c>
      <c r="AB46">
        <v>2062</v>
      </c>
      <c r="AC46">
        <v>35</v>
      </c>
      <c r="AD46">
        <v>1962</v>
      </c>
      <c r="AE46">
        <v>2148</v>
      </c>
      <c r="AF46">
        <v>14</v>
      </c>
      <c r="AG46">
        <v>8581</v>
      </c>
      <c r="AH46">
        <v>8229</v>
      </c>
      <c r="AI46">
        <v>43</v>
      </c>
      <c r="AJ46">
        <v>38</v>
      </c>
      <c r="AK46">
        <v>7908</v>
      </c>
      <c r="AL46">
        <v>2686</v>
      </c>
      <c r="AM46">
        <v>17</v>
      </c>
      <c r="AN46">
        <v>1511</v>
      </c>
      <c r="AO46">
        <v>151</v>
      </c>
      <c r="AP46">
        <v>1271</v>
      </c>
      <c r="AQ46">
        <v>1026</v>
      </c>
      <c r="AR46">
        <v>1019</v>
      </c>
      <c r="AS46">
        <v>314</v>
      </c>
      <c r="AT46">
        <v>115</v>
      </c>
      <c r="AU46">
        <v>4848</v>
      </c>
      <c r="AV46">
        <v>1584</v>
      </c>
      <c r="AW46">
        <v>153</v>
      </c>
      <c r="AX46">
        <v>1063</v>
      </c>
      <c r="AY46">
        <v>433</v>
      </c>
      <c r="AZ46">
        <v>543</v>
      </c>
      <c r="BA46">
        <v>3560</v>
      </c>
      <c r="BB46">
        <v>3103</v>
      </c>
      <c r="BC46">
        <v>9</v>
      </c>
    </row>
    <row r="47" spans="1:55">
      <c r="A47" s="1">
        <v>1047</v>
      </c>
      <c r="B47" s="1" t="s">
        <v>32</v>
      </c>
      <c r="C47" t="s">
        <v>185</v>
      </c>
      <c r="D47">
        <v>78807</v>
      </c>
      <c r="E47">
        <v>74432</v>
      </c>
      <c r="F47">
        <v>72740</v>
      </c>
      <c r="G47">
        <v>51195</v>
      </c>
      <c r="H47">
        <v>531</v>
      </c>
      <c r="I47">
        <v>515</v>
      </c>
      <c r="J47">
        <v>491</v>
      </c>
      <c r="K47">
        <v>488</v>
      </c>
      <c r="L47">
        <v>487</v>
      </c>
      <c r="M47">
        <v>167</v>
      </c>
      <c r="N47">
        <v>256</v>
      </c>
      <c r="O47">
        <v>11</v>
      </c>
      <c r="P47">
        <v>6</v>
      </c>
      <c r="Q47">
        <v>33201</v>
      </c>
      <c r="R47">
        <v>2892</v>
      </c>
      <c r="S47">
        <v>28840</v>
      </c>
      <c r="T47">
        <v>1075</v>
      </c>
      <c r="U47">
        <v>491</v>
      </c>
      <c r="V47">
        <v>4550</v>
      </c>
      <c r="W47">
        <v>13389</v>
      </c>
      <c r="X47">
        <v>4064</v>
      </c>
      <c r="Y47">
        <v>3859</v>
      </c>
      <c r="Z47">
        <v>5159</v>
      </c>
      <c r="AA47">
        <v>485</v>
      </c>
      <c r="AB47">
        <v>3925</v>
      </c>
      <c r="AC47">
        <v>111</v>
      </c>
      <c r="AD47">
        <v>3465</v>
      </c>
      <c r="AE47">
        <v>8058</v>
      </c>
      <c r="AF47">
        <v>81</v>
      </c>
      <c r="AG47">
        <v>16336</v>
      </c>
      <c r="AH47">
        <v>15513</v>
      </c>
      <c r="AI47">
        <v>199</v>
      </c>
      <c r="AJ47">
        <v>133</v>
      </c>
      <c r="AK47">
        <v>14466</v>
      </c>
      <c r="AL47">
        <v>7424</v>
      </c>
      <c r="AM47">
        <v>187</v>
      </c>
      <c r="AN47">
        <v>3483</v>
      </c>
      <c r="AO47">
        <v>714</v>
      </c>
      <c r="AP47">
        <v>2585</v>
      </c>
      <c r="AQ47">
        <v>3166</v>
      </c>
      <c r="AR47">
        <v>3130</v>
      </c>
      <c r="AS47">
        <v>690</v>
      </c>
      <c r="AT47">
        <v>136</v>
      </c>
      <c r="AU47">
        <v>5861</v>
      </c>
      <c r="AV47">
        <v>1647</v>
      </c>
      <c r="AW47">
        <v>146</v>
      </c>
      <c r="AX47">
        <v>1485</v>
      </c>
      <c r="AY47">
        <v>621</v>
      </c>
      <c r="AZ47">
        <v>786</v>
      </c>
      <c r="BA47">
        <v>3817</v>
      </c>
      <c r="BB47">
        <v>3168</v>
      </c>
      <c r="BC47">
        <v>16</v>
      </c>
    </row>
    <row r="48" spans="1:55">
      <c r="A48" s="1">
        <v>1050</v>
      </c>
      <c r="B48" s="1" t="s">
        <v>32</v>
      </c>
      <c r="C48" t="s">
        <v>187</v>
      </c>
      <c r="D48">
        <v>237179</v>
      </c>
      <c r="E48">
        <v>231914</v>
      </c>
      <c r="F48">
        <v>230665</v>
      </c>
      <c r="G48">
        <v>209161</v>
      </c>
      <c r="H48">
        <v>3077</v>
      </c>
      <c r="I48">
        <v>3064</v>
      </c>
      <c r="J48">
        <v>2986</v>
      </c>
      <c r="K48">
        <v>2983</v>
      </c>
      <c r="L48">
        <v>2980</v>
      </c>
      <c r="M48">
        <v>2256</v>
      </c>
      <c r="N48">
        <v>362</v>
      </c>
      <c r="O48">
        <v>7</v>
      </c>
      <c r="P48">
        <v>9</v>
      </c>
      <c r="Q48">
        <v>127011</v>
      </c>
      <c r="R48">
        <v>18926</v>
      </c>
      <c r="S48">
        <v>105764</v>
      </c>
      <c r="T48">
        <v>2370</v>
      </c>
      <c r="U48">
        <v>13138</v>
      </c>
      <c r="V48">
        <v>32213</v>
      </c>
      <c r="W48">
        <v>36972</v>
      </c>
      <c r="X48">
        <v>13681</v>
      </c>
      <c r="Y48">
        <v>13401</v>
      </c>
      <c r="Z48">
        <v>10738</v>
      </c>
      <c r="AA48">
        <v>1116</v>
      </c>
      <c r="AB48">
        <v>5687</v>
      </c>
      <c r="AC48">
        <v>739</v>
      </c>
      <c r="AD48">
        <v>4547</v>
      </c>
      <c r="AE48">
        <v>51864</v>
      </c>
      <c r="AF48">
        <v>237</v>
      </c>
      <c r="AG48">
        <v>77456</v>
      </c>
      <c r="AH48">
        <v>75151</v>
      </c>
      <c r="AI48">
        <v>1121</v>
      </c>
      <c r="AJ48">
        <v>307</v>
      </c>
      <c r="AK48">
        <v>69637</v>
      </c>
      <c r="AL48">
        <v>50709</v>
      </c>
      <c r="AM48">
        <v>521</v>
      </c>
      <c r="AN48">
        <v>36379</v>
      </c>
      <c r="AO48">
        <v>8695</v>
      </c>
      <c r="AP48">
        <v>25200</v>
      </c>
      <c r="AQ48">
        <v>9572</v>
      </c>
      <c r="AR48">
        <v>9516</v>
      </c>
      <c r="AS48">
        <v>2422</v>
      </c>
      <c r="AT48">
        <v>763</v>
      </c>
      <c r="AU48">
        <v>15914</v>
      </c>
      <c r="AV48">
        <v>4566</v>
      </c>
      <c r="AW48">
        <v>334</v>
      </c>
      <c r="AX48">
        <v>5439</v>
      </c>
      <c r="AY48">
        <v>1891</v>
      </c>
      <c r="AZ48">
        <v>3289</v>
      </c>
      <c r="BA48">
        <v>9250</v>
      </c>
      <c r="BB48">
        <v>7752</v>
      </c>
      <c r="BC48">
        <v>15</v>
      </c>
    </row>
    <row r="49" spans="1:55">
      <c r="A49" s="1">
        <v>1066</v>
      </c>
      <c r="B49" s="1" t="s">
        <v>32</v>
      </c>
      <c r="C49" t="s">
        <v>190</v>
      </c>
      <c r="D49">
        <v>137438</v>
      </c>
      <c r="E49">
        <v>134002</v>
      </c>
      <c r="F49">
        <v>128884</v>
      </c>
      <c r="G49">
        <v>106643</v>
      </c>
      <c r="H49">
        <v>61</v>
      </c>
      <c r="I49">
        <v>60</v>
      </c>
      <c r="J49">
        <v>57</v>
      </c>
      <c r="K49">
        <v>56</v>
      </c>
      <c r="L49">
        <v>53</v>
      </c>
      <c r="M49">
        <v>19</v>
      </c>
      <c r="N49">
        <v>28</v>
      </c>
      <c r="O49">
        <v>0</v>
      </c>
      <c r="P49">
        <v>1</v>
      </c>
      <c r="Q49">
        <v>45445</v>
      </c>
      <c r="R49">
        <v>10135</v>
      </c>
      <c r="S49">
        <v>34601</v>
      </c>
      <c r="T49">
        <v>614</v>
      </c>
      <c r="U49">
        <v>216</v>
      </c>
      <c r="V49">
        <v>2254</v>
      </c>
      <c r="W49">
        <v>24333</v>
      </c>
      <c r="X49">
        <v>13588</v>
      </c>
      <c r="Y49">
        <v>12140</v>
      </c>
      <c r="Z49">
        <v>2310</v>
      </c>
      <c r="AA49">
        <v>100</v>
      </c>
      <c r="AB49">
        <v>1349</v>
      </c>
      <c r="AC49">
        <v>19</v>
      </c>
      <c r="AD49">
        <v>1281</v>
      </c>
      <c r="AE49">
        <v>5553</v>
      </c>
      <c r="AF49">
        <v>239</v>
      </c>
      <c r="AG49">
        <v>60081</v>
      </c>
      <c r="AH49">
        <v>58737</v>
      </c>
      <c r="AI49">
        <v>3124</v>
      </c>
      <c r="AJ49">
        <v>425</v>
      </c>
      <c r="AK49">
        <v>47576</v>
      </c>
      <c r="AL49">
        <v>27536</v>
      </c>
      <c r="AM49">
        <v>307</v>
      </c>
      <c r="AN49">
        <v>8699</v>
      </c>
      <c r="AO49">
        <v>219</v>
      </c>
      <c r="AP49">
        <v>8348</v>
      </c>
      <c r="AQ49">
        <v>16660</v>
      </c>
      <c r="AR49">
        <v>16637</v>
      </c>
      <c r="AS49">
        <v>9363</v>
      </c>
      <c r="AT49">
        <v>6646</v>
      </c>
      <c r="AU49">
        <v>14814</v>
      </c>
      <c r="AV49">
        <v>8343</v>
      </c>
      <c r="AW49">
        <v>5066</v>
      </c>
      <c r="AX49">
        <v>3378</v>
      </c>
      <c r="AY49">
        <v>2715</v>
      </c>
      <c r="AZ49">
        <v>495</v>
      </c>
      <c r="BA49">
        <v>10383</v>
      </c>
      <c r="BB49">
        <v>10165</v>
      </c>
      <c r="BC49">
        <v>15</v>
      </c>
    </row>
    <row r="50" spans="1:55">
      <c r="A50" s="1">
        <v>1086</v>
      </c>
      <c r="B50" s="1" t="s">
        <v>32</v>
      </c>
      <c r="C50" t="s">
        <v>193</v>
      </c>
      <c r="D50">
        <v>141672</v>
      </c>
      <c r="E50">
        <v>138657</v>
      </c>
      <c r="F50">
        <v>125312</v>
      </c>
      <c r="G50">
        <v>78685</v>
      </c>
      <c r="H50">
        <v>595</v>
      </c>
      <c r="I50">
        <v>589</v>
      </c>
      <c r="J50">
        <v>548</v>
      </c>
      <c r="K50">
        <v>548</v>
      </c>
      <c r="L50">
        <v>546</v>
      </c>
      <c r="M50">
        <v>278</v>
      </c>
      <c r="N50">
        <v>174</v>
      </c>
      <c r="O50">
        <v>11</v>
      </c>
      <c r="P50">
        <v>6</v>
      </c>
      <c r="Q50">
        <v>37666</v>
      </c>
      <c r="R50">
        <v>5139</v>
      </c>
      <c r="S50">
        <v>31471</v>
      </c>
      <c r="T50">
        <v>2202</v>
      </c>
      <c r="U50">
        <v>1234</v>
      </c>
      <c r="V50">
        <v>3050</v>
      </c>
      <c r="W50">
        <v>10114</v>
      </c>
      <c r="X50">
        <v>4354</v>
      </c>
      <c r="Y50">
        <v>4324</v>
      </c>
      <c r="Z50">
        <v>3195</v>
      </c>
      <c r="AA50">
        <v>525</v>
      </c>
      <c r="AB50">
        <v>2041</v>
      </c>
      <c r="AC50">
        <v>427</v>
      </c>
      <c r="AD50">
        <v>1313</v>
      </c>
      <c r="AE50">
        <v>15723</v>
      </c>
      <c r="AF50">
        <v>103</v>
      </c>
      <c r="AG50">
        <v>39612</v>
      </c>
      <c r="AH50">
        <v>37410</v>
      </c>
      <c r="AI50">
        <v>102</v>
      </c>
      <c r="AJ50">
        <v>81</v>
      </c>
      <c r="AK50">
        <v>36835</v>
      </c>
      <c r="AL50">
        <v>27029</v>
      </c>
      <c r="AM50">
        <v>267</v>
      </c>
      <c r="AN50">
        <v>13443</v>
      </c>
      <c r="AO50">
        <v>6109</v>
      </c>
      <c r="AP50">
        <v>6532</v>
      </c>
      <c r="AQ50">
        <v>10474</v>
      </c>
      <c r="AR50">
        <v>10265</v>
      </c>
      <c r="AS50">
        <v>1376</v>
      </c>
      <c r="AT50">
        <v>327</v>
      </c>
      <c r="AU50">
        <v>8272</v>
      </c>
      <c r="AV50">
        <v>1367</v>
      </c>
      <c r="AW50">
        <v>142</v>
      </c>
      <c r="AX50">
        <v>2308</v>
      </c>
      <c r="AY50">
        <v>879</v>
      </c>
      <c r="AZ50">
        <v>1341</v>
      </c>
      <c r="BA50">
        <v>5192</v>
      </c>
      <c r="BB50">
        <v>4347</v>
      </c>
      <c r="BC50">
        <v>11</v>
      </c>
    </row>
    <row r="51" spans="1:55">
      <c r="A51" s="1">
        <v>1090</v>
      </c>
      <c r="B51" s="1" t="s">
        <v>32</v>
      </c>
      <c r="C51" t="s">
        <v>194</v>
      </c>
      <c r="D51">
        <v>41092</v>
      </c>
      <c r="E51">
        <v>39807</v>
      </c>
      <c r="F51">
        <v>35649</v>
      </c>
      <c r="G51">
        <v>19175</v>
      </c>
      <c r="H51">
        <v>41</v>
      </c>
      <c r="I51">
        <v>41</v>
      </c>
      <c r="J51">
        <v>38</v>
      </c>
      <c r="K51">
        <v>38</v>
      </c>
      <c r="L51">
        <v>38</v>
      </c>
      <c r="M51">
        <v>10</v>
      </c>
      <c r="N51">
        <v>21</v>
      </c>
      <c r="O51">
        <v>0</v>
      </c>
      <c r="P51">
        <v>0</v>
      </c>
      <c r="Q51">
        <v>7660</v>
      </c>
      <c r="R51">
        <v>1324</v>
      </c>
      <c r="S51">
        <v>5952</v>
      </c>
      <c r="T51">
        <v>440</v>
      </c>
      <c r="U51">
        <v>438</v>
      </c>
      <c r="V51">
        <v>1323</v>
      </c>
      <c r="W51">
        <v>1408</v>
      </c>
      <c r="X51">
        <v>181</v>
      </c>
      <c r="Y51">
        <v>164</v>
      </c>
      <c r="Z51">
        <v>498</v>
      </c>
      <c r="AA51">
        <v>64</v>
      </c>
      <c r="AB51">
        <v>354</v>
      </c>
      <c r="AC51">
        <v>26</v>
      </c>
      <c r="AD51">
        <v>323</v>
      </c>
      <c r="AE51">
        <v>3864</v>
      </c>
      <c r="AF51">
        <v>61</v>
      </c>
      <c r="AG51">
        <v>11359</v>
      </c>
      <c r="AH51">
        <v>10572</v>
      </c>
      <c r="AI51">
        <v>87</v>
      </c>
      <c r="AJ51">
        <v>33</v>
      </c>
      <c r="AK51">
        <v>10151</v>
      </c>
      <c r="AL51">
        <v>6357</v>
      </c>
      <c r="AM51">
        <v>11</v>
      </c>
      <c r="AN51">
        <v>3529</v>
      </c>
      <c r="AO51">
        <v>1224</v>
      </c>
      <c r="AP51">
        <v>1968</v>
      </c>
      <c r="AQ51">
        <v>2414</v>
      </c>
      <c r="AR51">
        <v>2321</v>
      </c>
      <c r="AS51">
        <v>627</v>
      </c>
      <c r="AT51">
        <v>252</v>
      </c>
      <c r="AU51">
        <v>3091</v>
      </c>
      <c r="AV51">
        <v>438</v>
      </c>
      <c r="AW51">
        <v>110</v>
      </c>
      <c r="AX51">
        <v>1389</v>
      </c>
      <c r="AY51">
        <v>296</v>
      </c>
      <c r="AZ51">
        <v>953</v>
      </c>
      <c r="BA51">
        <v>1594</v>
      </c>
      <c r="BB51">
        <v>1191</v>
      </c>
      <c r="BC51">
        <v>75</v>
      </c>
    </row>
    <row r="52" spans="1:55">
      <c r="A52" s="1">
        <v>1096</v>
      </c>
      <c r="B52" s="1" t="s">
        <v>32</v>
      </c>
      <c r="C52" t="s">
        <v>196</v>
      </c>
      <c r="D52">
        <v>140014</v>
      </c>
      <c r="E52">
        <v>136628</v>
      </c>
      <c r="F52">
        <v>130636</v>
      </c>
      <c r="G52">
        <v>82533</v>
      </c>
      <c r="H52">
        <v>339</v>
      </c>
      <c r="I52">
        <v>329</v>
      </c>
      <c r="J52">
        <v>322</v>
      </c>
      <c r="K52">
        <v>322</v>
      </c>
      <c r="L52">
        <v>322</v>
      </c>
      <c r="M52">
        <v>73</v>
      </c>
      <c r="N52">
        <v>228</v>
      </c>
      <c r="O52">
        <v>0</v>
      </c>
      <c r="P52">
        <v>0</v>
      </c>
      <c r="Q52">
        <v>23516</v>
      </c>
      <c r="R52">
        <v>6520</v>
      </c>
      <c r="S52">
        <v>16266</v>
      </c>
      <c r="T52">
        <v>1973</v>
      </c>
      <c r="U52">
        <v>863</v>
      </c>
      <c r="V52">
        <v>977</v>
      </c>
      <c r="W52">
        <v>5758</v>
      </c>
      <c r="X52">
        <v>937</v>
      </c>
      <c r="Y52">
        <v>837</v>
      </c>
      <c r="Z52">
        <v>2712</v>
      </c>
      <c r="AA52">
        <v>509</v>
      </c>
      <c r="AB52">
        <v>1770</v>
      </c>
      <c r="AC52">
        <v>18</v>
      </c>
      <c r="AD52">
        <v>1740</v>
      </c>
      <c r="AE52">
        <v>6761</v>
      </c>
      <c r="AF52">
        <v>275</v>
      </c>
      <c r="AG52">
        <v>57683</v>
      </c>
      <c r="AH52">
        <v>52269</v>
      </c>
      <c r="AI52">
        <v>130</v>
      </c>
      <c r="AJ52">
        <v>1611</v>
      </c>
      <c r="AK52">
        <v>49046</v>
      </c>
      <c r="AL52">
        <v>12970</v>
      </c>
      <c r="AM52">
        <v>13</v>
      </c>
      <c r="AN52">
        <v>3871</v>
      </c>
      <c r="AO52">
        <v>1049</v>
      </c>
      <c r="AP52">
        <v>2647</v>
      </c>
      <c r="AQ52">
        <v>7888</v>
      </c>
      <c r="AR52">
        <v>7795</v>
      </c>
      <c r="AS52">
        <v>883</v>
      </c>
      <c r="AT52">
        <v>137</v>
      </c>
      <c r="AU52">
        <v>34269</v>
      </c>
      <c r="AV52">
        <v>3056</v>
      </c>
      <c r="AW52">
        <v>385</v>
      </c>
      <c r="AX52">
        <v>3845</v>
      </c>
      <c r="AY52">
        <v>1948</v>
      </c>
      <c r="AZ52">
        <v>1646</v>
      </c>
      <c r="BA52">
        <v>29139</v>
      </c>
      <c r="BB52">
        <v>18363</v>
      </c>
      <c r="BC52">
        <v>94</v>
      </c>
    </row>
    <row r="53" spans="1:55">
      <c r="A53" s="1">
        <v>1097</v>
      </c>
      <c r="B53" s="1" t="s">
        <v>32</v>
      </c>
      <c r="C53" t="s">
        <v>197</v>
      </c>
      <c r="D53">
        <v>241814</v>
      </c>
      <c r="E53">
        <v>235966</v>
      </c>
      <c r="F53">
        <v>231326</v>
      </c>
      <c r="G53">
        <v>203103</v>
      </c>
      <c r="H53">
        <v>561</v>
      </c>
      <c r="I53">
        <v>555</v>
      </c>
      <c r="J53">
        <v>519</v>
      </c>
      <c r="K53">
        <v>518</v>
      </c>
      <c r="L53">
        <v>518</v>
      </c>
      <c r="M53">
        <v>261</v>
      </c>
      <c r="N53">
        <v>207</v>
      </c>
      <c r="O53">
        <v>5</v>
      </c>
      <c r="P53">
        <v>4</v>
      </c>
      <c r="Q53">
        <v>61057</v>
      </c>
      <c r="R53">
        <v>15743</v>
      </c>
      <c r="S53">
        <v>43266</v>
      </c>
      <c r="T53">
        <v>2389</v>
      </c>
      <c r="U53">
        <v>2167</v>
      </c>
      <c r="V53">
        <v>8253</v>
      </c>
      <c r="W53">
        <v>15622</v>
      </c>
      <c r="X53">
        <v>7357</v>
      </c>
      <c r="Y53">
        <v>7000</v>
      </c>
      <c r="Z53">
        <v>4079</v>
      </c>
      <c r="AA53">
        <v>567</v>
      </c>
      <c r="AB53">
        <v>2803</v>
      </c>
      <c r="AC53">
        <v>110</v>
      </c>
      <c r="AD53">
        <v>2555</v>
      </c>
      <c r="AE53">
        <v>21514</v>
      </c>
      <c r="AF53">
        <v>188</v>
      </c>
      <c r="AG53">
        <v>140609</v>
      </c>
      <c r="AH53">
        <v>131588</v>
      </c>
      <c r="AI53">
        <v>435</v>
      </c>
      <c r="AJ53">
        <v>1690</v>
      </c>
      <c r="AK53">
        <v>125826</v>
      </c>
      <c r="AL53">
        <v>37448</v>
      </c>
      <c r="AM53">
        <v>439</v>
      </c>
      <c r="AN53">
        <v>18452</v>
      </c>
      <c r="AO53">
        <v>4486</v>
      </c>
      <c r="AP53">
        <v>12779</v>
      </c>
      <c r="AQ53">
        <v>15065</v>
      </c>
      <c r="AR53">
        <v>14964</v>
      </c>
      <c r="AS53">
        <v>5618</v>
      </c>
      <c r="AT53">
        <v>908</v>
      </c>
      <c r="AU53">
        <v>83703</v>
      </c>
      <c r="AV53">
        <v>13383</v>
      </c>
      <c r="AW53">
        <v>1164</v>
      </c>
      <c r="AX53">
        <v>5172</v>
      </c>
      <c r="AY53">
        <v>2123</v>
      </c>
      <c r="AZ53">
        <v>2777</v>
      </c>
      <c r="BA53">
        <v>76629</v>
      </c>
      <c r="BB53">
        <v>53362</v>
      </c>
      <c r="BC53">
        <v>1213</v>
      </c>
    </row>
    <row r="54" spans="1:55">
      <c r="A54" s="1">
        <v>1103</v>
      </c>
      <c r="B54" s="1" t="s">
        <v>32</v>
      </c>
      <c r="C54" t="s">
        <v>199</v>
      </c>
      <c r="D54">
        <v>247391</v>
      </c>
      <c r="E54">
        <v>242168</v>
      </c>
      <c r="F54">
        <v>230207</v>
      </c>
      <c r="G54">
        <v>70991</v>
      </c>
      <c r="H54">
        <v>676</v>
      </c>
      <c r="I54">
        <v>667</v>
      </c>
      <c r="J54">
        <v>646</v>
      </c>
      <c r="K54">
        <v>641</v>
      </c>
      <c r="L54">
        <v>640</v>
      </c>
      <c r="M54">
        <v>333</v>
      </c>
      <c r="N54">
        <v>54</v>
      </c>
      <c r="O54">
        <v>1</v>
      </c>
      <c r="P54">
        <v>0</v>
      </c>
      <c r="Q54">
        <v>48230</v>
      </c>
      <c r="R54">
        <v>10275</v>
      </c>
      <c r="S54">
        <v>36279</v>
      </c>
      <c r="T54">
        <v>483</v>
      </c>
      <c r="U54">
        <v>982</v>
      </c>
      <c r="V54">
        <v>5163</v>
      </c>
      <c r="W54">
        <v>18338</v>
      </c>
      <c r="X54">
        <v>7129</v>
      </c>
      <c r="Y54">
        <v>6591</v>
      </c>
      <c r="Z54">
        <v>6108</v>
      </c>
      <c r="AA54">
        <v>1259</v>
      </c>
      <c r="AB54">
        <v>3676</v>
      </c>
      <c r="AC54">
        <v>246</v>
      </c>
      <c r="AD54">
        <v>3013</v>
      </c>
      <c r="AE54">
        <v>9052</v>
      </c>
      <c r="AF54">
        <v>67</v>
      </c>
      <c r="AG54">
        <v>21111</v>
      </c>
      <c r="AH54">
        <v>18991</v>
      </c>
      <c r="AI54">
        <v>106</v>
      </c>
      <c r="AJ54">
        <v>341</v>
      </c>
      <c r="AK54">
        <v>18080</v>
      </c>
      <c r="AL54">
        <v>8542</v>
      </c>
      <c r="AM54">
        <v>57</v>
      </c>
      <c r="AN54">
        <v>2952</v>
      </c>
      <c r="AO54">
        <v>1678</v>
      </c>
      <c r="AP54">
        <v>1019</v>
      </c>
      <c r="AQ54">
        <v>4583</v>
      </c>
      <c r="AR54">
        <v>4241</v>
      </c>
      <c r="AS54">
        <v>1066</v>
      </c>
      <c r="AT54">
        <v>114</v>
      </c>
      <c r="AU54">
        <v>9039</v>
      </c>
      <c r="AV54">
        <v>3324</v>
      </c>
      <c r="AW54">
        <v>166</v>
      </c>
      <c r="AX54">
        <v>406</v>
      </c>
      <c r="AY54">
        <v>172</v>
      </c>
      <c r="AZ54">
        <v>196</v>
      </c>
      <c r="BA54">
        <v>8250</v>
      </c>
      <c r="BB54">
        <v>5610</v>
      </c>
      <c r="BC54">
        <v>55</v>
      </c>
    </row>
    <row r="55" spans="1:55">
      <c r="A55" s="1">
        <v>1107</v>
      </c>
      <c r="B55" s="1" t="s">
        <v>32</v>
      </c>
      <c r="C55" t="s">
        <v>200</v>
      </c>
      <c r="D55">
        <v>19490</v>
      </c>
      <c r="E55">
        <v>18962</v>
      </c>
      <c r="F55">
        <v>18555</v>
      </c>
      <c r="G55">
        <v>10768</v>
      </c>
      <c r="H55">
        <v>213</v>
      </c>
      <c r="I55">
        <v>213</v>
      </c>
      <c r="J55">
        <v>203</v>
      </c>
      <c r="K55">
        <v>203</v>
      </c>
      <c r="L55">
        <v>201</v>
      </c>
      <c r="M55">
        <v>88</v>
      </c>
      <c r="N55">
        <v>66</v>
      </c>
      <c r="O55">
        <v>2</v>
      </c>
      <c r="P55">
        <v>1</v>
      </c>
      <c r="Q55">
        <v>6545</v>
      </c>
      <c r="R55">
        <v>1565</v>
      </c>
      <c r="S55">
        <v>4632</v>
      </c>
      <c r="T55">
        <v>133</v>
      </c>
      <c r="U55">
        <v>83</v>
      </c>
      <c r="V55">
        <v>162</v>
      </c>
      <c r="W55">
        <v>1795</v>
      </c>
      <c r="X55">
        <v>1116</v>
      </c>
      <c r="Y55">
        <v>1099</v>
      </c>
      <c r="Z55">
        <v>725</v>
      </c>
      <c r="AA55">
        <v>33</v>
      </c>
      <c r="AB55">
        <v>594</v>
      </c>
      <c r="AC55">
        <v>34</v>
      </c>
      <c r="AD55">
        <v>500</v>
      </c>
      <c r="AE55">
        <v>1551</v>
      </c>
      <c r="AF55">
        <v>24</v>
      </c>
      <c r="AG55">
        <v>3766</v>
      </c>
      <c r="AH55">
        <v>3534</v>
      </c>
      <c r="AI55">
        <v>15</v>
      </c>
      <c r="AJ55">
        <v>112</v>
      </c>
      <c r="AK55">
        <v>3213</v>
      </c>
      <c r="AL55">
        <v>1457</v>
      </c>
      <c r="AM55">
        <v>23</v>
      </c>
      <c r="AN55">
        <v>500</v>
      </c>
      <c r="AO55">
        <v>40</v>
      </c>
      <c r="AP55">
        <v>450</v>
      </c>
      <c r="AQ55">
        <v>811</v>
      </c>
      <c r="AR55">
        <v>808</v>
      </c>
      <c r="AS55">
        <v>163</v>
      </c>
      <c r="AT55">
        <v>37</v>
      </c>
      <c r="AU55">
        <v>1547</v>
      </c>
      <c r="AV55">
        <v>346</v>
      </c>
      <c r="AW55">
        <v>27</v>
      </c>
      <c r="AX55">
        <v>240</v>
      </c>
      <c r="AY55">
        <v>190</v>
      </c>
      <c r="AZ55">
        <v>40</v>
      </c>
      <c r="BA55">
        <v>1162</v>
      </c>
      <c r="BB55">
        <v>1009</v>
      </c>
      <c r="BC55">
        <v>7</v>
      </c>
    </row>
    <row r="56" spans="1:55">
      <c r="A56" s="1">
        <v>1118</v>
      </c>
      <c r="B56" s="1" t="s">
        <v>32</v>
      </c>
      <c r="C56" t="s">
        <v>201</v>
      </c>
      <c r="D56">
        <v>122549</v>
      </c>
      <c r="E56">
        <v>120601</v>
      </c>
      <c r="F56">
        <v>112566</v>
      </c>
      <c r="G56">
        <v>82654</v>
      </c>
      <c r="H56">
        <v>337</v>
      </c>
      <c r="I56">
        <v>336</v>
      </c>
      <c r="J56">
        <v>313</v>
      </c>
      <c r="K56">
        <v>310</v>
      </c>
      <c r="L56">
        <v>310</v>
      </c>
      <c r="M56">
        <v>92</v>
      </c>
      <c r="N56">
        <v>146</v>
      </c>
      <c r="O56">
        <v>4</v>
      </c>
      <c r="P56">
        <v>1</v>
      </c>
      <c r="Q56">
        <v>24810</v>
      </c>
      <c r="R56">
        <v>4293</v>
      </c>
      <c r="S56">
        <v>19820</v>
      </c>
      <c r="T56">
        <v>700</v>
      </c>
      <c r="U56">
        <v>529</v>
      </c>
      <c r="V56">
        <v>2170</v>
      </c>
      <c r="W56">
        <v>6115</v>
      </c>
      <c r="X56">
        <v>1966</v>
      </c>
      <c r="Y56">
        <v>1867</v>
      </c>
      <c r="Z56">
        <v>3728</v>
      </c>
      <c r="AA56">
        <v>572</v>
      </c>
      <c r="AB56">
        <v>2838</v>
      </c>
      <c r="AC56">
        <v>278</v>
      </c>
      <c r="AD56">
        <v>2252</v>
      </c>
      <c r="AE56">
        <v>8684</v>
      </c>
      <c r="AF56">
        <v>441</v>
      </c>
      <c r="AG56">
        <v>56435</v>
      </c>
      <c r="AH56">
        <v>53241</v>
      </c>
      <c r="AI56">
        <v>104</v>
      </c>
      <c r="AJ56">
        <v>56</v>
      </c>
      <c r="AK56">
        <v>52619</v>
      </c>
      <c r="AL56">
        <v>32913</v>
      </c>
      <c r="AM56">
        <v>163</v>
      </c>
      <c r="AN56">
        <v>15351</v>
      </c>
      <c r="AO56">
        <v>6801</v>
      </c>
      <c r="AP56">
        <v>7526</v>
      </c>
      <c r="AQ56">
        <v>14811</v>
      </c>
      <c r="AR56">
        <v>14556</v>
      </c>
      <c r="AS56">
        <v>1260</v>
      </c>
      <c r="AT56">
        <v>391</v>
      </c>
      <c r="AU56">
        <v>15668</v>
      </c>
      <c r="AV56">
        <v>1850</v>
      </c>
      <c r="AW56">
        <v>254</v>
      </c>
      <c r="AX56">
        <v>8198</v>
      </c>
      <c r="AY56">
        <v>934</v>
      </c>
      <c r="AZ56">
        <v>6844</v>
      </c>
      <c r="BA56">
        <v>6524</v>
      </c>
      <c r="BB56">
        <v>5663</v>
      </c>
      <c r="BC56">
        <v>35</v>
      </c>
    </row>
    <row r="57" spans="1:55">
      <c r="A57" s="1">
        <v>1121</v>
      </c>
      <c r="B57" s="1" t="s">
        <v>32</v>
      </c>
      <c r="C57" t="s">
        <v>202</v>
      </c>
      <c r="D57">
        <v>205943</v>
      </c>
      <c r="E57">
        <v>200135</v>
      </c>
      <c r="F57">
        <v>194780</v>
      </c>
      <c r="G57">
        <v>141444</v>
      </c>
      <c r="H57">
        <v>200</v>
      </c>
      <c r="I57">
        <v>200</v>
      </c>
      <c r="J57">
        <v>182</v>
      </c>
      <c r="K57">
        <v>181</v>
      </c>
      <c r="L57">
        <v>179</v>
      </c>
      <c r="M57">
        <v>74</v>
      </c>
      <c r="N57">
        <v>68</v>
      </c>
      <c r="O57">
        <v>0</v>
      </c>
      <c r="P57">
        <v>6</v>
      </c>
      <c r="Q57">
        <v>73229</v>
      </c>
      <c r="R57">
        <v>14299</v>
      </c>
      <c r="S57">
        <v>57956</v>
      </c>
      <c r="T57">
        <v>2701</v>
      </c>
      <c r="U57">
        <v>1530</v>
      </c>
      <c r="V57">
        <v>5493</v>
      </c>
      <c r="W57">
        <v>27346</v>
      </c>
      <c r="X57">
        <v>8684</v>
      </c>
      <c r="Y57">
        <v>8235</v>
      </c>
      <c r="Z57">
        <v>5591</v>
      </c>
      <c r="AA57">
        <v>631</v>
      </c>
      <c r="AB57">
        <v>4571</v>
      </c>
      <c r="AC57">
        <v>1610</v>
      </c>
      <c r="AD57">
        <v>2299</v>
      </c>
      <c r="AE57">
        <v>22117</v>
      </c>
      <c r="AF57">
        <v>169</v>
      </c>
      <c r="AG57">
        <v>66838</v>
      </c>
      <c r="AH57">
        <v>63745</v>
      </c>
      <c r="AI57">
        <v>75</v>
      </c>
      <c r="AJ57">
        <v>135</v>
      </c>
      <c r="AK57">
        <v>63066</v>
      </c>
      <c r="AL57">
        <v>29342</v>
      </c>
      <c r="AM57">
        <v>372</v>
      </c>
      <c r="AN57">
        <v>10885</v>
      </c>
      <c r="AO57">
        <v>2168</v>
      </c>
      <c r="AP57">
        <v>8169</v>
      </c>
      <c r="AQ57">
        <v>15483</v>
      </c>
      <c r="AR57">
        <v>14999</v>
      </c>
      <c r="AS57">
        <v>5073</v>
      </c>
      <c r="AT57">
        <v>703</v>
      </c>
      <c r="AU57">
        <v>30667</v>
      </c>
      <c r="AV57">
        <v>6092</v>
      </c>
      <c r="AW57">
        <v>646</v>
      </c>
      <c r="AX57">
        <v>1683</v>
      </c>
      <c r="AY57">
        <v>1236</v>
      </c>
      <c r="AZ57">
        <v>402</v>
      </c>
      <c r="BA57">
        <v>27892</v>
      </c>
      <c r="BB57">
        <v>15173</v>
      </c>
      <c r="BC57">
        <v>32</v>
      </c>
    </row>
    <row r="58" spans="1:55">
      <c r="A58" s="1">
        <v>1145</v>
      </c>
      <c r="B58" s="1" t="s">
        <v>32</v>
      </c>
      <c r="C58" t="s">
        <v>203</v>
      </c>
      <c r="D58">
        <v>90582</v>
      </c>
      <c r="E58">
        <v>82483</v>
      </c>
      <c r="F58">
        <v>79796</v>
      </c>
      <c r="G58">
        <v>41808</v>
      </c>
      <c r="H58">
        <v>360</v>
      </c>
      <c r="I58">
        <v>356</v>
      </c>
      <c r="J58">
        <v>327</v>
      </c>
      <c r="K58">
        <v>325</v>
      </c>
      <c r="L58">
        <v>324</v>
      </c>
      <c r="M58">
        <v>105</v>
      </c>
      <c r="N58">
        <v>168</v>
      </c>
      <c r="O58">
        <v>7</v>
      </c>
      <c r="P58">
        <v>5</v>
      </c>
      <c r="Q58">
        <v>21382</v>
      </c>
      <c r="R58">
        <v>655</v>
      </c>
      <c r="S58">
        <v>20282</v>
      </c>
      <c r="T58">
        <v>1243</v>
      </c>
      <c r="U58">
        <v>1850</v>
      </c>
      <c r="V58">
        <v>2233</v>
      </c>
      <c r="W58">
        <v>8801</v>
      </c>
      <c r="X58">
        <v>2020</v>
      </c>
      <c r="Y58">
        <v>1965</v>
      </c>
      <c r="Z58">
        <v>3350</v>
      </c>
      <c r="AA58">
        <v>368</v>
      </c>
      <c r="AB58">
        <v>2141</v>
      </c>
      <c r="AC58">
        <v>184</v>
      </c>
      <c r="AD58">
        <v>1796</v>
      </c>
      <c r="AE58">
        <v>6732</v>
      </c>
      <c r="AF58">
        <v>25</v>
      </c>
      <c r="AG58">
        <v>19550</v>
      </c>
      <c r="AH58">
        <v>18764</v>
      </c>
      <c r="AI58">
        <v>2169</v>
      </c>
      <c r="AJ58">
        <v>1103</v>
      </c>
      <c r="AK58">
        <v>13674</v>
      </c>
      <c r="AL58">
        <v>7822</v>
      </c>
      <c r="AM58">
        <v>40</v>
      </c>
      <c r="AN58">
        <v>1092</v>
      </c>
      <c r="AO58">
        <v>282</v>
      </c>
      <c r="AP58">
        <v>732</v>
      </c>
      <c r="AQ58">
        <v>6469</v>
      </c>
      <c r="AR58">
        <v>6263</v>
      </c>
      <c r="AS58">
        <v>1062</v>
      </c>
      <c r="AT58">
        <v>89</v>
      </c>
      <c r="AU58">
        <v>4874</v>
      </c>
      <c r="AV58">
        <v>926</v>
      </c>
      <c r="AW58">
        <v>59</v>
      </c>
      <c r="AX58">
        <v>190</v>
      </c>
      <c r="AY58">
        <v>112</v>
      </c>
      <c r="AZ58">
        <v>68</v>
      </c>
      <c r="BA58">
        <v>4603</v>
      </c>
      <c r="BB58">
        <v>3288</v>
      </c>
      <c r="BC58">
        <v>35</v>
      </c>
    </row>
    <row r="59" spans="1:55">
      <c r="A59" s="1">
        <v>1146</v>
      </c>
      <c r="B59" s="1" t="s">
        <v>32</v>
      </c>
      <c r="C59" t="s">
        <v>204</v>
      </c>
      <c r="D59">
        <v>120485</v>
      </c>
      <c r="E59">
        <v>116000</v>
      </c>
      <c r="F59">
        <v>110462</v>
      </c>
      <c r="G59">
        <v>69007</v>
      </c>
      <c r="H59">
        <v>161</v>
      </c>
      <c r="I59">
        <v>157</v>
      </c>
      <c r="J59">
        <v>153</v>
      </c>
      <c r="K59">
        <v>153</v>
      </c>
      <c r="L59">
        <v>153</v>
      </c>
      <c r="M59">
        <v>100</v>
      </c>
      <c r="N59">
        <v>31</v>
      </c>
      <c r="O59">
        <v>1</v>
      </c>
      <c r="P59">
        <v>0</v>
      </c>
      <c r="Q59">
        <v>46114</v>
      </c>
      <c r="R59">
        <v>2769</v>
      </c>
      <c r="S59">
        <v>42546</v>
      </c>
      <c r="T59">
        <v>1737</v>
      </c>
      <c r="U59">
        <v>1542</v>
      </c>
      <c r="V59">
        <v>1563</v>
      </c>
      <c r="W59">
        <v>24230</v>
      </c>
      <c r="X59">
        <v>10455</v>
      </c>
      <c r="Y59">
        <v>10315</v>
      </c>
      <c r="Z59">
        <v>6220</v>
      </c>
      <c r="AA59">
        <v>624</v>
      </c>
      <c r="AB59">
        <v>4547</v>
      </c>
      <c r="AC59">
        <v>149</v>
      </c>
      <c r="AD59">
        <v>3881</v>
      </c>
      <c r="AE59">
        <v>7841</v>
      </c>
      <c r="AF59">
        <v>82</v>
      </c>
      <c r="AG59">
        <v>21952</v>
      </c>
      <c r="AH59">
        <v>20127</v>
      </c>
      <c r="AI59">
        <v>261</v>
      </c>
      <c r="AJ59">
        <v>212</v>
      </c>
      <c r="AK59">
        <v>18773</v>
      </c>
      <c r="AL59">
        <v>6943</v>
      </c>
      <c r="AM59">
        <v>38</v>
      </c>
      <c r="AN59">
        <v>3631</v>
      </c>
      <c r="AO59">
        <v>1288</v>
      </c>
      <c r="AP59">
        <v>2093</v>
      </c>
      <c r="AQ59">
        <v>2953</v>
      </c>
      <c r="AR59">
        <v>2895</v>
      </c>
      <c r="AS59">
        <v>1085</v>
      </c>
      <c r="AT59">
        <v>517</v>
      </c>
      <c r="AU59">
        <v>10899</v>
      </c>
      <c r="AV59">
        <v>2622</v>
      </c>
      <c r="AW59">
        <v>550</v>
      </c>
      <c r="AX59">
        <v>3334</v>
      </c>
      <c r="AY59">
        <v>1048</v>
      </c>
      <c r="AZ59">
        <v>2115</v>
      </c>
      <c r="BA59">
        <v>7092</v>
      </c>
      <c r="BB59">
        <v>3758</v>
      </c>
      <c r="BC59">
        <v>29</v>
      </c>
    </row>
    <row r="60" spans="1:55">
      <c r="A60" s="1">
        <v>1149</v>
      </c>
      <c r="B60" s="1" t="s">
        <v>32</v>
      </c>
      <c r="C60" t="s">
        <v>205</v>
      </c>
      <c r="D60">
        <v>26524</v>
      </c>
      <c r="E60">
        <v>24333</v>
      </c>
      <c r="F60">
        <v>22879</v>
      </c>
      <c r="G60">
        <v>15586</v>
      </c>
      <c r="H60">
        <v>55</v>
      </c>
      <c r="I60">
        <v>55</v>
      </c>
      <c r="J60">
        <v>55</v>
      </c>
      <c r="K60">
        <v>55</v>
      </c>
      <c r="L60">
        <v>55</v>
      </c>
      <c r="M60">
        <v>30</v>
      </c>
      <c r="N60">
        <v>22</v>
      </c>
      <c r="O60">
        <v>0</v>
      </c>
      <c r="P60">
        <v>0</v>
      </c>
      <c r="Q60">
        <v>7863</v>
      </c>
      <c r="R60">
        <v>1231</v>
      </c>
      <c r="S60">
        <v>6394</v>
      </c>
      <c r="T60">
        <v>531</v>
      </c>
      <c r="U60">
        <v>432</v>
      </c>
      <c r="V60">
        <v>725</v>
      </c>
      <c r="W60">
        <v>2361</v>
      </c>
      <c r="X60">
        <v>281</v>
      </c>
      <c r="Y60">
        <v>264</v>
      </c>
      <c r="Z60">
        <v>554</v>
      </c>
      <c r="AA60">
        <v>69</v>
      </c>
      <c r="AB60">
        <v>412</v>
      </c>
      <c r="AC60">
        <v>81</v>
      </c>
      <c r="AD60">
        <v>287</v>
      </c>
      <c r="AE60">
        <v>3249</v>
      </c>
      <c r="AF60">
        <v>3</v>
      </c>
      <c r="AG60">
        <v>7567</v>
      </c>
      <c r="AH60">
        <v>6038</v>
      </c>
      <c r="AI60">
        <v>168</v>
      </c>
      <c r="AJ60">
        <v>114</v>
      </c>
      <c r="AK60">
        <v>5395</v>
      </c>
      <c r="AL60">
        <v>3229</v>
      </c>
      <c r="AM60">
        <v>44</v>
      </c>
      <c r="AN60">
        <v>1796</v>
      </c>
      <c r="AO60">
        <v>649</v>
      </c>
      <c r="AP60">
        <v>999</v>
      </c>
      <c r="AQ60">
        <v>1253</v>
      </c>
      <c r="AR60">
        <v>1228</v>
      </c>
      <c r="AS60">
        <v>427</v>
      </c>
      <c r="AT60">
        <v>125</v>
      </c>
      <c r="AU60">
        <v>1459</v>
      </c>
      <c r="AV60">
        <v>301</v>
      </c>
      <c r="AW60">
        <v>19</v>
      </c>
      <c r="AX60">
        <v>101</v>
      </c>
      <c r="AY60">
        <v>61</v>
      </c>
      <c r="AZ60">
        <v>33</v>
      </c>
      <c r="BA60">
        <v>1321</v>
      </c>
      <c r="BB60">
        <v>906</v>
      </c>
      <c r="BC60">
        <v>55</v>
      </c>
    </row>
    <row r="61" spans="1:55">
      <c r="A61" s="1">
        <v>1150</v>
      </c>
      <c r="B61" s="1" t="s">
        <v>32</v>
      </c>
      <c r="C61" t="s">
        <v>206</v>
      </c>
      <c r="D61">
        <v>130632</v>
      </c>
      <c r="E61">
        <v>125538</v>
      </c>
      <c r="F61">
        <v>119786</v>
      </c>
      <c r="G61">
        <v>67058</v>
      </c>
      <c r="H61">
        <v>444</v>
      </c>
      <c r="I61">
        <v>436</v>
      </c>
      <c r="J61">
        <v>400</v>
      </c>
      <c r="K61">
        <v>400</v>
      </c>
      <c r="L61">
        <v>397</v>
      </c>
      <c r="M61">
        <v>117</v>
      </c>
      <c r="N61">
        <v>235</v>
      </c>
      <c r="O61">
        <v>2</v>
      </c>
      <c r="P61">
        <v>1</v>
      </c>
      <c r="Q61">
        <v>27755</v>
      </c>
      <c r="R61">
        <v>5300</v>
      </c>
      <c r="S61">
        <v>21427</v>
      </c>
      <c r="T61">
        <v>903</v>
      </c>
      <c r="U61">
        <v>359</v>
      </c>
      <c r="V61">
        <v>1536</v>
      </c>
      <c r="W61">
        <v>8195</v>
      </c>
      <c r="X61">
        <v>2074</v>
      </c>
      <c r="Y61">
        <v>1931</v>
      </c>
      <c r="Z61">
        <v>5302</v>
      </c>
      <c r="AA61">
        <v>1282</v>
      </c>
      <c r="AB61">
        <v>3578</v>
      </c>
      <c r="AC61">
        <v>250</v>
      </c>
      <c r="AD61">
        <v>3218</v>
      </c>
      <c r="AE61">
        <v>5927</v>
      </c>
      <c r="AF61">
        <v>131</v>
      </c>
      <c r="AG61">
        <v>38262</v>
      </c>
      <c r="AH61">
        <v>34611</v>
      </c>
      <c r="AI61">
        <v>180</v>
      </c>
      <c r="AJ61">
        <v>201</v>
      </c>
      <c r="AK61">
        <v>33556</v>
      </c>
      <c r="AL61">
        <v>14283</v>
      </c>
      <c r="AM61">
        <v>29</v>
      </c>
      <c r="AN61">
        <v>7126</v>
      </c>
      <c r="AO61">
        <v>1839</v>
      </c>
      <c r="AP61">
        <v>4598</v>
      </c>
      <c r="AQ61">
        <v>6251</v>
      </c>
      <c r="AR61">
        <v>6194</v>
      </c>
      <c r="AS61">
        <v>1508</v>
      </c>
      <c r="AT61">
        <v>332</v>
      </c>
      <c r="AU61">
        <v>17581</v>
      </c>
      <c r="AV61">
        <v>5750</v>
      </c>
      <c r="AW61">
        <v>620</v>
      </c>
      <c r="AX61">
        <v>3818</v>
      </c>
      <c r="AY61">
        <v>1237</v>
      </c>
      <c r="AZ61">
        <v>2244</v>
      </c>
      <c r="BA61">
        <v>13307</v>
      </c>
      <c r="BB61">
        <v>11097</v>
      </c>
      <c r="BC61">
        <v>74</v>
      </c>
    </row>
    <row r="62" spans="1:55">
      <c r="A62" s="1">
        <v>1154</v>
      </c>
      <c r="B62" s="1" t="s">
        <v>32</v>
      </c>
      <c r="C62" t="s">
        <v>208</v>
      </c>
      <c r="D62">
        <v>105939</v>
      </c>
      <c r="E62">
        <v>97892</v>
      </c>
      <c r="F62">
        <v>91684</v>
      </c>
      <c r="G62">
        <v>60528</v>
      </c>
      <c r="H62">
        <v>335</v>
      </c>
      <c r="I62">
        <v>321</v>
      </c>
      <c r="J62">
        <v>308</v>
      </c>
      <c r="K62">
        <v>303</v>
      </c>
      <c r="L62">
        <v>302</v>
      </c>
      <c r="M62">
        <v>106</v>
      </c>
      <c r="N62">
        <v>134</v>
      </c>
      <c r="O62">
        <v>2</v>
      </c>
      <c r="P62">
        <v>3</v>
      </c>
      <c r="Q62">
        <v>32196</v>
      </c>
      <c r="R62">
        <v>7484</v>
      </c>
      <c r="S62">
        <v>23914</v>
      </c>
      <c r="T62">
        <v>1421</v>
      </c>
      <c r="U62">
        <v>1744</v>
      </c>
      <c r="V62">
        <v>3775</v>
      </c>
      <c r="W62">
        <v>8938</v>
      </c>
      <c r="X62">
        <v>1834</v>
      </c>
      <c r="Y62">
        <v>1801</v>
      </c>
      <c r="Z62">
        <v>4384</v>
      </c>
      <c r="AA62">
        <v>399</v>
      </c>
      <c r="AB62">
        <v>2854</v>
      </c>
      <c r="AC62">
        <v>568</v>
      </c>
      <c r="AD62">
        <v>1902</v>
      </c>
      <c r="AE62">
        <v>8792</v>
      </c>
      <c r="AF62">
        <v>45</v>
      </c>
      <c r="AG62">
        <v>27484</v>
      </c>
      <c r="AH62">
        <v>25403</v>
      </c>
      <c r="AI62">
        <v>396</v>
      </c>
      <c r="AJ62">
        <v>217</v>
      </c>
      <c r="AK62">
        <v>23782</v>
      </c>
      <c r="AL62">
        <v>16705</v>
      </c>
      <c r="AM62">
        <v>228</v>
      </c>
      <c r="AN62">
        <v>6381</v>
      </c>
      <c r="AO62">
        <v>1479</v>
      </c>
      <c r="AP62">
        <v>4704</v>
      </c>
      <c r="AQ62">
        <v>9085</v>
      </c>
      <c r="AR62">
        <v>8302</v>
      </c>
      <c r="AS62">
        <v>3522</v>
      </c>
      <c r="AT62">
        <v>1031</v>
      </c>
      <c r="AU62">
        <v>6384</v>
      </c>
      <c r="AV62">
        <v>1591</v>
      </c>
      <c r="AW62">
        <v>223</v>
      </c>
      <c r="AX62">
        <v>1200</v>
      </c>
      <c r="AY62">
        <v>419</v>
      </c>
      <c r="AZ62">
        <v>718</v>
      </c>
      <c r="BA62">
        <v>4897</v>
      </c>
      <c r="BB62">
        <v>2190</v>
      </c>
      <c r="BC62">
        <v>87</v>
      </c>
    </row>
    <row r="63" spans="1:55">
      <c r="A63" s="1">
        <v>1155</v>
      </c>
      <c r="B63" s="1" t="s">
        <v>32</v>
      </c>
      <c r="C63" t="s">
        <v>209</v>
      </c>
      <c r="D63">
        <v>348111</v>
      </c>
      <c r="E63">
        <v>320999</v>
      </c>
      <c r="F63">
        <v>317961</v>
      </c>
      <c r="G63">
        <v>189871</v>
      </c>
      <c r="H63">
        <v>681</v>
      </c>
      <c r="I63">
        <v>661</v>
      </c>
      <c r="J63">
        <v>641</v>
      </c>
      <c r="K63">
        <v>635</v>
      </c>
      <c r="L63">
        <v>632</v>
      </c>
      <c r="M63">
        <v>223</v>
      </c>
      <c r="N63">
        <v>292</v>
      </c>
      <c r="O63">
        <v>1</v>
      </c>
      <c r="P63">
        <v>2</v>
      </c>
      <c r="Q63">
        <v>74044</v>
      </c>
      <c r="R63">
        <v>13874</v>
      </c>
      <c r="S63">
        <v>59298</v>
      </c>
      <c r="T63">
        <v>2902</v>
      </c>
      <c r="U63">
        <v>3767</v>
      </c>
      <c r="V63">
        <v>4702</v>
      </c>
      <c r="W63">
        <v>34939</v>
      </c>
      <c r="X63">
        <v>4768</v>
      </c>
      <c r="Y63">
        <v>686</v>
      </c>
      <c r="Z63">
        <v>6655</v>
      </c>
      <c r="AA63">
        <v>2254</v>
      </c>
      <c r="AB63">
        <v>3526</v>
      </c>
      <c r="AC63">
        <v>361</v>
      </c>
      <c r="AD63">
        <v>2871</v>
      </c>
      <c r="AE63">
        <v>15353</v>
      </c>
      <c r="AF63">
        <v>125</v>
      </c>
      <c r="AG63">
        <v>113906</v>
      </c>
      <c r="AH63">
        <v>104450</v>
      </c>
      <c r="AI63">
        <v>943</v>
      </c>
      <c r="AJ63">
        <v>1434</v>
      </c>
      <c r="AK63">
        <v>98560</v>
      </c>
      <c r="AL63">
        <v>71002</v>
      </c>
      <c r="AM63">
        <v>163</v>
      </c>
      <c r="AN63">
        <v>41835</v>
      </c>
      <c r="AO63">
        <v>10625</v>
      </c>
      <c r="AP63">
        <v>27403</v>
      </c>
      <c r="AQ63">
        <v>22552</v>
      </c>
      <c r="AR63">
        <v>21350</v>
      </c>
      <c r="AS63">
        <v>3133</v>
      </c>
      <c r="AT63">
        <v>453</v>
      </c>
      <c r="AU63">
        <v>24339</v>
      </c>
      <c r="AV63">
        <v>2576</v>
      </c>
      <c r="AW63">
        <v>143</v>
      </c>
      <c r="AX63">
        <v>2919</v>
      </c>
      <c r="AY63">
        <v>874</v>
      </c>
      <c r="AZ63">
        <v>1808</v>
      </c>
      <c r="BA63">
        <v>20550</v>
      </c>
      <c r="BB63">
        <v>9545</v>
      </c>
      <c r="BC63">
        <v>535</v>
      </c>
    </row>
    <row r="64" spans="1:55">
      <c r="A64" s="1">
        <v>1158</v>
      </c>
      <c r="B64" s="1" t="s">
        <v>32</v>
      </c>
      <c r="C64" t="s">
        <v>212</v>
      </c>
      <c r="D64">
        <v>214097</v>
      </c>
      <c r="E64">
        <v>190556</v>
      </c>
      <c r="F64">
        <v>189560</v>
      </c>
      <c r="G64">
        <v>124663</v>
      </c>
      <c r="H64">
        <v>241</v>
      </c>
      <c r="I64">
        <v>235</v>
      </c>
      <c r="J64">
        <v>222</v>
      </c>
      <c r="K64">
        <v>217</v>
      </c>
      <c r="L64">
        <v>208</v>
      </c>
      <c r="M64">
        <v>56</v>
      </c>
      <c r="N64">
        <v>76</v>
      </c>
      <c r="O64">
        <v>1</v>
      </c>
      <c r="P64">
        <v>1</v>
      </c>
      <c r="Q64">
        <v>48445</v>
      </c>
      <c r="R64">
        <v>6964</v>
      </c>
      <c r="S64">
        <v>40514</v>
      </c>
      <c r="T64">
        <v>2326</v>
      </c>
      <c r="U64">
        <v>2358</v>
      </c>
      <c r="V64">
        <v>3722</v>
      </c>
      <c r="W64">
        <v>15650</v>
      </c>
      <c r="X64">
        <v>4558</v>
      </c>
      <c r="Y64">
        <v>4266</v>
      </c>
      <c r="Z64">
        <v>4097</v>
      </c>
      <c r="AA64">
        <v>609</v>
      </c>
      <c r="AB64">
        <v>3187</v>
      </c>
      <c r="AC64">
        <v>236</v>
      </c>
      <c r="AD64">
        <v>2702</v>
      </c>
      <c r="AE64">
        <v>17033</v>
      </c>
      <c r="AF64">
        <v>175</v>
      </c>
      <c r="AG64">
        <v>72912</v>
      </c>
      <c r="AH64">
        <v>66004</v>
      </c>
      <c r="AI64">
        <v>1116</v>
      </c>
      <c r="AJ64">
        <v>2749</v>
      </c>
      <c r="AK64">
        <v>57409</v>
      </c>
      <c r="AL64">
        <v>36438</v>
      </c>
      <c r="AM64">
        <v>283</v>
      </c>
      <c r="AN64">
        <v>24524</v>
      </c>
      <c r="AO64">
        <v>11148</v>
      </c>
      <c r="AP64">
        <v>12017</v>
      </c>
      <c r="AQ64">
        <v>8734</v>
      </c>
      <c r="AR64">
        <v>8574</v>
      </c>
      <c r="AS64">
        <v>8198</v>
      </c>
      <c r="AT64">
        <v>5403</v>
      </c>
      <c r="AU64">
        <v>17653</v>
      </c>
      <c r="AV64">
        <v>5720</v>
      </c>
      <c r="AW64">
        <v>3767</v>
      </c>
      <c r="AX64">
        <v>12292</v>
      </c>
      <c r="AY64">
        <v>1419</v>
      </c>
      <c r="AZ64">
        <v>10653</v>
      </c>
      <c r="BA64">
        <v>4037</v>
      </c>
      <c r="BB64">
        <v>3143</v>
      </c>
      <c r="BC64">
        <v>48</v>
      </c>
    </row>
    <row r="65" spans="1:55">
      <c r="A65" s="1">
        <v>1160</v>
      </c>
      <c r="B65" s="1" t="s">
        <v>32</v>
      </c>
      <c r="C65" t="s">
        <v>214</v>
      </c>
      <c r="D65">
        <v>99510</v>
      </c>
      <c r="E65">
        <v>93685</v>
      </c>
      <c r="F65">
        <v>90392</v>
      </c>
      <c r="G65">
        <v>55396</v>
      </c>
      <c r="H65">
        <v>282</v>
      </c>
      <c r="I65">
        <v>277</v>
      </c>
      <c r="J65">
        <v>271</v>
      </c>
      <c r="K65">
        <v>271</v>
      </c>
      <c r="L65">
        <v>271</v>
      </c>
      <c r="M65">
        <v>142</v>
      </c>
      <c r="N65">
        <v>109</v>
      </c>
      <c r="O65">
        <v>0</v>
      </c>
      <c r="P65">
        <v>2</v>
      </c>
      <c r="Q65">
        <v>32289</v>
      </c>
      <c r="R65">
        <v>3261</v>
      </c>
      <c r="S65">
        <v>28515</v>
      </c>
      <c r="T65">
        <v>2174</v>
      </c>
      <c r="U65">
        <v>6082</v>
      </c>
      <c r="V65">
        <v>5683</v>
      </c>
      <c r="W65">
        <v>8971</v>
      </c>
      <c r="X65">
        <v>2751</v>
      </c>
      <c r="Y65">
        <v>2632</v>
      </c>
      <c r="Z65">
        <v>3263</v>
      </c>
      <c r="AA65">
        <v>275</v>
      </c>
      <c r="AB65">
        <v>2653</v>
      </c>
      <c r="AC65">
        <v>422</v>
      </c>
      <c r="AD65">
        <v>2028</v>
      </c>
      <c r="AE65">
        <v>14793</v>
      </c>
      <c r="AF65">
        <v>69</v>
      </c>
      <c r="AG65">
        <v>22349</v>
      </c>
      <c r="AH65">
        <v>20906</v>
      </c>
      <c r="AI65">
        <v>259</v>
      </c>
      <c r="AJ65">
        <v>255</v>
      </c>
      <c r="AK65">
        <v>19213</v>
      </c>
      <c r="AL65">
        <v>11320</v>
      </c>
      <c r="AM65">
        <v>131</v>
      </c>
      <c r="AN65">
        <v>5266</v>
      </c>
      <c r="AO65">
        <v>2098</v>
      </c>
      <c r="AP65">
        <v>2784</v>
      </c>
      <c r="AQ65">
        <v>5161</v>
      </c>
      <c r="AR65">
        <v>5052</v>
      </c>
      <c r="AS65">
        <v>1286</v>
      </c>
      <c r="AT65">
        <v>290</v>
      </c>
      <c r="AU65">
        <v>6666</v>
      </c>
      <c r="AV65">
        <v>1860</v>
      </c>
      <c r="AW65">
        <v>163</v>
      </c>
      <c r="AX65">
        <v>1839</v>
      </c>
      <c r="AY65">
        <v>332</v>
      </c>
      <c r="AZ65">
        <v>1471</v>
      </c>
      <c r="BA65">
        <v>4636</v>
      </c>
      <c r="BB65">
        <v>3976</v>
      </c>
      <c r="BC65">
        <v>8</v>
      </c>
    </row>
    <row r="66" spans="1:55">
      <c r="A66" s="1">
        <v>1162</v>
      </c>
      <c r="B66" s="1" t="s">
        <v>32</v>
      </c>
      <c r="C66" t="s">
        <v>215</v>
      </c>
      <c r="D66">
        <v>135286</v>
      </c>
      <c r="E66">
        <v>129503</v>
      </c>
      <c r="F66">
        <v>117499</v>
      </c>
      <c r="G66">
        <v>71413</v>
      </c>
      <c r="H66">
        <v>640</v>
      </c>
      <c r="I66">
        <v>632</v>
      </c>
      <c r="J66">
        <v>601</v>
      </c>
      <c r="K66">
        <v>600</v>
      </c>
      <c r="L66">
        <v>599</v>
      </c>
      <c r="M66">
        <v>260</v>
      </c>
      <c r="N66">
        <v>255</v>
      </c>
      <c r="O66">
        <v>5</v>
      </c>
      <c r="P66">
        <v>2</v>
      </c>
      <c r="Q66">
        <v>42949</v>
      </c>
      <c r="R66">
        <v>5080</v>
      </c>
      <c r="S66">
        <v>36468</v>
      </c>
      <c r="T66">
        <v>982</v>
      </c>
      <c r="U66">
        <v>871</v>
      </c>
      <c r="V66">
        <v>2221</v>
      </c>
      <c r="W66">
        <v>16155</v>
      </c>
      <c r="X66">
        <v>6379</v>
      </c>
      <c r="Y66">
        <v>6188</v>
      </c>
      <c r="Z66">
        <v>6344</v>
      </c>
      <c r="AA66">
        <v>829</v>
      </c>
      <c r="AB66">
        <v>4552</v>
      </c>
      <c r="AC66">
        <v>20</v>
      </c>
      <c r="AD66">
        <v>4315</v>
      </c>
      <c r="AE66">
        <v>11021</v>
      </c>
      <c r="AF66">
        <v>148</v>
      </c>
      <c r="AG66">
        <v>26899</v>
      </c>
      <c r="AH66">
        <v>24696</v>
      </c>
      <c r="AI66">
        <v>424</v>
      </c>
      <c r="AJ66">
        <v>141</v>
      </c>
      <c r="AK66">
        <v>22934</v>
      </c>
      <c r="AL66">
        <v>11778</v>
      </c>
      <c r="AM66">
        <v>115</v>
      </c>
      <c r="AN66">
        <v>5611</v>
      </c>
      <c r="AO66">
        <v>1616</v>
      </c>
      <c r="AP66">
        <v>3757</v>
      </c>
      <c r="AQ66">
        <v>5308</v>
      </c>
      <c r="AR66">
        <v>5280</v>
      </c>
      <c r="AS66">
        <v>1356</v>
      </c>
      <c r="AT66">
        <v>692</v>
      </c>
      <c r="AU66">
        <v>9307</v>
      </c>
      <c r="AV66">
        <v>3025</v>
      </c>
      <c r="AW66">
        <v>406</v>
      </c>
      <c r="AX66">
        <v>2138</v>
      </c>
      <c r="AY66">
        <v>799</v>
      </c>
      <c r="AZ66">
        <v>1300</v>
      </c>
      <c r="BA66">
        <v>6817</v>
      </c>
      <c r="BB66">
        <v>5862</v>
      </c>
      <c r="BC66">
        <v>20</v>
      </c>
    </row>
    <row r="67" spans="1:55">
      <c r="A67" s="1">
        <v>1165</v>
      </c>
      <c r="B67" s="1" t="s">
        <v>32</v>
      </c>
      <c r="C67" t="s">
        <v>217</v>
      </c>
      <c r="D67">
        <v>232949</v>
      </c>
      <c r="E67">
        <v>206715</v>
      </c>
      <c r="F67">
        <v>194926</v>
      </c>
      <c r="G67">
        <v>110284</v>
      </c>
      <c r="H67">
        <v>166</v>
      </c>
      <c r="I67">
        <v>160</v>
      </c>
      <c r="J67">
        <v>142</v>
      </c>
      <c r="K67">
        <v>142</v>
      </c>
      <c r="L67">
        <v>141</v>
      </c>
      <c r="M67">
        <v>48</v>
      </c>
      <c r="N67">
        <v>79</v>
      </c>
      <c r="O67">
        <v>0</v>
      </c>
      <c r="P67">
        <v>3</v>
      </c>
      <c r="Q67">
        <v>53013</v>
      </c>
      <c r="R67">
        <v>5540</v>
      </c>
      <c r="S67">
        <v>47119</v>
      </c>
      <c r="T67">
        <v>1474</v>
      </c>
      <c r="U67">
        <v>2304</v>
      </c>
      <c r="V67">
        <v>7043</v>
      </c>
      <c r="W67">
        <v>28715</v>
      </c>
      <c r="X67">
        <v>3147</v>
      </c>
      <c r="Y67">
        <v>3091</v>
      </c>
      <c r="Z67">
        <v>3650</v>
      </c>
      <c r="AA67">
        <v>506</v>
      </c>
      <c r="AB67">
        <v>2323</v>
      </c>
      <c r="AC67">
        <v>405</v>
      </c>
      <c r="AD67">
        <v>1640</v>
      </c>
      <c r="AE67">
        <v>13226</v>
      </c>
      <c r="AF67">
        <v>157</v>
      </c>
      <c r="AG67">
        <v>56573</v>
      </c>
      <c r="AH67">
        <v>54079</v>
      </c>
      <c r="AI67">
        <v>111</v>
      </c>
      <c r="AJ67">
        <v>237</v>
      </c>
      <c r="AK67">
        <v>52511</v>
      </c>
      <c r="AL67">
        <v>26321</v>
      </c>
      <c r="AM67">
        <v>158</v>
      </c>
      <c r="AN67">
        <v>10207</v>
      </c>
      <c r="AO67">
        <v>2443</v>
      </c>
      <c r="AP67">
        <v>7267</v>
      </c>
      <c r="AQ67">
        <v>13234</v>
      </c>
      <c r="AR67">
        <v>13181</v>
      </c>
      <c r="AS67">
        <v>1739</v>
      </c>
      <c r="AT67">
        <v>374</v>
      </c>
      <c r="AU67">
        <v>22946</v>
      </c>
      <c r="AV67">
        <v>2649</v>
      </c>
      <c r="AW67">
        <v>288</v>
      </c>
      <c r="AX67">
        <v>4297</v>
      </c>
      <c r="AY67">
        <v>2348</v>
      </c>
      <c r="AZ67">
        <v>1810</v>
      </c>
      <c r="BA67">
        <v>16832</v>
      </c>
      <c r="BB67">
        <v>6730</v>
      </c>
      <c r="BC67">
        <v>49</v>
      </c>
    </row>
    <row r="68" spans="1:55">
      <c r="A68" s="1">
        <v>1168</v>
      </c>
      <c r="B68" s="1" t="s">
        <v>32</v>
      </c>
      <c r="C68" t="s">
        <v>219</v>
      </c>
      <c r="D68">
        <v>85258</v>
      </c>
      <c r="E68">
        <v>80830</v>
      </c>
      <c r="F68">
        <v>71821</v>
      </c>
      <c r="G68">
        <v>19519</v>
      </c>
      <c r="H68">
        <v>315</v>
      </c>
      <c r="I68">
        <v>310</v>
      </c>
      <c r="J68">
        <v>284</v>
      </c>
      <c r="K68">
        <v>283</v>
      </c>
      <c r="L68">
        <v>283</v>
      </c>
      <c r="M68">
        <v>53</v>
      </c>
      <c r="N68">
        <v>180</v>
      </c>
      <c r="O68">
        <v>1</v>
      </c>
      <c r="P68">
        <v>4</v>
      </c>
      <c r="Q68">
        <v>12052</v>
      </c>
      <c r="R68">
        <v>380</v>
      </c>
      <c r="S68">
        <v>11234</v>
      </c>
      <c r="T68">
        <v>307</v>
      </c>
      <c r="U68">
        <v>521</v>
      </c>
      <c r="V68">
        <v>901</v>
      </c>
      <c r="W68">
        <v>3398</v>
      </c>
      <c r="X68">
        <v>1551</v>
      </c>
      <c r="Y68">
        <v>1454</v>
      </c>
      <c r="Z68">
        <v>2445</v>
      </c>
      <c r="AA68">
        <v>210</v>
      </c>
      <c r="AB68">
        <v>1446</v>
      </c>
      <c r="AC68">
        <v>65</v>
      </c>
      <c r="AD68">
        <v>1208</v>
      </c>
      <c r="AE68">
        <v>4080</v>
      </c>
      <c r="AF68">
        <v>52</v>
      </c>
      <c r="AG68">
        <v>6580</v>
      </c>
      <c r="AH68">
        <v>5899</v>
      </c>
      <c r="AI68">
        <v>51</v>
      </c>
      <c r="AJ68">
        <v>95</v>
      </c>
      <c r="AK68">
        <v>5583</v>
      </c>
      <c r="AL68">
        <v>1250</v>
      </c>
      <c r="AM68">
        <v>24</v>
      </c>
      <c r="AN68">
        <v>355</v>
      </c>
      <c r="AO68">
        <v>8</v>
      </c>
      <c r="AP68">
        <v>340</v>
      </c>
      <c r="AQ68">
        <v>800</v>
      </c>
      <c r="AR68">
        <v>800</v>
      </c>
      <c r="AS68">
        <v>263</v>
      </c>
      <c r="AT68">
        <v>32</v>
      </c>
      <c r="AU68">
        <v>3914</v>
      </c>
      <c r="AV68">
        <v>1101</v>
      </c>
      <c r="AW68">
        <v>60</v>
      </c>
      <c r="AX68">
        <v>239</v>
      </c>
      <c r="AY68">
        <v>222</v>
      </c>
      <c r="AZ68">
        <v>13</v>
      </c>
      <c r="BA68">
        <v>3578</v>
      </c>
      <c r="BB68">
        <v>3336</v>
      </c>
      <c r="BC68">
        <v>34</v>
      </c>
    </row>
    <row r="69" spans="1:55">
      <c r="A69" s="1">
        <v>1172</v>
      </c>
      <c r="B69" s="1" t="s">
        <v>32</v>
      </c>
      <c r="C69" t="s">
        <v>221</v>
      </c>
      <c r="D69">
        <v>166329</v>
      </c>
      <c r="E69">
        <v>161188</v>
      </c>
      <c r="F69">
        <v>150664</v>
      </c>
      <c r="G69">
        <v>61303</v>
      </c>
      <c r="H69">
        <v>29</v>
      </c>
      <c r="I69">
        <v>28</v>
      </c>
      <c r="J69">
        <v>26</v>
      </c>
      <c r="K69">
        <v>24</v>
      </c>
      <c r="L69">
        <v>24</v>
      </c>
      <c r="M69">
        <v>8</v>
      </c>
      <c r="N69">
        <v>13</v>
      </c>
      <c r="O69">
        <v>0</v>
      </c>
      <c r="P69">
        <v>0</v>
      </c>
      <c r="Q69">
        <v>29370</v>
      </c>
      <c r="R69">
        <v>4066</v>
      </c>
      <c r="S69">
        <v>24675</v>
      </c>
      <c r="T69">
        <v>1320</v>
      </c>
      <c r="U69">
        <v>1519</v>
      </c>
      <c r="V69">
        <v>2573</v>
      </c>
      <c r="W69">
        <v>12678</v>
      </c>
      <c r="X69">
        <v>8608</v>
      </c>
      <c r="Y69">
        <v>8014</v>
      </c>
      <c r="Z69">
        <v>1402</v>
      </c>
      <c r="AA69">
        <v>204</v>
      </c>
      <c r="AB69">
        <v>1031</v>
      </c>
      <c r="AC69">
        <v>28</v>
      </c>
      <c r="AD69">
        <v>957</v>
      </c>
      <c r="AE69">
        <v>9328</v>
      </c>
      <c r="AF69">
        <v>79</v>
      </c>
      <c r="AG69">
        <v>31580</v>
      </c>
      <c r="AH69">
        <v>29260</v>
      </c>
      <c r="AI69">
        <v>479</v>
      </c>
      <c r="AJ69">
        <v>322</v>
      </c>
      <c r="AK69">
        <v>26675</v>
      </c>
      <c r="AL69">
        <v>11069</v>
      </c>
      <c r="AM69">
        <v>78</v>
      </c>
      <c r="AN69">
        <v>5582</v>
      </c>
      <c r="AO69">
        <v>423</v>
      </c>
      <c r="AP69">
        <v>4908</v>
      </c>
      <c r="AQ69">
        <v>4501</v>
      </c>
      <c r="AR69">
        <v>4463</v>
      </c>
      <c r="AS69">
        <v>1306</v>
      </c>
      <c r="AT69">
        <v>643</v>
      </c>
      <c r="AU69">
        <v>13901</v>
      </c>
      <c r="AV69">
        <v>4019</v>
      </c>
      <c r="AW69">
        <v>715</v>
      </c>
      <c r="AX69">
        <v>2180</v>
      </c>
      <c r="AY69">
        <v>1686</v>
      </c>
      <c r="AZ69">
        <v>368</v>
      </c>
      <c r="BA69">
        <v>11102</v>
      </c>
      <c r="BB69">
        <v>9531</v>
      </c>
      <c r="BC69">
        <v>28</v>
      </c>
    </row>
    <row r="70" spans="1:55">
      <c r="A70" s="1">
        <v>1178</v>
      </c>
      <c r="B70" s="1" t="s">
        <v>32</v>
      </c>
      <c r="C70" t="s">
        <v>222</v>
      </c>
      <c r="D70">
        <v>89352</v>
      </c>
      <c r="E70">
        <v>81651</v>
      </c>
      <c r="F70">
        <v>80568</v>
      </c>
      <c r="G70">
        <v>40335</v>
      </c>
      <c r="H70">
        <v>930</v>
      </c>
      <c r="I70">
        <v>863</v>
      </c>
      <c r="J70">
        <v>819</v>
      </c>
      <c r="K70">
        <v>814</v>
      </c>
      <c r="L70">
        <v>790</v>
      </c>
      <c r="M70">
        <v>200</v>
      </c>
      <c r="N70">
        <v>413</v>
      </c>
      <c r="O70">
        <v>14</v>
      </c>
      <c r="P70">
        <v>12</v>
      </c>
      <c r="Q70">
        <v>15803</v>
      </c>
      <c r="R70">
        <v>2012</v>
      </c>
      <c r="S70">
        <v>12928</v>
      </c>
      <c r="T70">
        <v>769</v>
      </c>
      <c r="U70">
        <v>1030</v>
      </c>
      <c r="V70">
        <v>1560</v>
      </c>
      <c r="W70">
        <v>3481</v>
      </c>
      <c r="X70">
        <v>584</v>
      </c>
      <c r="Y70">
        <v>562</v>
      </c>
      <c r="Z70">
        <v>4304</v>
      </c>
      <c r="AA70">
        <v>850</v>
      </c>
      <c r="AB70">
        <v>2970</v>
      </c>
      <c r="AC70">
        <v>394</v>
      </c>
      <c r="AD70">
        <v>2363</v>
      </c>
      <c r="AE70">
        <v>4196</v>
      </c>
      <c r="AF70">
        <v>71</v>
      </c>
      <c r="AG70">
        <v>20951</v>
      </c>
      <c r="AH70">
        <v>18832</v>
      </c>
      <c r="AI70">
        <v>356</v>
      </c>
      <c r="AJ70">
        <v>609</v>
      </c>
      <c r="AK70">
        <v>16515</v>
      </c>
      <c r="AL70">
        <v>8015</v>
      </c>
      <c r="AM70">
        <v>99</v>
      </c>
      <c r="AN70">
        <v>3782</v>
      </c>
      <c r="AO70">
        <v>1934</v>
      </c>
      <c r="AP70">
        <v>1628</v>
      </c>
      <c r="AQ70">
        <v>3432</v>
      </c>
      <c r="AR70">
        <v>3057</v>
      </c>
      <c r="AS70">
        <v>2207</v>
      </c>
      <c r="AT70">
        <v>1637</v>
      </c>
      <c r="AU70">
        <v>7909</v>
      </c>
      <c r="AV70">
        <v>2726</v>
      </c>
      <c r="AW70">
        <v>2073</v>
      </c>
      <c r="AX70">
        <v>688</v>
      </c>
      <c r="AY70">
        <v>211</v>
      </c>
      <c r="AZ70">
        <v>447</v>
      </c>
      <c r="BA70">
        <v>6305</v>
      </c>
      <c r="BB70">
        <v>2068</v>
      </c>
      <c r="BC70">
        <v>25</v>
      </c>
    </row>
    <row r="71" spans="1:55">
      <c r="A71" s="1">
        <v>1181</v>
      </c>
      <c r="B71" s="1" t="s">
        <v>32</v>
      </c>
      <c r="C71" t="s">
        <v>223</v>
      </c>
      <c r="D71">
        <v>103950</v>
      </c>
      <c r="E71">
        <v>100965</v>
      </c>
      <c r="F71">
        <v>93340</v>
      </c>
      <c r="G71">
        <v>40289</v>
      </c>
      <c r="H71">
        <v>16</v>
      </c>
      <c r="I71">
        <v>15</v>
      </c>
      <c r="J71">
        <v>15</v>
      </c>
      <c r="K71">
        <v>13</v>
      </c>
      <c r="L71">
        <v>13</v>
      </c>
      <c r="M71">
        <v>8</v>
      </c>
      <c r="N71">
        <v>3</v>
      </c>
      <c r="O71">
        <v>0</v>
      </c>
      <c r="P71">
        <v>0</v>
      </c>
      <c r="Q71">
        <v>23423</v>
      </c>
      <c r="R71">
        <v>1579</v>
      </c>
      <c r="S71">
        <v>21529</v>
      </c>
      <c r="T71">
        <v>295</v>
      </c>
      <c r="U71">
        <v>274</v>
      </c>
      <c r="V71">
        <v>6737</v>
      </c>
      <c r="W71">
        <v>1640</v>
      </c>
      <c r="X71">
        <v>613</v>
      </c>
      <c r="Y71">
        <v>579</v>
      </c>
      <c r="Z71">
        <v>4511</v>
      </c>
      <c r="AA71">
        <v>65</v>
      </c>
      <c r="AB71">
        <v>4031</v>
      </c>
      <c r="AC71">
        <v>1679</v>
      </c>
      <c r="AD71">
        <v>592</v>
      </c>
      <c r="AE71">
        <v>10063</v>
      </c>
      <c r="AF71">
        <v>32</v>
      </c>
      <c r="AG71">
        <v>16268</v>
      </c>
      <c r="AH71">
        <v>9103</v>
      </c>
      <c r="AI71">
        <v>4</v>
      </c>
      <c r="AJ71">
        <v>11</v>
      </c>
      <c r="AK71">
        <v>9059</v>
      </c>
      <c r="AL71">
        <v>5271</v>
      </c>
      <c r="AM71">
        <v>6</v>
      </c>
      <c r="AN71">
        <v>1563</v>
      </c>
      <c r="AO71">
        <v>240</v>
      </c>
      <c r="AP71">
        <v>1229</v>
      </c>
      <c r="AQ71">
        <v>3292</v>
      </c>
      <c r="AR71">
        <v>3279</v>
      </c>
      <c r="AS71">
        <v>61</v>
      </c>
      <c r="AT71">
        <v>5</v>
      </c>
      <c r="AU71">
        <v>2779</v>
      </c>
      <c r="AV71">
        <v>63</v>
      </c>
      <c r="AW71">
        <v>2</v>
      </c>
      <c r="AX71">
        <v>505</v>
      </c>
      <c r="AY71">
        <v>291</v>
      </c>
      <c r="AZ71">
        <v>169</v>
      </c>
      <c r="BA71">
        <v>2077</v>
      </c>
      <c r="BB71">
        <v>1993</v>
      </c>
      <c r="BC71">
        <v>9</v>
      </c>
    </row>
    <row r="72" spans="1:55">
      <c r="A72" s="1">
        <v>1186</v>
      </c>
      <c r="B72" s="1" t="s">
        <v>32</v>
      </c>
      <c r="C72" t="s">
        <v>224</v>
      </c>
      <c r="D72">
        <v>130376</v>
      </c>
      <c r="E72">
        <v>126147</v>
      </c>
      <c r="F72">
        <v>120112</v>
      </c>
      <c r="G72">
        <v>94813</v>
      </c>
      <c r="H72">
        <v>12</v>
      </c>
      <c r="I72">
        <v>12</v>
      </c>
      <c r="J72">
        <v>10</v>
      </c>
      <c r="K72">
        <v>10</v>
      </c>
      <c r="L72">
        <v>10</v>
      </c>
      <c r="M72">
        <v>5</v>
      </c>
      <c r="N72">
        <v>3</v>
      </c>
      <c r="O72">
        <v>0</v>
      </c>
      <c r="P72">
        <v>0</v>
      </c>
      <c r="Q72">
        <v>23970</v>
      </c>
      <c r="R72">
        <v>4860</v>
      </c>
      <c r="S72">
        <v>18848</v>
      </c>
      <c r="T72">
        <v>2080</v>
      </c>
      <c r="U72">
        <v>1118</v>
      </c>
      <c r="V72">
        <v>1173</v>
      </c>
      <c r="W72">
        <v>2367</v>
      </c>
      <c r="X72">
        <v>602</v>
      </c>
      <c r="Y72">
        <v>552</v>
      </c>
      <c r="Z72">
        <v>1300</v>
      </c>
      <c r="AA72">
        <v>199</v>
      </c>
      <c r="AB72">
        <v>977</v>
      </c>
      <c r="AC72">
        <v>45</v>
      </c>
      <c r="AD72">
        <v>788</v>
      </c>
      <c r="AE72">
        <v>14358</v>
      </c>
      <c r="AF72">
        <v>340</v>
      </c>
      <c r="AG72">
        <v>69848</v>
      </c>
      <c r="AH72">
        <v>61512</v>
      </c>
      <c r="AI72">
        <v>510</v>
      </c>
      <c r="AJ72">
        <v>577</v>
      </c>
      <c r="AK72">
        <v>59314</v>
      </c>
      <c r="AL72">
        <v>34428</v>
      </c>
      <c r="AM72">
        <v>160</v>
      </c>
      <c r="AN72">
        <v>16384</v>
      </c>
      <c r="AO72">
        <v>11059</v>
      </c>
      <c r="AP72">
        <v>4048</v>
      </c>
      <c r="AQ72">
        <v>14413</v>
      </c>
      <c r="AR72">
        <v>12623</v>
      </c>
      <c r="AS72">
        <v>1530</v>
      </c>
      <c r="AT72">
        <v>381</v>
      </c>
      <c r="AU72">
        <v>22096</v>
      </c>
      <c r="AV72">
        <v>1237</v>
      </c>
      <c r="AW72">
        <v>227</v>
      </c>
      <c r="AX72">
        <v>8455</v>
      </c>
      <c r="AY72">
        <v>520</v>
      </c>
      <c r="AZ72">
        <v>7606</v>
      </c>
      <c r="BA72">
        <v>12629</v>
      </c>
      <c r="BB72">
        <v>7694</v>
      </c>
      <c r="BC72">
        <v>208</v>
      </c>
    </row>
    <row r="73" spans="1:55">
      <c r="A73" s="1">
        <v>1210</v>
      </c>
      <c r="B73" s="1" t="s">
        <v>32</v>
      </c>
      <c r="C73" t="s">
        <v>228</v>
      </c>
      <c r="D73">
        <v>66184</v>
      </c>
      <c r="E73">
        <v>59940</v>
      </c>
      <c r="F73">
        <v>58794</v>
      </c>
      <c r="G73">
        <v>20753</v>
      </c>
      <c r="H73">
        <v>432</v>
      </c>
      <c r="I73">
        <v>422</v>
      </c>
      <c r="J73">
        <v>396</v>
      </c>
      <c r="K73">
        <v>395</v>
      </c>
      <c r="L73">
        <v>393</v>
      </c>
      <c r="M73">
        <v>147</v>
      </c>
      <c r="N73">
        <v>186</v>
      </c>
      <c r="O73">
        <v>2</v>
      </c>
      <c r="P73">
        <v>4</v>
      </c>
      <c r="Q73">
        <v>10268</v>
      </c>
      <c r="R73">
        <v>4359</v>
      </c>
      <c r="S73">
        <v>5368</v>
      </c>
      <c r="T73">
        <v>203</v>
      </c>
      <c r="U73">
        <v>30</v>
      </c>
      <c r="V73">
        <v>123</v>
      </c>
      <c r="W73">
        <v>1915</v>
      </c>
      <c r="X73">
        <v>605</v>
      </c>
      <c r="Y73">
        <v>560</v>
      </c>
      <c r="Z73">
        <v>1231</v>
      </c>
      <c r="AA73">
        <v>279</v>
      </c>
      <c r="AB73">
        <v>661</v>
      </c>
      <c r="AC73">
        <v>40</v>
      </c>
      <c r="AD73">
        <v>594</v>
      </c>
      <c r="AE73">
        <v>1435</v>
      </c>
      <c r="AF73">
        <v>20</v>
      </c>
      <c r="AG73">
        <v>9664</v>
      </c>
      <c r="AH73">
        <v>9186</v>
      </c>
      <c r="AI73">
        <v>30</v>
      </c>
      <c r="AJ73">
        <v>45</v>
      </c>
      <c r="AK73">
        <v>8927</v>
      </c>
      <c r="AL73">
        <v>5747</v>
      </c>
      <c r="AM73">
        <v>30</v>
      </c>
      <c r="AN73">
        <v>3604</v>
      </c>
      <c r="AO73">
        <v>701</v>
      </c>
      <c r="AP73">
        <v>2546</v>
      </c>
      <c r="AQ73">
        <v>1653</v>
      </c>
      <c r="AR73">
        <v>1594</v>
      </c>
      <c r="AS73">
        <v>416</v>
      </c>
      <c r="AT73">
        <v>103</v>
      </c>
      <c r="AU73">
        <v>2729</v>
      </c>
      <c r="AV73">
        <v>1005</v>
      </c>
      <c r="AW73">
        <v>79</v>
      </c>
      <c r="AX73">
        <v>765</v>
      </c>
      <c r="AY73">
        <v>259</v>
      </c>
      <c r="AZ73">
        <v>427</v>
      </c>
      <c r="BA73">
        <v>1883</v>
      </c>
      <c r="BB73">
        <v>1577</v>
      </c>
      <c r="BC73">
        <v>5</v>
      </c>
    </row>
    <row r="74" spans="1:55">
      <c r="A74" s="1">
        <v>1226</v>
      </c>
      <c r="B74" s="1" t="s">
        <v>32</v>
      </c>
      <c r="C74" t="s">
        <v>229</v>
      </c>
      <c r="D74">
        <v>38823</v>
      </c>
      <c r="E74">
        <v>36155</v>
      </c>
      <c r="F74">
        <v>35289</v>
      </c>
      <c r="G74">
        <v>18899</v>
      </c>
      <c r="H74">
        <v>114</v>
      </c>
      <c r="I74">
        <v>111</v>
      </c>
      <c r="J74">
        <v>103</v>
      </c>
      <c r="K74">
        <v>103</v>
      </c>
      <c r="L74">
        <v>102</v>
      </c>
      <c r="M74">
        <v>27</v>
      </c>
      <c r="N74">
        <v>67</v>
      </c>
      <c r="O74">
        <v>1</v>
      </c>
      <c r="P74">
        <v>2</v>
      </c>
      <c r="Q74">
        <v>5934</v>
      </c>
      <c r="R74">
        <v>1447</v>
      </c>
      <c r="S74">
        <v>3828</v>
      </c>
      <c r="T74">
        <v>1287</v>
      </c>
      <c r="U74">
        <v>59</v>
      </c>
      <c r="V74">
        <v>56</v>
      </c>
      <c r="W74">
        <v>315</v>
      </c>
      <c r="X74">
        <v>65</v>
      </c>
      <c r="Y74">
        <v>57</v>
      </c>
      <c r="Z74">
        <v>909</v>
      </c>
      <c r="AA74">
        <v>270</v>
      </c>
      <c r="AB74">
        <v>323</v>
      </c>
      <c r="AC74">
        <v>10</v>
      </c>
      <c r="AD74">
        <v>295</v>
      </c>
      <c r="AE74">
        <v>2324</v>
      </c>
      <c r="AF74">
        <v>29</v>
      </c>
      <c r="AG74">
        <v>12539</v>
      </c>
      <c r="AH74">
        <v>11702</v>
      </c>
      <c r="AI74">
        <v>71</v>
      </c>
      <c r="AJ74">
        <v>32</v>
      </c>
      <c r="AK74">
        <v>11296</v>
      </c>
      <c r="AL74">
        <v>8903</v>
      </c>
      <c r="AM74">
        <v>27</v>
      </c>
      <c r="AN74">
        <v>3823</v>
      </c>
      <c r="AO74">
        <v>1252</v>
      </c>
      <c r="AP74">
        <v>2170</v>
      </c>
      <c r="AQ74">
        <v>3963</v>
      </c>
      <c r="AR74">
        <v>3563</v>
      </c>
      <c r="AS74">
        <v>519</v>
      </c>
      <c r="AT74">
        <v>224</v>
      </c>
      <c r="AU74">
        <v>2022</v>
      </c>
      <c r="AV74">
        <v>292</v>
      </c>
      <c r="AW74">
        <v>73</v>
      </c>
      <c r="AX74">
        <v>621</v>
      </c>
      <c r="AY74">
        <v>98</v>
      </c>
      <c r="AZ74">
        <v>487</v>
      </c>
      <c r="BA74">
        <v>1258</v>
      </c>
      <c r="BB74">
        <v>745</v>
      </c>
      <c r="BC74">
        <v>4</v>
      </c>
    </row>
    <row r="75" spans="1:55">
      <c r="A75" s="1">
        <v>1235</v>
      </c>
      <c r="B75" s="1" t="s">
        <v>32</v>
      </c>
      <c r="C75" t="s">
        <v>231</v>
      </c>
      <c r="D75">
        <v>36749</v>
      </c>
      <c r="E75">
        <v>35528</v>
      </c>
      <c r="F75">
        <v>35018</v>
      </c>
      <c r="G75">
        <v>30431</v>
      </c>
      <c r="H75">
        <v>31</v>
      </c>
      <c r="I75">
        <v>31</v>
      </c>
      <c r="J75">
        <v>28</v>
      </c>
      <c r="K75">
        <v>28</v>
      </c>
      <c r="L75">
        <v>28</v>
      </c>
      <c r="M75">
        <v>10</v>
      </c>
      <c r="N75">
        <v>13</v>
      </c>
      <c r="O75">
        <v>0</v>
      </c>
      <c r="P75">
        <v>0</v>
      </c>
      <c r="Q75">
        <v>15334</v>
      </c>
      <c r="R75">
        <v>2031</v>
      </c>
      <c r="S75">
        <v>13003</v>
      </c>
      <c r="T75">
        <v>887</v>
      </c>
      <c r="U75">
        <v>2258</v>
      </c>
      <c r="V75">
        <v>3213</v>
      </c>
      <c r="W75">
        <v>1897</v>
      </c>
      <c r="X75">
        <v>273</v>
      </c>
      <c r="Y75">
        <v>254</v>
      </c>
      <c r="Z75">
        <v>737</v>
      </c>
      <c r="AA75">
        <v>161</v>
      </c>
      <c r="AB75">
        <v>489</v>
      </c>
      <c r="AC75">
        <v>137</v>
      </c>
      <c r="AD75">
        <v>226</v>
      </c>
      <c r="AE75">
        <v>9501</v>
      </c>
      <c r="AF75">
        <v>46</v>
      </c>
      <c r="AG75">
        <v>14869</v>
      </c>
      <c r="AH75">
        <v>12930</v>
      </c>
      <c r="AI75">
        <v>21</v>
      </c>
      <c r="AJ75">
        <v>45</v>
      </c>
      <c r="AK75">
        <v>12680</v>
      </c>
      <c r="AL75">
        <v>6439</v>
      </c>
      <c r="AM75">
        <v>44</v>
      </c>
      <c r="AN75">
        <v>2208</v>
      </c>
      <c r="AO75">
        <v>886</v>
      </c>
      <c r="AP75">
        <v>1091</v>
      </c>
      <c r="AQ75">
        <v>3551</v>
      </c>
      <c r="AR75">
        <v>3323</v>
      </c>
      <c r="AS75">
        <v>391</v>
      </c>
      <c r="AT75">
        <v>83</v>
      </c>
      <c r="AU75">
        <v>5725</v>
      </c>
      <c r="AV75">
        <v>516</v>
      </c>
      <c r="AW75">
        <v>98</v>
      </c>
      <c r="AX75">
        <v>2156</v>
      </c>
      <c r="AY75">
        <v>119</v>
      </c>
      <c r="AZ75">
        <v>1962</v>
      </c>
      <c r="BA75">
        <v>2943</v>
      </c>
      <c r="BB75">
        <v>1820</v>
      </c>
      <c r="BC75">
        <v>14</v>
      </c>
    </row>
    <row r="76" spans="1:55">
      <c r="A76" s="1">
        <v>1315</v>
      </c>
      <c r="B76" s="1" t="s">
        <v>32</v>
      </c>
      <c r="C76" t="s">
        <v>237</v>
      </c>
      <c r="D76">
        <v>150567</v>
      </c>
      <c r="E76">
        <v>146792</v>
      </c>
      <c r="F76">
        <v>145799</v>
      </c>
      <c r="G76">
        <v>118434</v>
      </c>
      <c r="H76">
        <v>126</v>
      </c>
      <c r="I76">
        <v>125</v>
      </c>
      <c r="J76">
        <v>118</v>
      </c>
      <c r="K76">
        <v>118</v>
      </c>
      <c r="L76">
        <v>118</v>
      </c>
      <c r="M76">
        <v>54</v>
      </c>
      <c r="N76">
        <v>41</v>
      </c>
      <c r="O76">
        <v>0</v>
      </c>
      <c r="P76">
        <v>1</v>
      </c>
      <c r="Q76">
        <v>52054</v>
      </c>
      <c r="R76">
        <v>5658</v>
      </c>
      <c r="S76">
        <v>45748</v>
      </c>
      <c r="T76">
        <v>1080</v>
      </c>
      <c r="U76">
        <v>524</v>
      </c>
      <c r="V76">
        <v>1934</v>
      </c>
      <c r="W76">
        <v>25288</v>
      </c>
      <c r="X76">
        <v>4227</v>
      </c>
      <c r="Y76">
        <v>4009</v>
      </c>
      <c r="Z76">
        <v>4037</v>
      </c>
      <c r="AA76">
        <v>501</v>
      </c>
      <c r="AB76">
        <v>3222</v>
      </c>
      <c r="AC76">
        <v>146</v>
      </c>
      <c r="AD76">
        <v>2937</v>
      </c>
      <c r="AE76">
        <v>14644</v>
      </c>
      <c r="AF76">
        <v>276</v>
      </c>
      <c r="AG76">
        <v>65345</v>
      </c>
      <c r="AH76">
        <v>61533</v>
      </c>
      <c r="AI76">
        <v>242</v>
      </c>
      <c r="AJ76">
        <v>188</v>
      </c>
      <c r="AK76">
        <v>59978</v>
      </c>
      <c r="AL76">
        <v>41237</v>
      </c>
      <c r="AM76">
        <v>200</v>
      </c>
      <c r="AN76">
        <v>25588</v>
      </c>
      <c r="AO76">
        <v>12332</v>
      </c>
      <c r="AP76">
        <v>10652</v>
      </c>
      <c r="AQ76">
        <v>11507</v>
      </c>
      <c r="AR76">
        <v>10882</v>
      </c>
      <c r="AS76">
        <v>1854</v>
      </c>
      <c r="AT76">
        <v>993</v>
      </c>
      <c r="AU76">
        <v>15265</v>
      </c>
      <c r="AV76">
        <v>1251</v>
      </c>
      <c r="AW76">
        <v>415</v>
      </c>
      <c r="AX76">
        <v>7703</v>
      </c>
      <c r="AY76">
        <v>603</v>
      </c>
      <c r="AZ76">
        <v>6685</v>
      </c>
      <c r="BA76">
        <v>6738</v>
      </c>
      <c r="BB76">
        <v>3598</v>
      </c>
      <c r="BC76">
        <v>10</v>
      </c>
    </row>
    <row r="77" spans="1:55">
      <c r="A77" s="1">
        <v>1321</v>
      </c>
      <c r="B77" s="1" t="s">
        <v>32</v>
      </c>
      <c r="C77" t="s">
        <v>238</v>
      </c>
      <c r="D77">
        <v>202436</v>
      </c>
      <c r="E77">
        <v>196874</v>
      </c>
      <c r="F77">
        <v>194481</v>
      </c>
      <c r="G77">
        <v>175913</v>
      </c>
      <c r="H77">
        <v>145</v>
      </c>
      <c r="I77">
        <v>143</v>
      </c>
      <c r="J77">
        <v>134</v>
      </c>
      <c r="K77">
        <v>133</v>
      </c>
      <c r="L77">
        <v>133</v>
      </c>
      <c r="M77">
        <v>33</v>
      </c>
      <c r="N77">
        <v>69</v>
      </c>
      <c r="O77">
        <v>0</v>
      </c>
      <c r="P77">
        <v>3</v>
      </c>
      <c r="Q77">
        <v>82442</v>
      </c>
      <c r="R77">
        <v>17909</v>
      </c>
      <c r="S77">
        <v>62222</v>
      </c>
      <c r="T77">
        <v>5796</v>
      </c>
      <c r="U77">
        <v>1624</v>
      </c>
      <c r="V77">
        <v>2526</v>
      </c>
      <c r="W77">
        <v>27295</v>
      </c>
      <c r="X77">
        <v>6838</v>
      </c>
      <c r="Y77">
        <v>3</v>
      </c>
      <c r="Z77">
        <v>5248</v>
      </c>
      <c r="AA77">
        <v>945</v>
      </c>
      <c r="AB77">
        <v>4004</v>
      </c>
      <c r="AC77">
        <v>470</v>
      </c>
      <c r="AD77">
        <v>3320</v>
      </c>
      <c r="AE77">
        <v>27206</v>
      </c>
      <c r="AF77">
        <v>296</v>
      </c>
      <c r="AG77">
        <v>92854</v>
      </c>
      <c r="AH77">
        <v>85912</v>
      </c>
      <c r="AI77">
        <v>493</v>
      </c>
      <c r="AJ77">
        <v>208</v>
      </c>
      <c r="AK77">
        <v>83556</v>
      </c>
      <c r="AL77">
        <v>61612</v>
      </c>
      <c r="AM77">
        <v>151</v>
      </c>
      <c r="AN77">
        <v>42521</v>
      </c>
      <c r="AO77">
        <v>16184</v>
      </c>
      <c r="AP77">
        <v>21923</v>
      </c>
      <c r="AQ77">
        <v>14650</v>
      </c>
      <c r="AR77">
        <v>14519</v>
      </c>
      <c r="AS77">
        <v>3570</v>
      </c>
      <c r="AT77">
        <v>1428</v>
      </c>
      <c r="AU77">
        <v>19343</v>
      </c>
      <c r="AV77">
        <v>1382</v>
      </c>
      <c r="AW77">
        <v>542</v>
      </c>
      <c r="AX77">
        <v>9358</v>
      </c>
      <c r="AY77">
        <v>1720</v>
      </c>
      <c r="AZ77">
        <v>6892</v>
      </c>
      <c r="BA77">
        <v>8790</v>
      </c>
      <c r="BB77">
        <v>6449</v>
      </c>
      <c r="BC77">
        <v>101</v>
      </c>
    </row>
    <row r="78" spans="1:55">
      <c r="A78" s="1"/>
      <c r="B78" s="1"/>
    </row>
  </sheetData>
  <sortState xmlns:xlrd2="http://schemas.microsoft.com/office/spreadsheetml/2017/richdata2" ref="A2:BC80">
    <sortCondition ref="B2:B8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016B-F416-E44D-BA60-CC76A561540C}">
  <dimension ref="A1:BC87"/>
  <sheetViews>
    <sheetView topLeftCell="AE39" workbookViewId="0">
      <selection activeCell="G2" sqref="G2"/>
    </sheetView>
  </sheetViews>
  <sheetFormatPr defaultColWidth="11" defaultRowHeight="15.95"/>
  <cols>
    <col min="15" max="15" width="12.125" bestFit="1" customWidth="1"/>
  </cols>
  <sheetData>
    <row r="1" spans="1:55" ht="288.95">
      <c r="A1" s="1" t="s">
        <v>0</v>
      </c>
      <c r="B1" s="1" t="s">
        <v>6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  <c r="U1" s="2" t="s">
        <v>130</v>
      </c>
      <c r="V1" s="2" t="s">
        <v>131</v>
      </c>
      <c r="W1" s="2" t="s">
        <v>132</v>
      </c>
      <c r="X1" s="2" t="s">
        <v>133</v>
      </c>
      <c r="Y1" s="2" t="s">
        <v>134</v>
      </c>
      <c r="Z1" s="2" t="s">
        <v>135</v>
      </c>
      <c r="AA1" s="2" t="s">
        <v>136</v>
      </c>
      <c r="AB1" s="2" t="s">
        <v>137</v>
      </c>
      <c r="AC1" s="2" t="s">
        <v>138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150</v>
      </c>
      <c r="AP1" s="2" t="s">
        <v>151</v>
      </c>
      <c r="AQ1" s="2" t="s">
        <v>152</v>
      </c>
      <c r="AR1" s="2" t="s">
        <v>153</v>
      </c>
      <c r="AS1" s="2" t="s">
        <v>154</v>
      </c>
      <c r="AT1" s="2" t="s">
        <v>155</v>
      </c>
      <c r="AU1" s="2" t="s">
        <v>156</v>
      </c>
      <c r="AV1" s="2" t="s">
        <v>157</v>
      </c>
      <c r="AW1" s="2" t="s">
        <v>158</v>
      </c>
      <c r="AX1" s="2" t="s">
        <v>159</v>
      </c>
      <c r="AY1" s="2" t="s">
        <v>160</v>
      </c>
      <c r="AZ1" s="2" t="s">
        <v>161</v>
      </c>
      <c r="BA1" s="2" t="s">
        <v>162</v>
      </c>
      <c r="BB1" s="2" t="s">
        <v>163</v>
      </c>
      <c r="BC1" s="2" t="s">
        <v>164</v>
      </c>
    </row>
    <row r="2" spans="1:55">
      <c r="A2" s="1">
        <v>1001</v>
      </c>
      <c r="B2" s="1" t="s">
        <v>26</v>
      </c>
      <c r="C2" t="s">
        <v>165</v>
      </c>
      <c r="D2">
        <v>277764</v>
      </c>
      <c r="E2">
        <v>265500</v>
      </c>
      <c r="F2">
        <v>262632</v>
      </c>
      <c r="G2">
        <f>Sex!G2/Sex!$F2</f>
        <v>0.3891985744311432</v>
      </c>
      <c r="H2">
        <f>Sex!H2/Sex!$F2</f>
        <v>1.027292942215724E-2</v>
      </c>
      <c r="I2">
        <f>Sex!I2/Sex!$F2</f>
        <v>1.0086356574979439E-2</v>
      </c>
      <c r="J2">
        <f>Sex!J2/Sex!$F2</f>
        <v>9.4504858509244869E-3</v>
      </c>
      <c r="K2">
        <f>Sex!K2/Sex!$F2</f>
        <v>9.4124097596637122E-3</v>
      </c>
      <c r="L2">
        <f>Sex!L2/Sex!$F2</f>
        <v>9.3781412775290132E-3</v>
      </c>
      <c r="M2">
        <f>Sex!M2/Sex!$F2</f>
        <v>2.0827621919644215E-3</v>
      </c>
      <c r="N2">
        <f>Sex!N2/Sex!$F2</f>
        <v>5.7761430442596481E-3</v>
      </c>
      <c r="O2">
        <f>Sex!O2/Sex!$F2</f>
        <v>2.0180328368211032E-4</v>
      </c>
      <c r="P2">
        <f>Sex!P2/Sex!$F2</f>
        <v>3.2745438484266959E-4</v>
      </c>
      <c r="Q2">
        <f>Sex!Q2/Sex!$F2</f>
        <v>0.14674906332815499</v>
      </c>
      <c r="R2">
        <f>Sex!R2/Sex!$F2</f>
        <v>2.7662280300953426E-2</v>
      </c>
      <c r="S2">
        <f>Sex!S2/Sex!$F2</f>
        <v>0.11406454658990527</v>
      </c>
      <c r="T2">
        <f>Sex!T2/Sex!$F2</f>
        <v>4.9498918639008195E-3</v>
      </c>
      <c r="U2">
        <f>Sex!U2/Sex!$F2</f>
        <v>3.3849645130829449E-3</v>
      </c>
      <c r="V2">
        <f>Sex!V2/Sex!$F2</f>
        <v>3.9066069633555698E-3</v>
      </c>
      <c r="W2">
        <f>Sex!W2/Sex!$F2</f>
        <v>5.0945810106917663E-2</v>
      </c>
      <c r="X2">
        <f>Sex!X2/Sex!$F2</f>
        <v>2.1608181790490115E-2</v>
      </c>
      <c r="Y2">
        <f>Sex!Y2/Sex!$F2</f>
        <v>2.141399372506016E-2</v>
      </c>
      <c r="Z2">
        <f>Sex!Z2/Sex!$F2</f>
        <v>3.1443236163148439E-2</v>
      </c>
      <c r="AA2">
        <f>Sex!AA2/Sex!$F2</f>
        <v>8.6661183709525122E-3</v>
      </c>
      <c r="AB2">
        <f>Sex!AB2/Sex!$F2</f>
        <v>1.9399768497365133E-2</v>
      </c>
      <c r="AC2">
        <f>Sex!AC2/Sex!$F2</f>
        <v>1.5991958329525724E-4</v>
      </c>
      <c r="AD2">
        <f>Sex!AD2/Sex!$F2</f>
        <v>1.8596362971762769E-2</v>
      </c>
      <c r="AE2">
        <f>Sex!AE2/Sex!$F2</f>
        <v>2.1889944865819855E-2</v>
      </c>
      <c r="AF2">
        <f>Sex!AF2/Sex!$F2</f>
        <v>4.0360656736422064E-4</v>
      </c>
      <c r="AG2">
        <f>Sex!AG2/Sex!$F2</f>
        <v>0.22110405434219746</v>
      </c>
      <c r="AH2">
        <f>Sex!AH2/Sex!$F2</f>
        <v>0.21136419019769107</v>
      </c>
      <c r="AI2">
        <f>Sex!AI2/Sex!$F2</f>
        <v>1.1460903469493436E-3</v>
      </c>
      <c r="AJ2">
        <f>Sex!AJ2/Sex!$F2</f>
        <v>6.7013920618964938E-4</v>
      </c>
      <c r="AK2">
        <f>Sex!AK2/Sex!$F2</f>
        <v>0.2050816351396631</v>
      </c>
      <c r="AL2">
        <f>Sex!AL2/Sex!$F2</f>
        <v>0.12483627280757867</v>
      </c>
      <c r="AM2">
        <f>Sex!AM2/Sex!$F2</f>
        <v>4.949891863900819E-4</v>
      </c>
      <c r="AN2">
        <f>Sex!AN2/Sex!$F2</f>
        <v>7.5592463980017663E-2</v>
      </c>
      <c r="AO2">
        <f>Sex!AO2/Sex!$F2</f>
        <v>5.9611928477870176E-2</v>
      </c>
      <c r="AP2">
        <f>Sex!AP2/Sex!$F2</f>
        <v>1.1925431782874897E-2</v>
      </c>
      <c r="AQ2">
        <f>Sex!AQ2/Sex!$F2</f>
        <v>2.9109171768862897E-2</v>
      </c>
      <c r="AR2">
        <f>Sex!AR2/Sex!$F2</f>
        <v>2.31883395778123E-2</v>
      </c>
      <c r="AS2">
        <f>Sex!AS2/Sex!$F2</f>
        <v>4.3559048402327209E-3</v>
      </c>
      <c r="AT2">
        <f>Sex!AT2/Sex!$F2</f>
        <v>7.6532943434158823E-4</v>
      </c>
      <c r="AU2">
        <f>Sex!AU2/Sex!$F2</f>
        <v>7.4987054128971331E-2</v>
      </c>
      <c r="AV2">
        <f>Sex!AV2/Sex!$F2</f>
        <v>6.3015931036583504E-3</v>
      </c>
      <c r="AW2">
        <f>Sex!AW2/Sex!$F2</f>
        <v>4.949891863900819E-4</v>
      </c>
      <c r="AX2">
        <f>Sex!AX2/Sex!$F2</f>
        <v>2.7544244418045021E-2</v>
      </c>
      <c r="AY2">
        <f>Sex!AY2/Sex!$F2</f>
        <v>1.134667519571111E-3</v>
      </c>
      <c r="AZ2">
        <f>Sex!AZ2/Sex!$F2</f>
        <v>2.6025008376740079E-2</v>
      </c>
      <c r="BA2">
        <f>Sex!BA2/Sex!$F2</f>
        <v>4.3178287489719455E-2</v>
      </c>
      <c r="BB2">
        <f>Sex!BB2/Sex!$F2</f>
        <v>2.1764293764659295E-2</v>
      </c>
      <c r="BC2">
        <f>Sex!BC2/Sex!$F2</f>
        <v>5.8637180541594317E-4</v>
      </c>
    </row>
    <row r="3" spans="1:55">
      <c r="A3" s="1">
        <v>1003</v>
      </c>
      <c r="B3" s="1" t="s">
        <v>26</v>
      </c>
      <c r="C3" t="s">
        <v>166</v>
      </c>
      <c r="D3">
        <v>321845</v>
      </c>
      <c r="E3">
        <v>314310</v>
      </c>
      <c r="F3">
        <v>309191</v>
      </c>
      <c r="G3">
        <f>Sex!G3/Sex!$F3</f>
        <v>0.58793755316293161</v>
      </c>
      <c r="H3">
        <f>Sex!H3/Sex!$F3</f>
        <v>1.076680757201859E-2</v>
      </c>
      <c r="I3">
        <f>Sex!I3/Sex!$F3</f>
        <v>1.0339886995417073E-2</v>
      </c>
      <c r="J3">
        <f>Sex!J3/Sex!$F3</f>
        <v>9.6251184542887735E-3</v>
      </c>
      <c r="K3">
        <f>Sex!K3/Sex!$F3</f>
        <v>9.4925143357989083E-3</v>
      </c>
      <c r="L3">
        <f>Sex!L3/Sex!$F3</f>
        <v>9.3922526852333998E-3</v>
      </c>
      <c r="M3">
        <f>Sex!M3/Sex!$F3</f>
        <v>3.7581947728103342E-3</v>
      </c>
      <c r="N3">
        <f>Sex!N3/Sex!$F3</f>
        <v>1.3163384445213477E-3</v>
      </c>
      <c r="O3">
        <f>Sex!O3/Sex!$F3</f>
        <v>2.9108221131921693E-5</v>
      </c>
      <c r="P3">
        <f>Sex!P3/Sex!$F3</f>
        <v>6.4684935848714867E-5</v>
      </c>
      <c r="Q3">
        <f>Sex!Q3/Sex!$F3</f>
        <v>0.29295160596524478</v>
      </c>
      <c r="R3">
        <f>Sex!R3/Sex!$F3</f>
        <v>0.11359968433751305</v>
      </c>
      <c r="S3">
        <f>Sex!S3/Sex!$F3</f>
        <v>0.1677668496172269</v>
      </c>
      <c r="T3">
        <f>Sex!T3/Sex!$F3</f>
        <v>5.3656154286508984E-3</v>
      </c>
      <c r="U3">
        <f>Sex!U3/Sex!$F3</f>
        <v>2.9981467765879343E-3</v>
      </c>
      <c r="V3">
        <f>Sex!V3/Sex!$F3</f>
        <v>8.1147252022212811E-3</v>
      </c>
      <c r="W3">
        <f>Sex!W3/Sex!$F3</f>
        <v>6.9791811533970904E-2</v>
      </c>
      <c r="X3">
        <f>Sex!X3/Sex!$F3</f>
        <v>3.6556691494901213E-2</v>
      </c>
      <c r="Y3">
        <f>Sex!Y3/Sex!$F3</f>
        <v>3.5127154412644614E-2</v>
      </c>
      <c r="Z3">
        <f>Sex!Z3/Sex!$F3</f>
        <v>4.3196600159771795E-2</v>
      </c>
      <c r="AA3">
        <f>Sex!AA3/Sex!$F3</f>
        <v>9.2596485667435346E-3</v>
      </c>
      <c r="AB3">
        <f>Sex!AB3/Sex!$F3</f>
        <v>2.7934189546267519E-2</v>
      </c>
      <c r="AC3">
        <f>Sex!AC3/Sex!$F3</f>
        <v>1.0252562332021308E-3</v>
      </c>
      <c r="AD3">
        <f>Sex!AD3/Sex!$F3</f>
        <v>2.0408097260269542E-2</v>
      </c>
      <c r="AE3">
        <f>Sex!AE3/Sex!$F3</f>
        <v>3.0906462348515965E-2</v>
      </c>
      <c r="AF3">
        <f>Sex!AF3/Sex!$F3</f>
        <v>3.9457810867716072E-4</v>
      </c>
      <c r="AG3">
        <f>Sex!AG3/Sex!$F3</f>
        <v>0.26560604933520054</v>
      </c>
      <c r="AH3">
        <f>Sex!AH3/Sex!$F3</f>
        <v>0.24500389726738489</v>
      </c>
      <c r="AI3">
        <f>Sex!AI3/Sex!$F3</f>
        <v>1.9987645177252894E-3</v>
      </c>
      <c r="AJ3">
        <f>Sex!AJ3/Sex!$F3</f>
        <v>2.1054946618756691E-3</v>
      </c>
      <c r="AK3">
        <f>Sex!AK3/Sex!$F3</f>
        <v>0.23425326092932847</v>
      </c>
      <c r="AL3">
        <f>Sex!AL3/Sex!$F3</f>
        <v>0.14896940725959035</v>
      </c>
      <c r="AM3">
        <f>Sex!AM3/Sex!$F3</f>
        <v>4.0428084905446793E-4</v>
      </c>
      <c r="AN3">
        <f>Sex!AN3/Sex!$F3</f>
        <v>0.1236387863812336</v>
      </c>
      <c r="AO3">
        <f>Sex!AO3/Sex!$F3</f>
        <v>0.11669485851787406</v>
      </c>
      <c r="AP3">
        <f>Sex!AP3/Sex!$F3</f>
        <v>4.8060907335595151E-3</v>
      </c>
      <c r="AQ3">
        <f>Sex!AQ3/Sex!$F3</f>
        <v>1.8438440963676174E-2</v>
      </c>
      <c r="AR3">
        <f>Sex!AR3/Sex!$F3</f>
        <v>7.7718950422230922E-3</v>
      </c>
      <c r="AS3">
        <f>Sex!AS3/Sex!$F3</f>
        <v>1.794683545122594E-2</v>
      </c>
      <c r="AT3">
        <f>Sex!AT3/Sex!$F3</f>
        <v>9.8773897040987605E-3</v>
      </c>
      <c r="AU3">
        <f>Sex!AU3/Sex!$F3</f>
        <v>7.7815977826003996E-2</v>
      </c>
      <c r="AV3">
        <f>Sex!AV3/Sex!$F3</f>
        <v>1.2367759734274283E-2</v>
      </c>
      <c r="AW3">
        <f>Sex!AW3/Sex!$F3</f>
        <v>2.3804056392327075E-3</v>
      </c>
      <c r="AX3">
        <f>Sex!AX3/Sex!$F3</f>
        <v>2.6478778489671433E-2</v>
      </c>
      <c r="AY3">
        <f>Sex!AY3/Sex!$F3</f>
        <v>2.8784796452678118E-4</v>
      </c>
      <c r="AZ3">
        <f>Sex!AZ3/Sex!$F3</f>
        <v>2.5796352416467491E-2</v>
      </c>
      <c r="BA3">
        <f>Sex!BA3/Sex!$F3</f>
        <v>4.9212299193702277E-2</v>
      </c>
      <c r="BB3">
        <f>Sex!BB3/Sex!$F3</f>
        <v>2.5485864724393661E-3</v>
      </c>
      <c r="BC3">
        <f>Sex!BC3/Sex!$F3</f>
        <v>5.3365072075189771E-4</v>
      </c>
    </row>
    <row r="4" spans="1:55">
      <c r="A4" s="1">
        <v>1010</v>
      </c>
      <c r="B4" s="1" t="s">
        <v>26</v>
      </c>
      <c r="C4" t="s">
        <v>169</v>
      </c>
      <c r="D4">
        <v>284997</v>
      </c>
      <c r="E4">
        <v>278506</v>
      </c>
      <c r="F4">
        <v>276399</v>
      </c>
      <c r="G4">
        <f>Sex!G4/Sex!$F4</f>
        <v>0.78258242613034057</v>
      </c>
      <c r="H4">
        <f>Sex!H4/Sex!$F4</f>
        <v>1.9826410370515088E-3</v>
      </c>
      <c r="I4">
        <f>Sex!I4/Sex!$F4</f>
        <v>1.9392255398897971E-3</v>
      </c>
      <c r="J4">
        <f>Sex!J4/Sex!$F4</f>
        <v>1.8125970065014708E-3</v>
      </c>
      <c r="K4">
        <f>Sex!K4/Sex!$F4</f>
        <v>1.7945072160174241E-3</v>
      </c>
      <c r="L4">
        <f>Sex!L4/Sex!$F4</f>
        <v>1.7764174255333774E-3</v>
      </c>
      <c r="M4">
        <f>Sex!M4/Sex!$F4</f>
        <v>4.1244722303626277E-4</v>
      </c>
      <c r="N4">
        <f>Sex!N4/Sex!$F4</f>
        <v>9.8408460233213586E-4</v>
      </c>
      <c r="O4">
        <f>Sex!O4/Sex!$F4</f>
        <v>1.0853874290427969E-5</v>
      </c>
      <c r="P4">
        <f>Sex!P4/Sex!$F4</f>
        <v>0</v>
      </c>
      <c r="Q4">
        <f>Sex!Q4/Sex!$F4</f>
        <v>0.45132941870267257</v>
      </c>
      <c r="R4">
        <f>Sex!R4/Sex!$F4</f>
        <v>7.3737603971070806E-2</v>
      </c>
      <c r="S4">
        <f>Sex!S4/Sex!$F4</f>
        <v>0.37155344266802703</v>
      </c>
      <c r="T4">
        <f>Sex!T4/Sex!$F4</f>
        <v>1.1772835647017536E-2</v>
      </c>
      <c r="U4">
        <f>Sex!U4/Sex!$F4</f>
        <v>3.0857564607686714E-2</v>
      </c>
      <c r="V4">
        <f>Sex!V4/Sex!$F4</f>
        <v>6.0390956551941218E-2</v>
      </c>
      <c r="W4">
        <f>Sex!W4/Sex!$F4</f>
        <v>0.20667947423832936</v>
      </c>
      <c r="X4">
        <f>Sex!X4/Sex!$F4</f>
        <v>8.3998133133622047E-2</v>
      </c>
      <c r="Y4">
        <f>Sex!Y4/Sex!$F4</f>
        <v>8.3426495754326174E-2</v>
      </c>
      <c r="Z4">
        <f>Sex!Z4/Sex!$F4</f>
        <v>3.9124598858896013E-2</v>
      </c>
      <c r="AA4">
        <f>Sex!AA4/Sex!$F4</f>
        <v>4.106382439878581E-3</v>
      </c>
      <c r="AB4">
        <f>Sex!AB4/Sex!$F4</f>
        <v>3.1787379838566707E-2</v>
      </c>
      <c r="AC4">
        <f>Sex!AC4/Sex!$F4</f>
        <v>1.1570229993596214E-2</v>
      </c>
      <c r="AD4">
        <f>Sex!AD4/Sex!$F4</f>
        <v>1.4565899297754334E-2</v>
      </c>
      <c r="AE4">
        <f>Sex!AE4/Sex!$F4</f>
        <v>0.10250760675689854</v>
      </c>
      <c r="AF4">
        <f>Sex!AF4/Sex!$F4</f>
        <v>5.9696308597353824E-4</v>
      </c>
      <c r="AG4">
        <f>Sex!AG4/Sex!$F4</f>
        <v>0.3191147580128727</v>
      </c>
      <c r="AH4">
        <f>Sex!AH4/Sex!$F4</f>
        <v>0.3072406195391445</v>
      </c>
      <c r="AI4">
        <f>Sex!AI4/Sex!$F4</f>
        <v>3.798856001649789E-3</v>
      </c>
      <c r="AJ4">
        <f>Sex!AJ4/Sex!$F4</f>
        <v>2.0550001989876952E-3</v>
      </c>
      <c r="AK4">
        <f>Sex!AK4/Sex!$F4</f>
        <v>0.28915082905509787</v>
      </c>
      <c r="AL4">
        <f>Sex!AL4/Sex!$F4</f>
        <v>0.12987384180116426</v>
      </c>
      <c r="AM4">
        <f>Sex!AM4/Sex!$F4</f>
        <v>1.1939261719470765E-3</v>
      </c>
      <c r="AN4">
        <f>Sex!AN4/Sex!$F4</f>
        <v>6.7977814680950363E-2</v>
      </c>
      <c r="AO4">
        <f>Sex!AO4/Sex!$F4</f>
        <v>2.3795310402714917E-2</v>
      </c>
      <c r="AP4">
        <f>Sex!AP4/Sex!$F4</f>
        <v>3.9786685190612125E-2</v>
      </c>
      <c r="AQ4">
        <f>Sex!AQ4/Sex!$F4</f>
        <v>5.517747893443898E-2</v>
      </c>
      <c r="AR4">
        <f>Sex!AR4/Sex!$F4</f>
        <v>5.2941580830610818E-2</v>
      </c>
      <c r="AS4">
        <f>Sex!AS4/Sex!$F4</f>
        <v>1.9464614560834155E-2</v>
      </c>
      <c r="AT4">
        <f>Sex!AT4/Sex!$F4</f>
        <v>5.4631167261820776E-3</v>
      </c>
      <c r="AU4">
        <f>Sex!AU4/Sex!$F4</f>
        <v>0.14474364957905059</v>
      </c>
      <c r="AV4">
        <f>Sex!AV4/Sex!$F4</f>
        <v>2.7210662846102917E-2</v>
      </c>
      <c r="AW4">
        <f>Sex!AW4/Sex!$F4</f>
        <v>5.1881519108245688E-3</v>
      </c>
      <c r="AX4">
        <f>Sex!AX4/Sex!$F4</f>
        <v>2.6049298297027124E-2</v>
      </c>
      <c r="AY4">
        <f>Sex!AY4/Sex!$F4</f>
        <v>6.0781696026396626E-3</v>
      </c>
      <c r="AZ4">
        <f>Sex!AZ4/Sex!$F4</f>
        <v>1.9023223673023421E-2</v>
      </c>
      <c r="BA4">
        <f>Sex!BA4/Sex!$F4</f>
        <v>0.11392226455233195</v>
      </c>
      <c r="BB4">
        <f>Sex!BB4/Sex!$F4</f>
        <v>5.3339556221259847E-2</v>
      </c>
      <c r="BC4">
        <f>Sex!BC4/Sex!$F4</f>
        <v>1.7727994674365683E-4</v>
      </c>
    </row>
    <row r="5" spans="1:55">
      <c r="A5" s="1">
        <v>1012</v>
      </c>
      <c r="B5" s="1" t="s">
        <v>26</v>
      </c>
      <c r="C5" t="s">
        <v>170</v>
      </c>
      <c r="D5">
        <v>270926</v>
      </c>
      <c r="E5">
        <v>265202</v>
      </c>
      <c r="F5">
        <v>261135</v>
      </c>
      <c r="G5">
        <f>Sex!G5/Sex!$F5</f>
        <v>0.64270205066344999</v>
      </c>
      <c r="H5">
        <f>Sex!H5/Sex!$F5</f>
        <v>5.9241388553813159E-3</v>
      </c>
      <c r="I5">
        <f>Sex!I5/Sex!$F5</f>
        <v>5.805426312060811E-3</v>
      </c>
      <c r="J5">
        <f>Sex!J5/Sex!$F5</f>
        <v>5.5680012254198021E-3</v>
      </c>
      <c r="K5">
        <f>Sex!K5/Sex!$F5</f>
        <v>5.5105596722002026E-3</v>
      </c>
      <c r="L5">
        <f>Sex!L5/Sex!$F5</f>
        <v>5.483753614031057E-3</v>
      </c>
      <c r="M5">
        <f>Sex!M5/Sex!$F5</f>
        <v>2.44701016715492E-3</v>
      </c>
      <c r="N5">
        <f>Sex!N5/Sex!$F5</f>
        <v>2.3436153713596417E-3</v>
      </c>
      <c r="O5">
        <f>Sex!O5/Sex!$F5</f>
        <v>6.1270990100905655E-5</v>
      </c>
      <c r="P5">
        <f>Sex!P5/Sex!$F5</f>
        <v>7.6588737626132083E-5</v>
      </c>
      <c r="Q5">
        <f>Sex!Q5/Sex!$F5</f>
        <v>0.38497328967775291</v>
      </c>
      <c r="R5">
        <f>Sex!R5/Sex!$F5</f>
        <v>9.2875332682329059E-2</v>
      </c>
      <c r="S5">
        <f>Sex!S5/Sex!$F5</f>
        <v>0.27202021942673332</v>
      </c>
      <c r="T5">
        <f>Sex!T5/Sex!$F5</f>
        <v>8.2447776054531182E-3</v>
      </c>
      <c r="U5">
        <f>Sex!U5/Sex!$F5</f>
        <v>1.013651942481858E-2</v>
      </c>
      <c r="V5">
        <f>Sex!V5/Sex!$F5</f>
        <v>1.6734639171309858E-2</v>
      </c>
      <c r="W5">
        <f>Sex!W5/Sex!$F5</f>
        <v>0.10457809179160205</v>
      </c>
      <c r="X5">
        <f>Sex!X5/Sex!$F5</f>
        <v>3.6513680663258469E-2</v>
      </c>
      <c r="Y5">
        <f>Sex!Y5/Sex!$F5</f>
        <v>3.5544833132287894E-2</v>
      </c>
      <c r="Z5">
        <f>Sex!Z5/Sex!$F5</f>
        <v>8.2846037490187069E-2</v>
      </c>
      <c r="AA5">
        <f>Sex!AA5/Sex!$F5</f>
        <v>1.7255442587167557E-2</v>
      </c>
      <c r="AB5">
        <f>Sex!AB5/Sex!$F5</f>
        <v>5.2260325119191223E-2</v>
      </c>
      <c r="AC5">
        <f>Sex!AC5/Sex!$F5</f>
        <v>5.9356271660252358E-4</v>
      </c>
      <c r="AD5">
        <f>Sex!AD5/Sex!$F5</f>
        <v>4.7431405211863592E-2</v>
      </c>
      <c r="AE5">
        <f>Sex!AE5/Sex!$F5</f>
        <v>5.9379248281540196E-2</v>
      </c>
      <c r="AF5">
        <f>Sex!AF5/Sex!$F5</f>
        <v>8.1949949259961324E-4</v>
      </c>
      <c r="AG5">
        <f>Sex!AG5/Sex!$F5</f>
        <v>0.2416298083366841</v>
      </c>
      <c r="AH5">
        <f>Sex!AH5/Sex!$F5</f>
        <v>0.23252340743293698</v>
      </c>
      <c r="AI5">
        <f>Sex!AI5/Sex!$F5</f>
        <v>1.9989660520420473E-3</v>
      </c>
      <c r="AJ5">
        <f>Sex!AJ5/Sex!$F5</f>
        <v>1.9874777413981274E-3</v>
      </c>
      <c r="AK5">
        <f>Sex!AK5/Sex!$F5</f>
        <v>0.21971394106496639</v>
      </c>
      <c r="AL5">
        <f>Sex!AL5/Sex!$F5</f>
        <v>9.6919218028988841E-2</v>
      </c>
      <c r="AM5">
        <f>Sex!AM5/Sex!$F5</f>
        <v>7.9652287131177363E-4</v>
      </c>
      <c r="AN5">
        <f>Sex!AN5/Sex!$F5</f>
        <v>4.7680318609148523E-2</v>
      </c>
      <c r="AO5">
        <f>Sex!AO5/Sex!$F5</f>
        <v>2.8931395638271393E-2</v>
      </c>
      <c r="AP5">
        <f>Sex!AP5/Sex!$F5</f>
        <v>1.521052329254983E-2</v>
      </c>
      <c r="AQ5">
        <f>Sex!AQ5/Sex!$F5</f>
        <v>4.1905527792138166E-2</v>
      </c>
      <c r="AR5">
        <f>Sex!AR5/Sex!$F5</f>
        <v>4.0530759951749096E-2</v>
      </c>
      <c r="AS5">
        <f>Sex!AS5/Sex!$F5</f>
        <v>7.7316330633580331E-3</v>
      </c>
      <c r="AT5">
        <f>Sex!AT5/Sex!$F5</f>
        <v>1.6619756064870661E-3</v>
      </c>
      <c r="AU5">
        <f>Sex!AU5/Sex!$F5</f>
        <v>0.11243226683516189</v>
      </c>
      <c r="AV5">
        <f>Sex!AV5/Sex!$F5</f>
        <v>2.0303674344687613E-2</v>
      </c>
      <c r="AW5">
        <f>Sex!AW5/Sex!$F5</f>
        <v>2.9103720297930188E-3</v>
      </c>
      <c r="AX5">
        <f>Sex!AX5/Sex!$F5</f>
        <v>4.7305033794780481E-2</v>
      </c>
      <c r="AY5">
        <f>Sex!AY5/Sex!$F5</f>
        <v>3.400539950600264E-3</v>
      </c>
      <c r="AZ5">
        <f>Sex!AZ5/Sex!$F5</f>
        <v>4.241867233423325E-2</v>
      </c>
      <c r="BA5">
        <f>Sex!BA5/Sex!$F5</f>
        <v>5.9689432668926033E-2</v>
      </c>
      <c r="BB5">
        <f>Sex!BB5/Sex!$F5</f>
        <v>3.8995155762345149E-2</v>
      </c>
      <c r="BC5">
        <f>Sex!BC5/Sex!$F5</f>
        <v>8.0418174507438679E-5</v>
      </c>
    </row>
    <row r="6" spans="1:55">
      <c r="A6" s="1">
        <v>1015</v>
      </c>
      <c r="B6" s="1" t="s">
        <v>26</v>
      </c>
      <c r="C6" t="s">
        <v>173</v>
      </c>
      <c r="D6">
        <v>34385</v>
      </c>
      <c r="E6">
        <v>33666</v>
      </c>
      <c r="F6">
        <v>33296</v>
      </c>
      <c r="G6">
        <f>Sex!G6/Sex!$F6</f>
        <v>0.83214199903892361</v>
      </c>
      <c r="H6">
        <f>Sex!H6/Sex!$F6</f>
        <v>6.307063911580971E-4</v>
      </c>
      <c r="I6">
        <f>Sex!I6/Sex!$F6</f>
        <v>6.307063911580971E-4</v>
      </c>
      <c r="J6">
        <f>Sex!J6/Sex!$F6</f>
        <v>5.4060547813551175E-4</v>
      </c>
      <c r="K6">
        <f>Sex!K6/Sex!$F6</f>
        <v>5.4060547813551175E-4</v>
      </c>
      <c r="L6">
        <f>Sex!L6/Sex!$F6</f>
        <v>5.1057184046131667E-4</v>
      </c>
      <c r="M6">
        <f>Sex!M6/Sex!$F6</f>
        <v>2.1023546371936569E-4</v>
      </c>
      <c r="N6">
        <f>Sex!N6/Sex!$F6</f>
        <v>2.7030273906775588E-4</v>
      </c>
      <c r="O6">
        <f>Sex!O6/Sex!$F6</f>
        <v>0</v>
      </c>
      <c r="P6">
        <f>Sex!P6/Sex!$F6</f>
        <v>0</v>
      </c>
      <c r="Q6">
        <f>Sex!Q6/Sex!$F6</f>
        <v>0.28165545410860165</v>
      </c>
      <c r="R6">
        <f>Sex!R6/Sex!$F6</f>
        <v>1.9521864488226813E-2</v>
      </c>
      <c r="S6">
        <f>Sex!S6/Sex!$F6</f>
        <v>0.25967083133109081</v>
      </c>
      <c r="T6">
        <f>Sex!T6/Sex!$F6</f>
        <v>1.4596347909658818E-2</v>
      </c>
      <c r="U6">
        <f>Sex!U6/Sex!$F6</f>
        <v>2.874219125420471E-2</v>
      </c>
      <c r="V6">
        <f>Sex!V6/Sex!$F6</f>
        <v>5.1537722248918789E-2</v>
      </c>
      <c r="W6">
        <f>Sex!W6/Sex!$F6</f>
        <v>0.13304901489668428</v>
      </c>
      <c r="X6">
        <f>Sex!X6/Sex!$F6</f>
        <v>7.1720326765977893E-2</v>
      </c>
      <c r="Y6">
        <f>Sex!Y6/Sex!$F6</f>
        <v>7.1119654012493996E-2</v>
      </c>
      <c r="Z6">
        <f>Sex!Z6/Sex!$F6</f>
        <v>1.7569678039404131E-2</v>
      </c>
      <c r="AA6">
        <f>Sex!AA6/Sex!$F6</f>
        <v>5.7964920711196539E-3</v>
      </c>
      <c r="AB6">
        <f>Sex!AB6/Sex!$F6</f>
        <v>1.0722008649687651E-2</v>
      </c>
      <c r="AC6">
        <f>Sex!AC6/Sex!$F6</f>
        <v>4.8053820278712162E-3</v>
      </c>
      <c r="AD6">
        <f>Sex!AD6/Sex!$F6</f>
        <v>4.9855838539163864E-3</v>
      </c>
      <c r="AE6">
        <f>Sex!AE6/Sex!$F6</f>
        <v>9.4846227775108122E-2</v>
      </c>
      <c r="AF6">
        <f>Sex!AF6/Sex!$F6</f>
        <v>4.2047092743873138E-4</v>
      </c>
      <c r="AG6">
        <f>Sex!AG6/Sex!$F6</f>
        <v>0.54303820278712156</v>
      </c>
      <c r="AH6">
        <f>Sex!AH6/Sex!$F6</f>
        <v>0.52982340221047575</v>
      </c>
      <c r="AI6">
        <f>Sex!AI6/Sex!$F6</f>
        <v>3.1234983181162904E-3</v>
      </c>
      <c r="AJ6">
        <f>Sex!AJ6/Sex!$F6</f>
        <v>4.5050456511292646E-4</v>
      </c>
      <c r="AK6">
        <f>Sex!AK6/Sex!$F6</f>
        <v>0.51753964440172995</v>
      </c>
      <c r="AL6">
        <f>Sex!AL6/Sex!$F6</f>
        <v>0.3817575684766939</v>
      </c>
      <c r="AM6">
        <f>Sex!AM6/Sex!$F6</f>
        <v>1.4115809706871697E-3</v>
      </c>
      <c r="AN6">
        <f>Sex!AN6/Sex!$F6</f>
        <v>0.25636713118692939</v>
      </c>
      <c r="AO6">
        <f>Sex!AO6/Sex!$F6</f>
        <v>0.12854396924555503</v>
      </c>
      <c r="AP6">
        <f>Sex!AP6/Sex!$F6</f>
        <v>0.10667948101874099</v>
      </c>
      <c r="AQ6">
        <f>Sex!AQ6/Sex!$F6</f>
        <v>9.2023065833733778E-2</v>
      </c>
      <c r="AR6">
        <f>Sex!AR6/Sex!$F6</f>
        <v>8.974050937049495E-2</v>
      </c>
      <c r="AS6">
        <f>Sex!AS6/Sex!$F6</f>
        <v>2.009250360403652E-2</v>
      </c>
      <c r="AT6">
        <f>Sex!AT6/Sex!$F6</f>
        <v>1.5076886112445939E-2</v>
      </c>
      <c r="AU6">
        <f>Sex!AU6/Sex!$F6</f>
        <v>0.12391878904372898</v>
      </c>
      <c r="AV6">
        <f>Sex!AV6/Sex!$F6</f>
        <v>4.9555502162421912E-3</v>
      </c>
      <c r="AW6">
        <f>Sex!AW6/Sex!$F6</f>
        <v>4.0845747236905334E-3</v>
      </c>
      <c r="AX6">
        <f>Sex!AX6/Sex!$F6</f>
        <v>0.11388755406054782</v>
      </c>
      <c r="AY6">
        <f>Sex!AY6/Sex!$F6</f>
        <v>2.0122537241710715E-3</v>
      </c>
      <c r="AZ6">
        <f>Sex!AZ6/Sex!$F6</f>
        <v>0.10971287842383469</v>
      </c>
      <c r="BA6">
        <f>Sex!BA6/Sex!$F6</f>
        <v>6.0067275348390193E-3</v>
      </c>
      <c r="BB6">
        <f>Sex!BB6/Sex!$F6</f>
        <v>4.3849111004324844E-3</v>
      </c>
      <c r="BC6">
        <f>Sex!BC6/Sex!$F6</f>
        <v>6.0067275348390199E-5</v>
      </c>
    </row>
    <row r="7" spans="1:55">
      <c r="A7" s="1">
        <v>1020</v>
      </c>
      <c r="B7" s="1" t="s">
        <v>26</v>
      </c>
      <c r="C7" t="s">
        <v>175</v>
      </c>
      <c r="D7">
        <v>120938</v>
      </c>
      <c r="E7">
        <v>118043</v>
      </c>
      <c r="F7">
        <v>117453</v>
      </c>
      <c r="G7">
        <f>Sex!G7/Sex!$F7</f>
        <v>0.81631801656832947</v>
      </c>
      <c r="H7">
        <f>Sex!H7/Sex!$F7</f>
        <v>1.2192110886907954E-2</v>
      </c>
      <c r="I7">
        <f>Sex!I7/Sex!$F7</f>
        <v>1.2038858096430061E-2</v>
      </c>
      <c r="J7">
        <f>Sex!J7/Sex!$F7</f>
        <v>1.1672754208066205E-2</v>
      </c>
      <c r="K7">
        <f>Sex!K7/Sex!$F7</f>
        <v>1.1596127812827258E-2</v>
      </c>
      <c r="L7">
        <f>Sex!L7/Sex!$F7</f>
        <v>1.158761376891182E-2</v>
      </c>
      <c r="M7">
        <f>Sex!M7/Sex!$F7</f>
        <v>6.8623193958434435E-3</v>
      </c>
      <c r="N7">
        <f>Sex!N7/Sex!$F7</f>
        <v>3.2353366878666362E-3</v>
      </c>
      <c r="O7">
        <f>Sex!O7/Sex!$F7</f>
        <v>2.2136514180140141E-4</v>
      </c>
      <c r="P7">
        <f>Sex!P7/Sex!$F7</f>
        <v>5.1084263492631096E-5</v>
      </c>
      <c r="Q7">
        <f>Sex!Q7/Sex!$F7</f>
        <v>0.34669186823665638</v>
      </c>
      <c r="R7">
        <f>Sex!R7/Sex!$F7</f>
        <v>4.038211029092488E-2</v>
      </c>
      <c r="S7">
        <f>Sex!S7/Sex!$F7</f>
        <v>0.29610141929112072</v>
      </c>
      <c r="T7">
        <f>Sex!T7/Sex!$F7</f>
        <v>1.1332192451448665E-2</v>
      </c>
      <c r="U7">
        <f>Sex!U7/Sex!$F7</f>
        <v>1.5810579550969324E-2</v>
      </c>
      <c r="V7">
        <f>Sex!V7/Sex!$F7</f>
        <v>3.6440107958076846E-2</v>
      </c>
      <c r="W7">
        <f>Sex!W7/Sex!$F7</f>
        <v>0.13712719130205273</v>
      </c>
      <c r="X7">
        <f>Sex!X7/Sex!$F7</f>
        <v>6.4536452879023945E-2</v>
      </c>
      <c r="Y7">
        <f>Sex!Y7/Sex!$F7</f>
        <v>6.355733782874852E-2</v>
      </c>
      <c r="Z7">
        <f>Sex!Z7/Sex!$F7</f>
        <v>3.2302282615173726E-2</v>
      </c>
      <c r="AA7">
        <f>Sex!AA7/Sex!$F7</f>
        <v>5.1169403931785483E-3</v>
      </c>
      <c r="AB7">
        <f>Sex!AB7/Sex!$F7</f>
        <v>2.1881092862676987E-2</v>
      </c>
      <c r="AC7">
        <f>Sex!AC7/Sex!$F7</f>
        <v>4.0526849037487338E-3</v>
      </c>
      <c r="AD7">
        <f>Sex!AD7/Sex!$F7</f>
        <v>1.5997888517108972E-2</v>
      </c>
      <c r="AE7">
        <f>Sex!AE7/Sex!$F7</f>
        <v>0.10518249853132743</v>
      </c>
      <c r="AF7">
        <f>Sex!AF7/Sex!$F7</f>
        <v>4.9381454709543392E-4</v>
      </c>
      <c r="AG7">
        <f>Sex!AG7/Sex!$F7</f>
        <v>0.44627212587162524</v>
      </c>
      <c r="AH7">
        <f>Sex!AH7/Sex!$F7</f>
        <v>0.42652805803172333</v>
      </c>
      <c r="AI7">
        <f>Sex!AI7/Sex!$F7</f>
        <v>6.1641677947774851E-3</v>
      </c>
      <c r="AJ7">
        <f>Sex!AJ7/Sex!$F7</f>
        <v>4.3677045286199586E-3</v>
      </c>
      <c r="AK7">
        <f>Sex!AK7/Sex!$F7</f>
        <v>0.39363830638638436</v>
      </c>
      <c r="AL7">
        <f>Sex!AL7/Sex!$F7</f>
        <v>0.21760193439077757</v>
      </c>
      <c r="AM7">
        <f>Sex!AM7/Sex!$F7</f>
        <v>5.5766987646122283E-3</v>
      </c>
      <c r="AN7">
        <f>Sex!AN7/Sex!$F7</f>
        <v>0.12341106655428129</v>
      </c>
      <c r="AO7">
        <f>Sex!AO7/Sex!$F7</f>
        <v>3.3349510016772665E-2</v>
      </c>
      <c r="AP7">
        <f>Sex!AP7/Sex!$F7</f>
        <v>8.1181408733706245E-2</v>
      </c>
      <c r="AQ7">
        <f>Sex!AQ7/Sex!$F7</f>
        <v>8.2458515321022025E-2</v>
      </c>
      <c r="AR7">
        <f>Sex!AR7/Sex!$F7</f>
        <v>8.2100925476573605E-2</v>
      </c>
      <c r="AS7">
        <f>Sex!AS7/Sex!$F7</f>
        <v>2.3813780831481529E-2</v>
      </c>
      <c r="AT7">
        <f>Sex!AT7/Sex!$F7</f>
        <v>6.1301116191157315E-3</v>
      </c>
      <c r="AU7">
        <f>Sex!AU7/Sex!$F7</f>
        <v>0.15571334916945501</v>
      </c>
      <c r="AV7">
        <f>Sex!AV7/Sex!$F7</f>
        <v>3.445633572577967E-2</v>
      </c>
      <c r="AW7">
        <f>Sex!AW7/Sex!$F7</f>
        <v>8.2330804662290452E-3</v>
      </c>
      <c r="AX7">
        <f>Sex!AX7/Sex!$F7</f>
        <v>3.6550790528977549E-2</v>
      </c>
      <c r="AY7">
        <f>Sex!AY7/Sex!$F7</f>
        <v>1.0787293640860599E-2</v>
      </c>
      <c r="AZ7">
        <f>Sex!AZ7/Sex!$F7</f>
        <v>2.4418277949477662E-2</v>
      </c>
      <c r="BA7">
        <f>Sex!BA7/Sex!$F7</f>
        <v>0.10992482099222668</v>
      </c>
      <c r="BB7">
        <f>Sex!BB7/Sex!$F7</f>
        <v>7.3033468706631591E-2</v>
      </c>
      <c r="BC7">
        <f>Sex!BC7/Sex!$F7</f>
        <v>6.2152520582701163E-4</v>
      </c>
    </row>
    <row r="8" spans="1:55">
      <c r="A8" s="1">
        <v>1021</v>
      </c>
      <c r="B8" s="1" t="s">
        <v>26</v>
      </c>
      <c r="C8" t="s">
        <v>176</v>
      </c>
      <c r="D8">
        <v>36221</v>
      </c>
      <c r="E8">
        <v>34723</v>
      </c>
      <c r="F8">
        <v>34052</v>
      </c>
      <c r="G8">
        <f>Sex!G8/Sex!$F8</f>
        <v>0.74439093151650415</v>
      </c>
      <c r="H8">
        <f>Sex!H8/Sex!$F8</f>
        <v>2.9366850698931047E-5</v>
      </c>
      <c r="I8">
        <f>Sex!I8/Sex!$F8</f>
        <v>2.9366850698931047E-5</v>
      </c>
      <c r="J8">
        <f>Sex!J8/Sex!$F8</f>
        <v>0</v>
      </c>
      <c r="K8">
        <f>Sex!K8/Sex!$F8</f>
        <v>0</v>
      </c>
      <c r="L8">
        <f>Sex!L8/Sex!$F8</f>
        <v>0</v>
      </c>
      <c r="M8">
        <f>Sex!M8/Sex!$F8</f>
        <v>0</v>
      </c>
      <c r="N8">
        <f>Sex!N8/Sex!$F8</f>
        <v>0</v>
      </c>
      <c r="O8">
        <f>Sex!O8/Sex!$F8</f>
        <v>0</v>
      </c>
      <c r="P8">
        <f>Sex!P8/Sex!$F8</f>
        <v>0</v>
      </c>
      <c r="Q8">
        <f>Sex!Q8/Sex!$F8</f>
        <v>0.26242217784564781</v>
      </c>
      <c r="R8">
        <f>Sex!R8/Sex!$F8</f>
        <v>6.2610125690120991E-2</v>
      </c>
      <c r="S8">
        <f>Sex!S8/Sex!$F8</f>
        <v>0.19461411958181604</v>
      </c>
      <c r="T8">
        <f>Sex!T8/Sex!$F8</f>
        <v>2.2113238576295078E-2</v>
      </c>
      <c r="U8">
        <f>Sex!U8/Sex!$F8</f>
        <v>6.9863737812756954E-2</v>
      </c>
      <c r="V8">
        <f>Sex!V8/Sex!$F8</f>
        <v>0.10184423822389287</v>
      </c>
      <c r="W8">
        <f>Sex!W8/Sex!$F8</f>
        <v>1.6210501585809937E-2</v>
      </c>
      <c r="X8">
        <f>Sex!X8/Sex!$F8</f>
        <v>3.4065546810760016E-3</v>
      </c>
      <c r="Y8">
        <f>Sex!Y8/Sex!$F8</f>
        <v>2.4961823094091389E-3</v>
      </c>
      <c r="Z8">
        <f>Sex!Z8/Sex!$F8</f>
        <v>5.2566662751086575E-2</v>
      </c>
      <c r="AA8">
        <f>Sex!AA8/Sex!$F8</f>
        <v>7.3417126747327621E-4</v>
      </c>
      <c r="AB8">
        <f>Sex!AB8/Sex!$F8</f>
        <v>7.723481733818865E-3</v>
      </c>
      <c r="AC8">
        <f>Sex!AC8/Sex!$F8</f>
        <v>2.4374486080112768E-3</v>
      </c>
      <c r="AD8">
        <f>Sex!AD8/Sex!$F8</f>
        <v>4.5224950076353816E-3</v>
      </c>
      <c r="AE8">
        <f>Sex!AE8/Sex!$F8</f>
        <v>0.11432514977093856</v>
      </c>
      <c r="AF8">
        <f>Sex!AF8/Sex!$F8</f>
        <v>1.4389756842476213E-3</v>
      </c>
      <c r="AG8">
        <f>Sex!AG8/Sex!$F8</f>
        <v>0.48003054152472691</v>
      </c>
      <c r="AH8">
        <f>Sex!AH8/Sex!$F8</f>
        <v>0.41912369317514392</v>
      </c>
      <c r="AI8">
        <f>Sex!AI8/Sex!$F8</f>
        <v>1.4654058498766592E-2</v>
      </c>
      <c r="AJ8">
        <f>Sex!AJ8/Sex!$F8</f>
        <v>2.9073182191941735E-3</v>
      </c>
      <c r="AK8">
        <f>Sex!AK8/Sex!$F8</f>
        <v>0.37618935745330673</v>
      </c>
      <c r="AL8">
        <f>Sex!AL8/Sex!$F8</f>
        <v>0.295988488194526</v>
      </c>
      <c r="AM8">
        <f>Sex!AM8/Sex!$F8</f>
        <v>1.321508281451897E-3</v>
      </c>
      <c r="AN8">
        <f>Sex!AN8/Sex!$F8</f>
        <v>0.12736403148126396</v>
      </c>
      <c r="AO8">
        <f>Sex!AO8/Sex!$F8</f>
        <v>5.0246681545871023E-2</v>
      </c>
      <c r="AP8">
        <f>Sex!AP8/Sex!$F8</f>
        <v>6.6721484787971339E-2</v>
      </c>
      <c r="AQ8">
        <f>Sex!AQ8/Sex!$F8</f>
        <v>0.13696699165981441</v>
      </c>
      <c r="AR8">
        <f>Sex!AR8/Sex!$F8</f>
        <v>0.13614471984024434</v>
      </c>
      <c r="AS8">
        <f>Sex!AS8/Sex!$F8</f>
        <v>2.4521320333607426E-2</v>
      </c>
      <c r="AT8">
        <f>Sex!AT8/Sex!$F8</f>
        <v>1.709150710677787E-2</v>
      </c>
      <c r="AU8">
        <f>Sex!AU8/Sex!$F8</f>
        <v>6.4137201926465409E-2</v>
      </c>
      <c r="AV8">
        <f>Sex!AV8/Sex!$F8</f>
        <v>3.9938916950546226E-3</v>
      </c>
      <c r="AW8">
        <f>Sex!AW8/Sex!$F8</f>
        <v>3.5827557852695876E-3</v>
      </c>
      <c r="AX8">
        <f>Sex!AX8/Sex!$F8</f>
        <v>1.7766944672853283E-2</v>
      </c>
      <c r="AY8">
        <f>Sex!AY8/Sex!$F8</f>
        <v>6.3726066016680369E-3</v>
      </c>
      <c r="AZ8">
        <f>Sex!AZ8/Sex!$F8</f>
        <v>1.0718900505109832E-2</v>
      </c>
      <c r="BA8">
        <f>Sex!BA8/Sex!$F8</f>
        <v>3.7677669446728533E-2</v>
      </c>
      <c r="BB8">
        <f>Sex!BB8/Sex!$F8</f>
        <v>3.0247856219898978E-2</v>
      </c>
      <c r="BC8">
        <f>Sex!BC8/Sex!$F8</f>
        <v>4.4050276048396568E-4</v>
      </c>
    </row>
    <row r="9" spans="1:55">
      <c r="A9" s="1">
        <v>1022</v>
      </c>
      <c r="B9" s="1" t="s">
        <v>26</v>
      </c>
      <c r="C9" t="s">
        <v>177</v>
      </c>
      <c r="D9">
        <v>214901</v>
      </c>
      <c r="E9">
        <v>208043</v>
      </c>
      <c r="F9">
        <v>204524</v>
      </c>
      <c r="G9">
        <f>Sex!G9/Sex!$F9</f>
        <v>0.56602648099978492</v>
      </c>
      <c r="H9">
        <f>Sex!H9/Sex!$F9</f>
        <v>5.8819502845631807E-3</v>
      </c>
      <c r="I9">
        <f>Sex!I9/Sex!$F9</f>
        <v>5.6081437875261583E-3</v>
      </c>
      <c r="J9">
        <f>Sex!J9/Sex!$F9</f>
        <v>5.4467935303436268E-3</v>
      </c>
      <c r="K9">
        <f>Sex!K9/Sex!$F9</f>
        <v>5.4076783164811954E-3</v>
      </c>
      <c r="L9">
        <f>Sex!L9/Sex!$F9</f>
        <v>5.3930101112827835E-3</v>
      </c>
      <c r="M9">
        <f>Sex!M9/Sex!$F9</f>
        <v>1.1294518002777181E-3</v>
      </c>
      <c r="N9">
        <f>Sex!N9/Sex!$F9</f>
        <v>3.799065146388688E-3</v>
      </c>
      <c r="O9">
        <f>Sex!O9/Sex!$F9</f>
        <v>1.2223504332009935E-4</v>
      </c>
      <c r="P9">
        <f>Sex!P9/Sex!$F9</f>
        <v>5.8672820793647693E-5</v>
      </c>
      <c r="Q9">
        <f>Sex!Q9/Sex!$F9</f>
        <v>0.33914357239248205</v>
      </c>
      <c r="R9">
        <f>Sex!R9/Sex!$F9</f>
        <v>0.1317742661007999</v>
      </c>
      <c r="S9">
        <f>Sex!S9/Sex!$F9</f>
        <v>0.17149087637636659</v>
      </c>
      <c r="T9">
        <f>Sex!T9/Sex!$F9</f>
        <v>1.2331071170131623E-2</v>
      </c>
      <c r="U9">
        <f>Sex!U9/Sex!$F9</f>
        <v>1.4438403316970135E-2</v>
      </c>
      <c r="V9">
        <f>Sex!V9/Sex!$F9</f>
        <v>1.6545735463808647E-2</v>
      </c>
      <c r="W9">
        <f>Sex!W9/Sex!$F9</f>
        <v>6.5434863390115588E-2</v>
      </c>
      <c r="X9">
        <f>Sex!X9/Sex!$F9</f>
        <v>1.5455398877393361E-2</v>
      </c>
      <c r="Y9">
        <f>Sex!Y9/Sex!$F9</f>
        <v>1.3949463143689738E-2</v>
      </c>
      <c r="Z9">
        <f>Sex!Z9/Sex!$F9</f>
        <v>4.2581799690989811E-2</v>
      </c>
      <c r="AA9">
        <f>Sex!AA9/Sex!$F9</f>
        <v>8.1995267059122648E-3</v>
      </c>
      <c r="AB9">
        <f>Sex!AB9/Sex!$F9</f>
        <v>2.642721636580548E-2</v>
      </c>
      <c r="AC9">
        <f>Sex!AC9/Sex!$F9</f>
        <v>8.4097709804228352E-4</v>
      </c>
      <c r="AD9">
        <f>Sex!AD9/Sex!$F9</f>
        <v>2.506307328235317E-2</v>
      </c>
      <c r="AE9">
        <f>Sex!AE9/Sex!$F9</f>
        <v>5.0272828616690461E-2</v>
      </c>
      <c r="AF9">
        <f>Sex!AF9/Sex!$F9</f>
        <v>8.4097709804228352E-4</v>
      </c>
      <c r="AG9">
        <f>Sex!AG9/Sex!$F9</f>
        <v>0.20745731552287261</v>
      </c>
      <c r="AH9">
        <f>Sex!AH9/Sex!$F9</f>
        <v>0.20032856779644442</v>
      </c>
      <c r="AI9">
        <f>Sex!AI9/Sex!$F9</f>
        <v>7.9208308071424384E-4</v>
      </c>
      <c r="AJ9">
        <f>Sex!AJ9/Sex!$F9</f>
        <v>1.6575071874205473E-3</v>
      </c>
      <c r="AK9">
        <f>Sex!AK9/Sex!$F9</f>
        <v>0.19277933152099508</v>
      </c>
      <c r="AL9">
        <f>Sex!AL9/Sex!$F9</f>
        <v>0.11684692261054937</v>
      </c>
      <c r="AM9">
        <f>Sex!AM9/Sex!$F9</f>
        <v>2.6891709530421859E-4</v>
      </c>
      <c r="AN9">
        <f>Sex!AN9/Sex!$F9</f>
        <v>8.7725645889968909E-2</v>
      </c>
      <c r="AO9">
        <f>Sex!AO9/Sex!$F9</f>
        <v>6.7405292288435587E-2</v>
      </c>
      <c r="AP9">
        <f>Sex!AP9/Sex!$F9</f>
        <v>1.5807435802155247E-2</v>
      </c>
      <c r="AQ9">
        <f>Sex!AQ9/Sex!$F9</f>
        <v>2.3522911736519918E-2</v>
      </c>
      <c r="AR9">
        <f>Sex!AR9/Sex!$F9</f>
        <v>2.245213275703585E-2</v>
      </c>
      <c r="AS9">
        <f>Sex!AS9/Sex!$F9</f>
        <v>8.5466742289413474E-3</v>
      </c>
      <c r="AT9">
        <f>Sex!AT9/Sex!$F9</f>
        <v>1.9753183000528057E-3</v>
      </c>
      <c r="AU9">
        <f>Sex!AU9/Sex!$F9</f>
        <v>6.3968042870274397E-2</v>
      </c>
      <c r="AV9">
        <f>Sex!AV9/Sex!$F9</f>
        <v>1.8785081457432868E-2</v>
      </c>
      <c r="AW9">
        <f>Sex!AW9/Sex!$F9</f>
        <v>1.6379495804893314E-3</v>
      </c>
      <c r="AX9">
        <f>Sex!AX9/Sex!$F9</f>
        <v>9.0551720091529599E-3</v>
      </c>
      <c r="AY9">
        <f>Sex!AY9/Sex!$F9</f>
        <v>2.0584381295104732E-3</v>
      </c>
      <c r="AZ9">
        <f>Sex!AZ9/Sex!$F9</f>
        <v>6.7327061860710724E-3</v>
      </c>
      <c r="BA9">
        <f>Sex!BA9/Sex!$F9</f>
        <v>5.2737087090023664E-2</v>
      </c>
      <c r="BB9">
        <f>Sex!BB9/Sex!$F9</f>
        <v>3.3174590757074962E-2</v>
      </c>
      <c r="BC9">
        <f>Sex!BC9/Sex!$F9</f>
        <v>1.2712444505290333E-4</v>
      </c>
    </row>
    <row r="10" spans="1:55">
      <c r="A10" s="1">
        <v>1026</v>
      </c>
      <c r="B10" s="1" t="s">
        <v>26</v>
      </c>
      <c r="C10" t="s">
        <v>179</v>
      </c>
      <c r="D10">
        <v>259455</v>
      </c>
      <c r="E10">
        <v>252631</v>
      </c>
      <c r="F10">
        <v>242041</v>
      </c>
      <c r="G10">
        <f>Sex!G10/Sex!$F10</f>
        <v>0.71497390937898953</v>
      </c>
      <c r="H10">
        <f>Sex!H10/Sex!$F10</f>
        <v>1.4377729392954087E-3</v>
      </c>
      <c r="I10">
        <f>Sex!I10/Sex!$F10</f>
        <v>1.3923260935130824E-3</v>
      </c>
      <c r="J10">
        <f>Sex!J10/Sex!$F10</f>
        <v>1.3055639333831872E-3</v>
      </c>
      <c r="K10">
        <f>Sex!K10/Sex!$F10</f>
        <v>1.2931693390789165E-3</v>
      </c>
      <c r="L10">
        <f>Sex!L10/Sex!$F10</f>
        <v>1.2849062762094025E-3</v>
      </c>
      <c r="M10">
        <f>Sex!M10/Sex!$F10</f>
        <v>5.9907205803975364E-4</v>
      </c>
      <c r="N10">
        <f>Sex!N10/Sex!$F10</f>
        <v>5.8667746373548282E-4</v>
      </c>
      <c r="O10">
        <f>Sex!O10/Sex!$F10</f>
        <v>6.6104502956110736E-5</v>
      </c>
      <c r="P10">
        <f>Sex!P10/Sex!$F10</f>
        <v>4.131531434756921E-6</v>
      </c>
      <c r="Q10">
        <f>Sex!Q10/Sex!$F10</f>
        <v>0.37634946145487747</v>
      </c>
      <c r="R10">
        <f>Sex!R10/Sex!$F10</f>
        <v>0.14504980561144598</v>
      </c>
      <c r="S10">
        <f>Sex!S10/Sex!$F10</f>
        <v>0.22267714973909378</v>
      </c>
      <c r="T10">
        <f>Sex!T10/Sex!$F10</f>
        <v>1.700538338545949E-2</v>
      </c>
      <c r="U10">
        <f>Sex!U10/Sex!$F10</f>
        <v>1.0473432187108795E-2</v>
      </c>
      <c r="V10">
        <f>Sex!V10/Sex!$F10</f>
        <v>1.2733379881920831E-2</v>
      </c>
      <c r="W10">
        <f>Sex!W10/Sex!$F10</f>
        <v>7.775129007069051E-2</v>
      </c>
      <c r="X10">
        <f>Sex!X10/Sex!$F10</f>
        <v>9.3496556368549127E-3</v>
      </c>
      <c r="Y10">
        <f>Sex!Y10/Sex!$F10</f>
        <v>8.9447655562487349E-3</v>
      </c>
      <c r="Z10">
        <f>Sex!Z10/Sex!$F10</f>
        <v>6.1204506674489033E-2</v>
      </c>
      <c r="AA10">
        <f>Sex!AA10/Sex!$F10</f>
        <v>8.7133997959023476E-3</v>
      </c>
      <c r="AB10">
        <f>Sex!AB10/Sex!$F10</f>
        <v>4.9020620473390869E-2</v>
      </c>
      <c r="AC10">
        <f>Sex!AC10/Sex!$F10</f>
        <v>3.3052251478055371E-3</v>
      </c>
      <c r="AD10">
        <f>Sex!AD10/Sex!$F10</f>
        <v>4.2360591800562716E-2</v>
      </c>
      <c r="AE10">
        <f>Sex!AE10/Sex!$F10</f>
        <v>6.6348263310761393E-2</v>
      </c>
      <c r="AF10">
        <f>Sex!AF10/Sex!$F10</f>
        <v>7.436756582562458E-4</v>
      </c>
      <c r="AG10">
        <f>Sex!AG10/Sex!$F10</f>
        <v>0.33172065889663321</v>
      </c>
      <c r="AH10">
        <f>Sex!AH10/Sex!$F10</f>
        <v>0.29921376956796575</v>
      </c>
      <c r="AI10">
        <f>Sex!AI10/Sex!$F10</f>
        <v>2.7185476840700541E-3</v>
      </c>
      <c r="AJ10">
        <f>Sex!AJ10/Sex!$F10</f>
        <v>1.9624774315095375E-3</v>
      </c>
      <c r="AK10">
        <f>Sex!AK10/Sex!$F10</f>
        <v>0.28786032118525373</v>
      </c>
      <c r="AL10">
        <f>Sex!AL10/Sex!$F10</f>
        <v>0.19514462425787366</v>
      </c>
      <c r="AM10">
        <f>Sex!AM10/Sex!$F10</f>
        <v>2.478918860854153E-4</v>
      </c>
      <c r="AN10">
        <f>Sex!AN10/Sex!$F10</f>
        <v>5.1797009597547523E-2</v>
      </c>
      <c r="AO10">
        <f>Sex!AO10/Sex!$F10</f>
        <v>6.0650881462231609E-3</v>
      </c>
      <c r="AP10">
        <f>Sex!AP10/Sex!$F10</f>
        <v>4.357939357381601E-2</v>
      </c>
      <c r="AQ10">
        <f>Sex!AQ10/Sex!$F10</f>
        <v>0.12228506740593535</v>
      </c>
      <c r="AR10">
        <f>Sex!AR10/Sex!$F10</f>
        <v>0.12134720977024553</v>
      </c>
      <c r="AS10">
        <f>Sex!AS10/Sex!$F10</f>
        <v>1.6703781590722232E-2</v>
      </c>
      <c r="AT10">
        <f>Sex!AT10/Sex!$F10</f>
        <v>3.2556467705884542E-3</v>
      </c>
      <c r="AU10">
        <f>Sex!AU10/Sex!$F10</f>
        <v>8.1998504385620619E-2</v>
      </c>
      <c r="AV10">
        <f>Sex!AV10/Sex!$F10</f>
        <v>1.6274102321507514E-2</v>
      </c>
      <c r="AW10">
        <f>Sex!AW10/Sex!$F10</f>
        <v>1.7930846426845038E-3</v>
      </c>
      <c r="AX10">
        <f>Sex!AX10/Sex!$F10</f>
        <v>9.2835511338988028E-3</v>
      </c>
      <c r="AY10">
        <f>Sex!AY10/Sex!$F10</f>
        <v>5.7263025685730931E-3</v>
      </c>
      <c r="AZ10">
        <f>Sex!AZ10/Sex!$F10</f>
        <v>2.9251242558079003E-3</v>
      </c>
      <c r="BA10">
        <f>Sex!BA10/Sex!$F10</f>
        <v>6.7414198420928689E-2</v>
      </c>
      <c r="BB10">
        <f>Sex!BB10/Sex!$F10</f>
        <v>4.9983267297689232E-2</v>
      </c>
      <c r="BC10">
        <f>Sex!BC10/Sex!$F10</f>
        <v>1.0618035787325287E-3</v>
      </c>
    </row>
    <row r="11" spans="1:55">
      <c r="A11" s="1">
        <v>1039</v>
      </c>
      <c r="B11" s="1" t="s">
        <v>26</v>
      </c>
      <c r="C11" t="s">
        <v>182</v>
      </c>
      <c r="D11">
        <v>135493</v>
      </c>
      <c r="E11">
        <v>133046</v>
      </c>
      <c r="F11">
        <v>127178</v>
      </c>
      <c r="G11">
        <f>Sex!G11/Sex!$F11</f>
        <v>0.57243391152557832</v>
      </c>
      <c r="H11">
        <f>Sex!H11/Sex!$F11</f>
        <v>4.8278790356822724E-3</v>
      </c>
      <c r="I11">
        <f>Sex!I11/Sex!$F11</f>
        <v>4.7807010646495462E-3</v>
      </c>
      <c r="J11">
        <f>Sex!J11/Sex!$F11</f>
        <v>4.3167843494944097E-3</v>
      </c>
      <c r="K11">
        <f>Sex!K11/Sex!$F11</f>
        <v>4.3089213543222888E-3</v>
      </c>
      <c r="L11">
        <f>Sex!L11/Sex!$F11</f>
        <v>4.3089213543222888E-3</v>
      </c>
      <c r="M11">
        <f>Sex!M11/Sex!$F11</f>
        <v>1.108682319269056E-3</v>
      </c>
      <c r="N11">
        <f>Sex!N11/Sex!$F11</f>
        <v>2.6341033826605231E-3</v>
      </c>
      <c r="O11">
        <f>Sex!O11/Sex!$F11</f>
        <v>5.504096620484675E-5</v>
      </c>
      <c r="P11">
        <f>Sex!P11/Sex!$F11</f>
        <v>1.729858937866612E-4</v>
      </c>
      <c r="Q11">
        <f>Sex!Q11/Sex!$F11</f>
        <v>0.22996115680384971</v>
      </c>
      <c r="R11">
        <f>Sex!R11/Sex!$F11</f>
        <v>9.3844847379263713E-2</v>
      </c>
      <c r="S11">
        <f>Sex!S11/Sex!$F11</f>
        <v>0.12761641164352325</v>
      </c>
      <c r="T11">
        <f>Sex!T11/Sex!$F11</f>
        <v>1.0434194593404519E-2</v>
      </c>
      <c r="U11">
        <f>Sex!U11/Sex!$F11</f>
        <v>1.9578857978581202E-3</v>
      </c>
      <c r="V11">
        <f>Sex!V11/Sex!$F11</f>
        <v>5.1109468618786265E-3</v>
      </c>
      <c r="W11">
        <f>Sex!W11/Sex!$F11</f>
        <v>3.789963672962305E-2</v>
      </c>
      <c r="X11">
        <f>Sex!X11/Sex!$F11</f>
        <v>5.3704257025586188E-3</v>
      </c>
      <c r="Y11">
        <f>Sex!Y11/Sex!$F11</f>
        <v>5.0401799053295384E-3</v>
      </c>
      <c r="Z11">
        <f>Sex!Z11/Sex!$F11</f>
        <v>4.2302914026010788E-2</v>
      </c>
      <c r="AA11">
        <f>Sex!AA11/Sex!$F11</f>
        <v>5.5827265722058848E-3</v>
      </c>
      <c r="AB11">
        <f>Sex!AB11/Sex!$F11</f>
        <v>3.2151787258802626E-2</v>
      </c>
      <c r="AC11">
        <f>Sex!AC11/Sex!$F11</f>
        <v>1.1165453144411769E-3</v>
      </c>
      <c r="AD11">
        <f>Sex!AD11/Sex!$F11</f>
        <v>2.9376149963043923E-2</v>
      </c>
      <c r="AE11">
        <f>Sex!AE11/Sex!$F11</f>
        <v>3.6971803299312773E-2</v>
      </c>
      <c r="AF11">
        <f>Sex!AF11/Sex!$F11</f>
        <v>1.108682319269056E-3</v>
      </c>
      <c r="AG11">
        <f>Sex!AG11/Sex!$F11</f>
        <v>0.33271477771312646</v>
      </c>
      <c r="AH11">
        <f>Sex!AH11/Sex!$F11</f>
        <v>0.32051140920599475</v>
      </c>
      <c r="AI11">
        <f>Sex!AI11/Sex!$F11</f>
        <v>1.4546541068423784E-3</v>
      </c>
      <c r="AJ11">
        <f>Sex!AJ11/Sex!$F11</f>
        <v>5.8972463790907237E-4</v>
      </c>
      <c r="AK11">
        <f>Sex!AK11/Sex!$F11</f>
        <v>0.31427605403450282</v>
      </c>
      <c r="AL11">
        <f>Sex!AL11/Sex!$F11</f>
        <v>0.17051691330261523</v>
      </c>
      <c r="AM11">
        <f>Sex!AM11/Sex!$F11</f>
        <v>4.7177971032725787E-4</v>
      </c>
      <c r="AN11">
        <f>Sex!AN11/Sex!$F11</f>
        <v>8.723206843950998E-2</v>
      </c>
      <c r="AO11">
        <f>Sex!AO11/Sex!$F11</f>
        <v>1.6032647155954646E-2</v>
      </c>
      <c r="AP11">
        <f>Sex!AP11/Sex!$F11</f>
        <v>6.6599569107864562E-2</v>
      </c>
      <c r="AQ11">
        <f>Sex!AQ11/Sex!$F11</f>
        <v>6.6222145339602759E-2</v>
      </c>
      <c r="AR11">
        <f>Sex!AR11/Sex!$F11</f>
        <v>6.5616694711349441E-2</v>
      </c>
      <c r="AS11">
        <f>Sex!AS11/Sex!$F11</f>
        <v>2.6804950541760367E-2</v>
      </c>
      <c r="AT11">
        <f>Sex!AT11/Sex!$F11</f>
        <v>9.8366069603233255E-3</v>
      </c>
      <c r="AU11">
        <f>Sex!AU11/Sex!$F11</f>
        <v>0.13356083599364671</v>
      </c>
      <c r="AV11">
        <f>Sex!AV11/Sex!$F11</f>
        <v>5.4883706301404329E-2</v>
      </c>
      <c r="AW11">
        <f>Sex!AW11/Sex!$F11</f>
        <v>6.9430247369828115E-3</v>
      </c>
      <c r="AX11">
        <f>Sex!AX11/Sex!$F11</f>
        <v>3.539920426488858E-2</v>
      </c>
      <c r="AY11">
        <f>Sex!AY11/Sex!$F11</f>
        <v>1.6205633049741309E-2</v>
      </c>
      <c r="AZ11">
        <f>Sex!AZ11/Sex!$F11</f>
        <v>1.656733082765887E-2</v>
      </c>
      <c r="BA11">
        <f>Sex!BA11/Sex!$F11</f>
        <v>8.980326786079354E-2</v>
      </c>
      <c r="BB11">
        <f>Sex!BB11/Sex!$F11</f>
        <v>7.1081476355973519E-2</v>
      </c>
      <c r="BC11">
        <f>Sex!BC11/Sex!$F11</f>
        <v>2.5161584550787087E-4</v>
      </c>
    </row>
    <row r="12" spans="1:55">
      <c r="A12" s="1">
        <v>1040</v>
      </c>
      <c r="B12" s="1" t="s">
        <v>26</v>
      </c>
      <c r="C12" t="s">
        <v>183</v>
      </c>
      <c r="D12">
        <v>69173</v>
      </c>
      <c r="E12">
        <v>66483</v>
      </c>
      <c r="F12">
        <v>62058</v>
      </c>
      <c r="G12">
        <f>Sex!G12/Sex!$F12</f>
        <v>0.64127106899996777</v>
      </c>
      <c r="H12">
        <f>Sex!H12/Sex!$F12</f>
        <v>1.4712043572142189E-2</v>
      </c>
      <c r="I12">
        <f>Sex!I12/Sex!$F12</f>
        <v>1.4341422540204325E-2</v>
      </c>
      <c r="J12">
        <f>Sex!J12/Sex!$F12</f>
        <v>1.2762254664990815E-2</v>
      </c>
      <c r="K12">
        <f>Sex!K12/Sex!$F12</f>
        <v>1.2746140707080474E-2</v>
      </c>
      <c r="L12">
        <f>Sex!L12/Sex!$F12</f>
        <v>1.2697798833349446E-2</v>
      </c>
      <c r="M12">
        <f>Sex!M12/Sex!$F12</f>
        <v>2.5298913919236843E-3</v>
      </c>
      <c r="N12">
        <f>Sex!N12/Sex!$F12</f>
        <v>8.6048535241225951E-3</v>
      </c>
      <c r="O12">
        <f>Sex!O12/Sex!$F12</f>
        <v>8.5403976924812268E-4</v>
      </c>
      <c r="P12">
        <f>Sex!P12/Sex!$F12</f>
        <v>2.094814528344452E-4</v>
      </c>
      <c r="Q12">
        <f>Sex!Q12/Sex!$F12</f>
        <v>0.36465886751103804</v>
      </c>
      <c r="R12">
        <f>Sex!R12/Sex!$F12</f>
        <v>3.4177704727835254E-2</v>
      </c>
      <c r="S12">
        <f>Sex!S12/Sex!$F12</f>
        <v>0.32696831995874825</v>
      </c>
      <c r="T12">
        <f>Sex!T12/Sex!$F12</f>
        <v>1.5856134583776466E-2</v>
      </c>
      <c r="U12">
        <f>Sex!U12/Sex!$F12</f>
        <v>1.6323439363176383E-2</v>
      </c>
      <c r="V12">
        <f>Sex!V12/Sex!$F12</f>
        <v>1.6097843952431596E-2</v>
      </c>
      <c r="W12">
        <f>Sex!W12/Sex!$F12</f>
        <v>0.19426987656708242</v>
      </c>
      <c r="X12">
        <f>Sex!X12/Sex!$F12</f>
        <v>4.9453736826839408E-2</v>
      </c>
      <c r="Y12">
        <f>Sex!Y12/Sex!$F12</f>
        <v>4.8551355183860258E-2</v>
      </c>
      <c r="Z12">
        <f>Sex!Z12/Sex!$F12</f>
        <v>5.1226272196977021E-2</v>
      </c>
      <c r="AA12">
        <f>Sex!AA12/Sex!$F12</f>
        <v>7.0256856489090847E-3</v>
      </c>
      <c r="AB12">
        <f>Sex!AB12/Sex!$F12</f>
        <v>3.7980598794675947E-2</v>
      </c>
      <c r="AC12">
        <f>Sex!AC12/Sex!$F12</f>
        <v>1.2085468432756453E-3</v>
      </c>
      <c r="AD12">
        <f>Sex!AD12/Sex!$F12</f>
        <v>3.150278771471849E-2</v>
      </c>
      <c r="AE12">
        <f>Sex!AE12/Sex!$F12</f>
        <v>6.0959102774823554E-2</v>
      </c>
      <c r="AF12">
        <f>Sex!AF12/Sex!$F12</f>
        <v>7.7346997969641302E-4</v>
      </c>
      <c r="AG12">
        <f>Sex!AG12/Sex!$F12</f>
        <v>0.24652744207032132</v>
      </c>
      <c r="AH12">
        <f>Sex!AH12/Sex!$F12</f>
        <v>0.23816429791485386</v>
      </c>
      <c r="AI12">
        <f>Sex!AI12/Sex!$F12</f>
        <v>3.0777659608753104E-3</v>
      </c>
      <c r="AJ12">
        <f>Sex!AJ12/Sex!$F12</f>
        <v>4.6408198781784779E-3</v>
      </c>
      <c r="AK12">
        <f>Sex!AK12/Sex!$F12</f>
        <v>0.21690998743111284</v>
      </c>
      <c r="AL12">
        <f>Sex!AL12/Sex!$F12</f>
        <v>0.11992007476876471</v>
      </c>
      <c r="AM12">
        <f>Sex!AM12/Sex!$F12</f>
        <v>5.8010248477230973E-4</v>
      </c>
      <c r="AN12">
        <f>Sex!AN12/Sex!$F12</f>
        <v>7.4027522640110865E-2</v>
      </c>
      <c r="AO12">
        <f>Sex!AO12/Sex!$F12</f>
        <v>2.0899803409713494E-2</v>
      </c>
      <c r="AP12">
        <f>Sex!AP12/Sex!$F12</f>
        <v>4.7600631667150083E-2</v>
      </c>
      <c r="AQ12">
        <f>Sex!AQ12/Sex!$F12</f>
        <v>3.5515163234393632E-2</v>
      </c>
      <c r="AR12">
        <f>Sex!AR12/Sex!$F12</f>
        <v>3.522511199200748E-2</v>
      </c>
      <c r="AS12">
        <f>Sex!AS12/Sex!$F12</f>
        <v>1.0699668052467047E-2</v>
      </c>
      <c r="AT12">
        <f>Sex!AT12/Sex!$F12</f>
        <v>3.3033613716200974E-3</v>
      </c>
      <c r="AU12">
        <f>Sex!AU12/Sex!$F12</f>
        <v>8.0779271004544143E-2</v>
      </c>
      <c r="AV12">
        <f>Sex!AV12/Sex!$F12</f>
        <v>2.8296110090560444E-2</v>
      </c>
      <c r="AW12">
        <f>Sex!AW12/Sex!$F12</f>
        <v>1.9175609913306907E-3</v>
      </c>
      <c r="AX12">
        <f>Sex!AX12/Sex!$F12</f>
        <v>1.6258983531535015E-2</v>
      </c>
      <c r="AY12">
        <f>Sex!AY12/Sex!$F12</f>
        <v>9.4588932933707178E-3</v>
      </c>
      <c r="AZ12">
        <f>Sex!AZ12/Sex!$F12</f>
        <v>5.6559992265300205E-3</v>
      </c>
      <c r="BA12">
        <f>Sex!BA12/Sex!$F12</f>
        <v>5.8654806793644654E-2</v>
      </c>
      <c r="BB12">
        <f>Sex!BB12/Sex!$F12</f>
        <v>4.1509555577040835E-2</v>
      </c>
      <c r="BC12">
        <f>Sex!BC12/Sex!$F12</f>
        <v>1.1279770537239356E-4</v>
      </c>
    </row>
    <row r="13" spans="1:55">
      <c r="A13" s="1">
        <v>1048</v>
      </c>
      <c r="B13" s="1" t="s">
        <v>26</v>
      </c>
      <c r="C13" t="s">
        <v>186</v>
      </c>
      <c r="D13">
        <v>148761</v>
      </c>
      <c r="E13">
        <v>144702</v>
      </c>
      <c r="F13">
        <v>136700</v>
      </c>
      <c r="G13">
        <f>Sex!G13/Sex!$F13</f>
        <v>0.69349670811997077</v>
      </c>
      <c r="H13">
        <f>Sex!H13/Sex!$F13</f>
        <v>5.4133138258961227E-4</v>
      </c>
      <c r="I13">
        <f>Sex!I13/Sex!$F13</f>
        <v>4.9012435991221655E-4</v>
      </c>
      <c r="J13">
        <f>Sex!J13/Sex!$F13</f>
        <v>4.3160204828090711E-4</v>
      </c>
      <c r="K13">
        <f>Sex!K13/Sex!$F13</f>
        <v>4.3160204828090711E-4</v>
      </c>
      <c r="L13">
        <f>Sex!L13/Sex!$F13</f>
        <v>4.3160204828090711E-4</v>
      </c>
      <c r="M13">
        <f>Sex!M13/Sex!$F13</f>
        <v>8.7783467446964149E-5</v>
      </c>
      <c r="N13">
        <f>Sex!N13/Sex!$F13</f>
        <v>2.9261155815654721E-4</v>
      </c>
      <c r="O13">
        <f>Sex!O13/Sex!$F13</f>
        <v>0</v>
      </c>
      <c r="P13">
        <f>Sex!P13/Sex!$F13</f>
        <v>0</v>
      </c>
      <c r="Q13">
        <f>Sex!Q13/Sex!$F13</f>
        <v>0.24074615947329919</v>
      </c>
      <c r="R13">
        <f>Sex!R13/Sex!$F13</f>
        <v>5.6803218727139719E-2</v>
      </c>
      <c r="S13">
        <f>Sex!S13/Sex!$F13</f>
        <v>0.18006583760058523</v>
      </c>
      <c r="T13">
        <f>Sex!T13/Sex!$F13</f>
        <v>1.0124359912216533E-2</v>
      </c>
      <c r="U13">
        <f>Sex!U13/Sex!$F13</f>
        <v>1.9363569861009511E-2</v>
      </c>
      <c r="V13">
        <f>Sex!V13/Sex!$F13</f>
        <v>3.1602048280907097E-2</v>
      </c>
      <c r="W13">
        <f>Sex!W13/Sex!$F13</f>
        <v>7.065837600585223E-2</v>
      </c>
      <c r="X13">
        <f>Sex!X13/Sex!$F13</f>
        <v>2.980248719824433E-2</v>
      </c>
      <c r="Y13">
        <f>Sex!Y13/Sex!$F13</f>
        <v>2.9209948792977322E-2</v>
      </c>
      <c r="Z13">
        <f>Sex!Z13/Sex!$F13</f>
        <v>1.2692026335040234E-2</v>
      </c>
      <c r="AA13">
        <f>Sex!AA13/Sex!$F13</f>
        <v>2.670080468178493E-3</v>
      </c>
      <c r="AB13">
        <f>Sex!AB13/Sex!$F13</f>
        <v>8.4052670080468177E-3</v>
      </c>
      <c r="AC13">
        <f>Sex!AC13/Sex!$F13</f>
        <v>6.9495245062179951E-4</v>
      </c>
      <c r="AD13">
        <f>Sex!AD13/Sex!$F13</f>
        <v>7.483540599853694E-3</v>
      </c>
      <c r="AE13">
        <f>Sex!AE13/Sex!$F13</f>
        <v>8.9326993416239939E-2</v>
      </c>
      <c r="AF13">
        <f>Sex!AF13/Sex!$F13</f>
        <v>1.2874908558888076E-3</v>
      </c>
      <c r="AG13">
        <f>Sex!AG13/Sex!$F13</f>
        <v>0.44869787856620336</v>
      </c>
      <c r="AH13">
        <f>Sex!AH13/Sex!$F13</f>
        <v>0.40759326993416239</v>
      </c>
      <c r="AI13">
        <f>Sex!AI13/Sex!$F13</f>
        <v>3.9136795903438187E-3</v>
      </c>
      <c r="AJ13">
        <f>Sex!AJ13/Sex!$F13</f>
        <v>2.7286027798098023E-3</v>
      </c>
      <c r="AK13">
        <f>Sex!AK13/Sex!$F13</f>
        <v>0.39136795903438187</v>
      </c>
      <c r="AL13">
        <f>Sex!AL13/Sex!$F13</f>
        <v>0.22164594001463059</v>
      </c>
      <c r="AM13">
        <f>Sex!AM13/Sex!$F13</f>
        <v>4.6817849305047548E-4</v>
      </c>
      <c r="AN13">
        <f>Sex!AN13/Sex!$F13</f>
        <v>0.14292611558156548</v>
      </c>
      <c r="AO13">
        <f>Sex!AO13/Sex!$F13</f>
        <v>5.6035113386978787E-2</v>
      </c>
      <c r="AP13">
        <f>Sex!AP13/Sex!$F13</f>
        <v>7.4754937820043887E-2</v>
      </c>
      <c r="AQ13">
        <f>Sex!AQ13/Sex!$F13</f>
        <v>6.4133138258961234E-2</v>
      </c>
      <c r="AR13">
        <f>Sex!AR13/Sex!$F13</f>
        <v>6.3730797366495978E-2</v>
      </c>
      <c r="AS13">
        <f>Sex!AS13/Sex!$F13</f>
        <v>1.70592538405267E-2</v>
      </c>
      <c r="AT13">
        <f>Sex!AT13/Sex!$F13</f>
        <v>5.0841258229700073E-3</v>
      </c>
      <c r="AU13">
        <f>Sex!AU13/Sex!$F13</f>
        <v>0.1496196049743965</v>
      </c>
      <c r="AV13">
        <f>Sex!AV13/Sex!$F13</f>
        <v>2.2926115581565473E-2</v>
      </c>
      <c r="AW13">
        <f>Sex!AW13/Sex!$F13</f>
        <v>3.4089246525237748E-3</v>
      </c>
      <c r="AX13">
        <f>Sex!AX13/Sex!$F13</f>
        <v>8.2304316020482812E-2</v>
      </c>
      <c r="AY13">
        <f>Sex!AY13/Sex!$F13</f>
        <v>1.3913679590343819E-2</v>
      </c>
      <c r="AZ13">
        <f>Sex!AZ13/Sex!$F13</f>
        <v>6.4374542794440381E-2</v>
      </c>
      <c r="BA13">
        <f>Sex!BA13/Sex!$F13</f>
        <v>6.0892465252377466E-2</v>
      </c>
      <c r="BB13">
        <f>Sex!BB13/Sex!$F13</f>
        <v>4.9897585954645211E-2</v>
      </c>
      <c r="BC13">
        <f>Sex!BC13/Sex!$F13</f>
        <v>1.1923920994879298E-3</v>
      </c>
    </row>
    <row r="14" spans="1:55">
      <c r="A14" s="1">
        <v>1059</v>
      </c>
      <c r="B14" s="1" t="s">
        <v>26</v>
      </c>
      <c r="C14" t="s">
        <v>188</v>
      </c>
      <c r="D14">
        <v>175293</v>
      </c>
      <c r="E14">
        <v>171404</v>
      </c>
      <c r="F14">
        <v>153549</v>
      </c>
      <c r="G14">
        <f>Sex!G14/Sex!$F14</f>
        <v>0.52888003178138576</v>
      </c>
      <c r="H14">
        <f>Sex!H14/Sex!$F14</f>
        <v>3.6535568450462067E-3</v>
      </c>
      <c r="I14">
        <f>Sex!I14/Sex!$F14</f>
        <v>3.6014562126747813E-3</v>
      </c>
      <c r="J14">
        <f>Sex!J14/Sex!$F14</f>
        <v>3.4712046317462177E-3</v>
      </c>
      <c r="K14">
        <f>Sex!K14/Sex!$F14</f>
        <v>3.4386417365140768E-3</v>
      </c>
      <c r="L14">
        <f>Sex!L14/Sex!$F14</f>
        <v>3.4125914203283641E-3</v>
      </c>
      <c r="M14">
        <f>Sex!M14/Sex!$F14</f>
        <v>9.5734911982494188E-4</v>
      </c>
      <c r="N14">
        <f>Sex!N14/Sex!$F14</f>
        <v>2.1231007691355852E-3</v>
      </c>
      <c r="O14">
        <f>Sex!O14/Sex!$F14</f>
        <v>7.1638369510709934E-5</v>
      </c>
      <c r="P14">
        <f>Sex!P14/Sex!$F14</f>
        <v>3.2562895232140878E-5</v>
      </c>
      <c r="Q14">
        <f>Sex!Q14/Sex!$F14</f>
        <v>0.26400692938410542</v>
      </c>
      <c r="R14">
        <f>Sex!R14/Sex!$F14</f>
        <v>4.0117486925997564E-2</v>
      </c>
      <c r="S14">
        <f>Sex!S14/Sex!$F14</f>
        <v>0.21895290754091529</v>
      </c>
      <c r="T14">
        <f>Sex!T14/Sex!$F14</f>
        <v>2.5073429328748478E-3</v>
      </c>
      <c r="U14">
        <f>Sex!U14/Sex!$F14</f>
        <v>1.2634403350070661E-3</v>
      </c>
      <c r="V14">
        <f>Sex!V14/Sex!$F14</f>
        <v>1.3624315365127744E-2</v>
      </c>
      <c r="W14">
        <f>Sex!W14/Sex!$F14</f>
        <v>9.7317468690776232E-2</v>
      </c>
      <c r="X14">
        <f>Sex!X14/Sex!$F14</f>
        <v>1.792261753577034E-2</v>
      </c>
      <c r="Y14">
        <f>Sex!Y14/Sex!$F14</f>
        <v>1.7303922526359664E-2</v>
      </c>
      <c r="Z14">
        <f>Sex!Z14/Sex!$F14</f>
        <v>5.5070368416596654E-2</v>
      </c>
      <c r="AA14">
        <f>Sex!AA14/Sex!$F14</f>
        <v>9.5995415144351313E-3</v>
      </c>
      <c r="AB14">
        <f>Sex!AB14/Sex!$F14</f>
        <v>3.9883034080326153E-2</v>
      </c>
      <c r="AC14">
        <f>Sex!AC14/Sex!$F14</f>
        <v>9.3781138268565734E-4</v>
      </c>
      <c r="AD14">
        <f>Sex!AD14/Sex!$F14</f>
        <v>3.4484106050837189E-2</v>
      </c>
      <c r="AE14">
        <f>Sex!AE14/Sex!$F14</f>
        <v>5.0068707708939821E-2</v>
      </c>
      <c r="AF14">
        <f>Sex!AF14/Sex!$F14</f>
        <v>6.5777048368924579E-4</v>
      </c>
      <c r="AG14">
        <f>Sex!AG14/Sex!$F14</f>
        <v>0.25432272434206671</v>
      </c>
      <c r="AH14">
        <f>Sex!AH14/Sex!$F14</f>
        <v>0.2367127106005249</v>
      </c>
      <c r="AI14">
        <f>Sex!AI14/Sex!$F14</f>
        <v>9.0524848745351645E-4</v>
      </c>
      <c r="AJ14">
        <f>Sex!AJ14/Sex!$F14</f>
        <v>4.298302170642596E-4</v>
      </c>
      <c r="AK14">
        <f>Sex!AK14/Sex!$F14</f>
        <v>0.23203016626614306</v>
      </c>
      <c r="AL14">
        <f>Sex!AL14/Sex!$F14</f>
        <v>0.14417547492982696</v>
      </c>
      <c r="AM14">
        <f>Sex!AM14/Sex!$F14</f>
        <v>3.7772958469283423E-4</v>
      </c>
      <c r="AN14">
        <f>Sex!AN14/Sex!$F14</f>
        <v>6.2585884636174774E-2</v>
      </c>
      <c r="AO14">
        <f>Sex!AO14/Sex!$F14</f>
        <v>1.9433535874541677E-2</v>
      </c>
      <c r="AP14">
        <f>Sex!AP14/Sex!$F14</f>
        <v>3.9062449120476198E-2</v>
      </c>
      <c r="AQ14">
        <f>Sex!AQ14/Sex!$F14</f>
        <v>6.8505818989377978E-2</v>
      </c>
      <c r="AR14">
        <f>Sex!AR14/Sex!$F14</f>
        <v>6.7216328338185208E-2</v>
      </c>
      <c r="AS14">
        <f>Sex!AS14/Sex!$F14</f>
        <v>1.6411699196999002E-2</v>
      </c>
      <c r="AT14">
        <f>Sex!AT14/Sex!$F14</f>
        <v>3.1130127841926683E-3</v>
      </c>
      <c r="AU14">
        <f>Sex!AU14/Sex!$F14</f>
        <v>6.335436896365329E-2</v>
      </c>
      <c r="AV14">
        <f>Sex!AV14/Sex!$F14</f>
        <v>1.4301623585956274E-2</v>
      </c>
      <c r="AW14">
        <f>Sex!AW14/Sex!$F14</f>
        <v>1.439279969260627E-3</v>
      </c>
      <c r="AX14">
        <f>Sex!AX14/Sex!$F14</f>
        <v>1.296003230239207E-2</v>
      </c>
      <c r="AY14">
        <f>Sex!AY14/Sex!$F14</f>
        <v>5.4966167151853807E-3</v>
      </c>
      <c r="AZ14">
        <f>Sex!AZ14/Sex!$F14</f>
        <v>6.6884186806817365E-3</v>
      </c>
      <c r="BA14">
        <f>Sex!BA14/Sex!$F14</f>
        <v>4.6903594292375721E-2</v>
      </c>
      <c r="BB14">
        <f>Sex!BB14/Sex!$F14</f>
        <v>2.7541696787344756E-2</v>
      </c>
      <c r="BC14">
        <f>Sex!BC14/Sex!$F14</f>
        <v>3.4516668946069334E-4</v>
      </c>
    </row>
    <row r="15" spans="1:55">
      <c r="A15" s="1">
        <v>1061</v>
      </c>
      <c r="B15" s="1" t="s">
        <v>26</v>
      </c>
      <c r="C15" t="s">
        <v>189</v>
      </c>
      <c r="D15">
        <v>162753</v>
      </c>
      <c r="E15">
        <v>158102</v>
      </c>
      <c r="F15">
        <v>148260</v>
      </c>
      <c r="G15">
        <f>Sex!G15/Sex!$F15</f>
        <v>0.77994064481316605</v>
      </c>
      <c r="H15">
        <f>Sex!H15/Sex!$F15</f>
        <v>1.2815324430055309E-4</v>
      </c>
      <c r="I15">
        <f>Sex!I15/Sex!$F15</f>
        <v>9.4428706326723318E-5</v>
      </c>
      <c r="J15">
        <f>Sex!J15/Sex!$F15</f>
        <v>5.3959260758127611E-5</v>
      </c>
      <c r="K15">
        <f>Sex!K15/Sex!$F15</f>
        <v>5.3959260758127611E-5</v>
      </c>
      <c r="L15">
        <f>Sex!L15/Sex!$F15</f>
        <v>5.3959260758127611E-5</v>
      </c>
      <c r="M15">
        <f>Sex!M15/Sex!$F15</f>
        <v>6.7449075947659514E-6</v>
      </c>
      <c r="N15">
        <f>Sex!N15/Sex!$F15</f>
        <v>2.6979630379063805E-5</v>
      </c>
      <c r="O15">
        <f>Sex!O15/Sex!$F15</f>
        <v>0</v>
      </c>
      <c r="P15">
        <f>Sex!P15/Sex!$F15</f>
        <v>0</v>
      </c>
      <c r="Q15">
        <f>Sex!Q15/Sex!$F15</f>
        <v>0.35663024416565492</v>
      </c>
      <c r="R15">
        <f>Sex!R15/Sex!$F15</f>
        <v>5.9699177121273442E-2</v>
      </c>
      <c r="S15">
        <f>Sex!S15/Sex!$F15</f>
        <v>0.28932955618508027</v>
      </c>
      <c r="T15">
        <f>Sex!T15/Sex!$F15</f>
        <v>1.4299204100903818E-2</v>
      </c>
      <c r="U15">
        <f>Sex!U15/Sex!$F15</f>
        <v>1.1000944287063268E-2</v>
      </c>
      <c r="V15">
        <f>Sex!V15/Sex!$F15</f>
        <v>3.52219074598678E-2</v>
      </c>
      <c r="W15">
        <f>Sex!W15/Sex!$F15</f>
        <v>0.14674895453932282</v>
      </c>
      <c r="X15">
        <f>Sex!X15/Sex!$F15</f>
        <v>4.6114933225414809E-2</v>
      </c>
      <c r="Y15">
        <f>Sex!Y15/Sex!$F15</f>
        <v>4.4381491973559964E-2</v>
      </c>
      <c r="Z15">
        <f>Sex!Z15/Sex!$F15</f>
        <v>2.2453797382975853E-2</v>
      </c>
      <c r="AA15">
        <f>Sex!AA15/Sex!$F15</f>
        <v>3.8108727910427628E-3</v>
      </c>
      <c r="AB15">
        <f>Sex!AB15/Sex!$F15</f>
        <v>1.6720625927424793E-2</v>
      </c>
      <c r="AC15">
        <f>Sex!AC15/Sex!$F15</f>
        <v>7.0079589909618238E-3</v>
      </c>
      <c r="AD15">
        <f>Sex!AD15/Sex!$F15</f>
        <v>8.0938891137191417E-3</v>
      </c>
      <c r="AE15">
        <f>Sex!AE15/Sex!$F15</f>
        <v>0.10666396870362876</v>
      </c>
      <c r="AF15">
        <f>Sex!AF15/Sex!$F15</f>
        <v>3.7096991771212734E-4</v>
      </c>
      <c r="AG15">
        <f>Sex!AG15/Sex!$F15</f>
        <v>0.41995818157291243</v>
      </c>
      <c r="AH15">
        <f>Sex!AH15/Sex!$F15</f>
        <v>0.39414542020774318</v>
      </c>
      <c r="AI15">
        <f>Sex!AI15/Sex!$F15</f>
        <v>2.360717658168083E-3</v>
      </c>
      <c r="AJ15">
        <f>Sex!AJ15/Sex!$F15</f>
        <v>7.6217455820855253E-4</v>
      </c>
      <c r="AK15">
        <f>Sex!AK15/Sex!$F15</f>
        <v>0.3830028328611898</v>
      </c>
      <c r="AL15">
        <f>Sex!AL15/Sex!$F15</f>
        <v>0.28256441386753001</v>
      </c>
      <c r="AM15">
        <f>Sex!AM15/Sex!$F15</f>
        <v>1.0252259544044247E-3</v>
      </c>
      <c r="AN15">
        <f>Sex!AN15/Sex!$F15</f>
        <v>0.17834210171320652</v>
      </c>
      <c r="AO15">
        <f>Sex!AO15/Sex!$F15</f>
        <v>3.1694320787805208E-2</v>
      </c>
      <c r="AP15">
        <f>Sex!AP15/Sex!$F15</f>
        <v>0.13207203561311209</v>
      </c>
      <c r="AQ15">
        <f>Sex!AQ15/Sex!$F15</f>
        <v>8.5060029677593421E-2</v>
      </c>
      <c r="AR15">
        <f>Sex!AR15/Sex!$F15</f>
        <v>8.441251854849588E-2</v>
      </c>
      <c r="AS15">
        <f>Sex!AS15/Sex!$F15</f>
        <v>3.1067044381491972E-2</v>
      </c>
      <c r="AT15">
        <f>Sex!AT15/Sex!$F15</f>
        <v>1.6255227303385942E-2</v>
      </c>
      <c r="AU15">
        <f>Sex!AU15/Sex!$F15</f>
        <v>8.6368541750978009E-2</v>
      </c>
      <c r="AV15">
        <f>Sex!AV15/Sex!$F15</f>
        <v>1.2633211924996628E-2</v>
      </c>
      <c r="AW15">
        <f>Sex!AW15/Sex!$F15</f>
        <v>4.3234857682449748E-3</v>
      </c>
      <c r="AX15">
        <f>Sex!AX15/Sex!$F15</f>
        <v>3.2915149062457842E-2</v>
      </c>
      <c r="AY15">
        <f>Sex!AY15/Sex!$F15</f>
        <v>1.1095372993389991E-2</v>
      </c>
      <c r="AZ15">
        <f>Sex!AZ15/Sex!$F15</f>
        <v>1.7954944017266963E-2</v>
      </c>
      <c r="BA15">
        <f>Sex!BA15/Sex!$F15</f>
        <v>4.923782544179145E-2</v>
      </c>
      <c r="BB15">
        <f>Sex!BB15/Sex!$F15</f>
        <v>3.6206663968703631E-2</v>
      </c>
      <c r="BC15">
        <f>Sex!BC15/Sex!$F15</f>
        <v>1.551328746796169E-3</v>
      </c>
    </row>
    <row r="16" spans="1:55">
      <c r="A16" s="1">
        <v>1069</v>
      </c>
      <c r="B16" s="1" t="s">
        <v>26</v>
      </c>
      <c r="C16" t="s">
        <v>191</v>
      </c>
      <c r="D16">
        <v>195514</v>
      </c>
      <c r="E16">
        <v>191326</v>
      </c>
      <c r="F16">
        <v>189278</v>
      </c>
      <c r="G16">
        <f>Sex!G16/Sex!$F16</f>
        <v>0.80237005885522883</v>
      </c>
      <c r="H16">
        <f>Sex!H16/Sex!$F16</f>
        <v>2.524857616838724E-2</v>
      </c>
      <c r="I16">
        <f>Sex!I16/Sex!$F16</f>
        <v>2.5074229440294169E-2</v>
      </c>
      <c r="J16">
        <f>Sex!J16/Sex!$F16</f>
        <v>2.4133813755428522E-2</v>
      </c>
      <c r="K16">
        <f>Sex!K16/Sex!$F16</f>
        <v>2.40756981793975E-2</v>
      </c>
      <c r="L16">
        <f>Sex!L16/Sex!$F16</f>
        <v>2.4022865837551116E-2</v>
      </c>
      <c r="M16">
        <f>Sex!M16/Sex!$F16</f>
        <v>5.41531503925443E-3</v>
      </c>
      <c r="N16">
        <f>Sex!N16/Sex!$F16</f>
        <v>1.5955367237608174E-2</v>
      </c>
      <c r="O16">
        <f>Sex!O16/Sex!$F16</f>
        <v>2.1132936738553872E-5</v>
      </c>
      <c r="P16">
        <f>Sex!P16/Sex!$F16</f>
        <v>1.9019643064698485E-4</v>
      </c>
      <c r="Q16">
        <f>Sex!Q16/Sex!$F16</f>
        <v>0.47632054438445037</v>
      </c>
      <c r="R16">
        <f>Sex!R16/Sex!$F16</f>
        <v>0.1255824765688564</v>
      </c>
      <c r="S16">
        <f>Sex!S16/Sex!$F16</f>
        <v>0.33767262967698308</v>
      </c>
      <c r="T16">
        <f>Sex!T16/Sex!$F16</f>
        <v>6.1602510592884538E-3</v>
      </c>
      <c r="U16">
        <f>Sex!U16/Sex!$F16</f>
        <v>1.6430858314225637E-3</v>
      </c>
      <c r="V16">
        <f>Sex!V16/Sex!$F16</f>
        <v>6.4349792368896541E-3</v>
      </c>
      <c r="W16">
        <f>Sex!W16/Sex!$F16</f>
        <v>0.16747852365303945</v>
      </c>
      <c r="X16">
        <f>Sex!X16/Sex!$F16</f>
        <v>4.1114128424856559E-2</v>
      </c>
      <c r="Y16">
        <f>Sex!Y16/Sex!$F16</f>
        <v>4.0052198353744226E-2</v>
      </c>
      <c r="Z16">
        <f>Sex!Z16/Sex!$F16</f>
        <v>9.6308075951774638E-2</v>
      </c>
      <c r="AA16">
        <f>Sex!AA16/Sex!$F16</f>
        <v>2.0345734845042741E-2</v>
      </c>
      <c r="AB16">
        <f>Sex!AB16/Sex!$F16</f>
        <v>5.8348038335147241E-2</v>
      </c>
      <c r="AC16">
        <f>Sex!AC16/Sex!$F16</f>
        <v>9.1399951394245497E-4</v>
      </c>
      <c r="AD16">
        <f>Sex!AD16/Sex!$F16</f>
        <v>5.2103255528904574E-2</v>
      </c>
      <c r="AE16">
        <f>Sex!AE16/Sex!$F16</f>
        <v>4.2160208793414977E-2</v>
      </c>
      <c r="AF16">
        <f>Sex!AF16/Sex!$F16</f>
        <v>6.4455457052589311E-4</v>
      </c>
      <c r="AG16">
        <f>Sex!AG16/Sex!$F16</f>
        <v>0.28237301746637222</v>
      </c>
      <c r="AH16">
        <f>Sex!AH16/Sex!$F16</f>
        <v>0.26525533870814355</v>
      </c>
      <c r="AI16">
        <f>Sex!AI16/Sex!$F16</f>
        <v>1.4528894007755787E-3</v>
      </c>
      <c r="AJ16">
        <f>Sex!AJ16/Sex!$F16</f>
        <v>1.5321379135451558E-3</v>
      </c>
      <c r="AK16">
        <f>Sex!AK16/Sex!$F16</f>
        <v>0.25793805936241931</v>
      </c>
      <c r="AL16">
        <f>Sex!AL16/Sex!$F16</f>
        <v>0.17429389575122306</v>
      </c>
      <c r="AM16">
        <f>Sex!AM16/Sex!$F16</f>
        <v>5.7058929194095463E-4</v>
      </c>
      <c r="AN16">
        <f>Sex!AN16/Sex!$F16</f>
        <v>0.14141632942021787</v>
      </c>
      <c r="AO16">
        <f>Sex!AO16/Sex!$F16</f>
        <v>3.7970604084996674E-2</v>
      </c>
      <c r="AP16">
        <f>Sex!AP16/Sex!$F16</f>
        <v>8.7944716237491949E-2</v>
      </c>
      <c r="AQ16">
        <f>Sex!AQ16/Sex!$F16</f>
        <v>2.7715846532613404E-2</v>
      </c>
      <c r="AR16">
        <f>Sex!AR16/Sex!$F16</f>
        <v>2.6754297911009202E-2</v>
      </c>
      <c r="AS16">
        <f>Sex!AS16/Sex!$F16</f>
        <v>1.9510983843869862E-2</v>
      </c>
      <c r="AT16">
        <f>Sex!AT16/Sex!$F16</f>
        <v>1.2468432675746785E-2</v>
      </c>
      <c r="AU16">
        <f>Sex!AU16/Sex!$F16</f>
        <v>7.5323069770390647E-2</v>
      </c>
      <c r="AV16">
        <f>Sex!AV16/Sex!$F16</f>
        <v>1.5199864749204874E-2</v>
      </c>
      <c r="AW16">
        <f>Sex!AW16/Sex!$F16</f>
        <v>3.8726106573399974E-3</v>
      </c>
      <c r="AX16">
        <f>Sex!AX16/Sex!$F16</f>
        <v>4.5224484620505288E-2</v>
      </c>
      <c r="AY16">
        <f>Sex!AY16/Sex!$F16</f>
        <v>7.2591637696932552E-3</v>
      </c>
      <c r="AZ16">
        <f>Sex!AZ16/Sex!$F16</f>
        <v>3.3786282610763003E-2</v>
      </c>
      <c r="BA16">
        <f>Sex!BA16/Sex!$F16</f>
        <v>2.8635129280740499E-2</v>
      </c>
      <c r="BB16">
        <f>Sex!BB16/Sex!$F16</f>
        <v>2.1259734358985198E-2</v>
      </c>
      <c r="BC16">
        <f>Sex!BC16/Sex!$F16</f>
        <v>1.0777797736662474E-3</v>
      </c>
    </row>
    <row r="17" spans="1:55">
      <c r="A17" s="1">
        <v>1073</v>
      </c>
      <c r="B17" s="1" t="s">
        <v>26</v>
      </c>
      <c r="C17" t="s">
        <v>192</v>
      </c>
      <c r="D17">
        <v>52549</v>
      </c>
      <c r="E17">
        <v>50413</v>
      </c>
      <c r="F17">
        <v>48624</v>
      </c>
      <c r="G17">
        <f>Sex!G17/Sex!$F17</f>
        <v>0.57621750575847319</v>
      </c>
      <c r="H17">
        <f>Sex!H17/Sex!$F17</f>
        <v>2.9820664692333004E-3</v>
      </c>
      <c r="I17">
        <f>Sex!I17/Sex!$F17</f>
        <v>2.9409345179335308E-3</v>
      </c>
      <c r="J17">
        <f>Sex!J17/Sex!$F17</f>
        <v>2.8792365909838763E-3</v>
      </c>
      <c r="K17">
        <f>Sex!K17/Sex!$F17</f>
        <v>2.8792365909838763E-3</v>
      </c>
      <c r="L17">
        <f>Sex!L17/Sex!$F17</f>
        <v>2.8792365909838763E-3</v>
      </c>
      <c r="M17">
        <f>Sex!M17/Sex!$F17</f>
        <v>9.6660085554458707E-4</v>
      </c>
      <c r="N17">
        <f>Sex!N17/Sex!$F17</f>
        <v>1.5218821980914775E-3</v>
      </c>
      <c r="O17">
        <f>Sex!O17/Sex!$F17</f>
        <v>1.2339585389930897E-4</v>
      </c>
      <c r="P17">
        <f>Sex!P17/Sex!$F17</f>
        <v>4.1131951299769661E-5</v>
      </c>
      <c r="Q17">
        <f>Sex!Q17/Sex!$F17</f>
        <v>0.36942662059888121</v>
      </c>
      <c r="R17">
        <f>Sex!R17/Sex!$F17</f>
        <v>6.661319512997696E-2</v>
      </c>
      <c r="S17">
        <f>Sex!S17/Sex!$F17</f>
        <v>0.29144044093451793</v>
      </c>
      <c r="T17">
        <f>Sex!T17/Sex!$F17</f>
        <v>9.1929911154985198E-3</v>
      </c>
      <c r="U17">
        <f>Sex!U17/Sex!$F17</f>
        <v>1.6123724909509706E-2</v>
      </c>
      <c r="V17">
        <f>Sex!V17/Sex!$F17</f>
        <v>4.7054952286936493E-2</v>
      </c>
      <c r="W17">
        <f>Sex!W17/Sex!$F17</f>
        <v>6.2890753537347813E-2</v>
      </c>
      <c r="X17">
        <f>Sex!X17/Sex!$F17</f>
        <v>1.2072227706482395E-2</v>
      </c>
      <c r="Y17">
        <f>Sex!Y17/Sex!$F17</f>
        <v>1.1352418558736426E-2</v>
      </c>
      <c r="Z17">
        <f>Sex!Z17/Sex!$F17</f>
        <v>1.9023527476143467E-2</v>
      </c>
      <c r="AA17">
        <f>Sex!AA17/Sex!$F17</f>
        <v>2.0977295162882526E-3</v>
      </c>
      <c r="AB17">
        <f>Sex!AB17/Sex!$F17</f>
        <v>1.5321651859164198E-2</v>
      </c>
      <c r="AC17">
        <f>Sex!AC17/Sex!$F17</f>
        <v>3.6607436656795E-3</v>
      </c>
      <c r="AD17">
        <f>Sex!AD17/Sex!$F17</f>
        <v>1.0262421849292531E-2</v>
      </c>
      <c r="AE17">
        <f>Sex!AE17/Sex!$F17</f>
        <v>0.2011763738071734</v>
      </c>
      <c r="AF17">
        <f>Sex!AF17/Sex!$F17</f>
        <v>5.1414939124712073E-4</v>
      </c>
      <c r="AG17">
        <f>Sex!AG17/Sex!$F17</f>
        <v>0.19821487331359</v>
      </c>
      <c r="AH17">
        <f>Sex!AH17/Sex!$F17</f>
        <v>0.192497532082922</v>
      </c>
      <c r="AI17">
        <f>Sex!AI17/Sex!$F17</f>
        <v>1.5218821980914775E-3</v>
      </c>
      <c r="AJ17">
        <f>Sex!AJ17/Sex!$F17</f>
        <v>8.4320500164527807E-4</v>
      </c>
      <c r="AK17">
        <f>Sex!AK17/Sex!$F17</f>
        <v>0.1810011516946364</v>
      </c>
      <c r="AL17">
        <f>Sex!AL17/Sex!$F17</f>
        <v>0.10038252714708785</v>
      </c>
      <c r="AM17">
        <f>Sex!AM17/Sex!$F17</f>
        <v>1.1105626850937808E-3</v>
      </c>
      <c r="AN17">
        <f>Sex!AN17/Sex!$F17</f>
        <v>6.9266205988812113E-2</v>
      </c>
      <c r="AO17">
        <f>Sex!AO17/Sex!$F17</f>
        <v>1.0468081605791379E-2</v>
      </c>
      <c r="AP17">
        <f>Sex!AP17/Sex!$F17</f>
        <v>5.4006252056597565E-2</v>
      </c>
      <c r="AQ17">
        <f>Sex!AQ17/Sex!$F17</f>
        <v>2.3938795656465943E-2</v>
      </c>
      <c r="AR17">
        <f>Sex!AR17/Sex!$F17</f>
        <v>2.375370187561698E-2</v>
      </c>
      <c r="AS17">
        <f>Sex!AS17/Sex!$F17</f>
        <v>1.0118460019743336E-2</v>
      </c>
      <c r="AT17">
        <f>Sex!AT17/Sex!$F17</f>
        <v>3.7224415926291545E-3</v>
      </c>
      <c r="AU17">
        <f>Sex!AU17/Sex!$F17</f>
        <v>6.88754524514643E-2</v>
      </c>
      <c r="AV17">
        <f>Sex!AV17/Sex!$F17</f>
        <v>9.0078973346495554E-3</v>
      </c>
      <c r="AW17">
        <f>Sex!AW17/Sex!$F17</f>
        <v>1.0282987824942415E-3</v>
      </c>
      <c r="AX17">
        <f>Sex!AX17/Sex!$F17</f>
        <v>2.1553142481079302E-2</v>
      </c>
      <c r="AY17">
        <f>Sex!AY17/Sex!$F17</f>
        <v>1.3511846001974333E-2</v>
      </c>
      <c r="AZ17">
        <f>Sex!AZ17/Sex!$F17</f>
        <v>6.3548864758144127E-3</v>
      </c>
      <c r="BA17">
        <f>Sex!BA17/Sex!$F17</f>
        <v>4.1769496544916088E-2</v>
      </c>
      <c r="BB17">
        <f>Sex!BB17/Sex!$F17</f>
        <v>2.8093122737742678E-2</v>
      </c>
      <c r="BC17">
        <f>Sex!BC17/Sex!$F17</f>
        <v>2.2622573214873314E-4</v>
      </c>
    </row>
    <row r="18" spans="1:55">
      <c r="A18" s="1">
        <v>1091</v>
      </c>
      <c r="B18" s="1" t="s">
        <v>26</v>
      </c>
      <c r="C18" t="s">
        <v>195</v>
      </c>
      <c r="D18">
        <v>219518</v>
      </c>
      <c r="E18">
        <v>216315</v>
      </c>
      <c r="F18">
        <v>196851</v>
      </c>
      <c r="G18">
        <f>Sex!G18/Sex!$F18</f>
        <v>0.47555765528242172</v>
      </c>
      <c r="H18">
        <f>Sex!H18/Sex!$F18</f>
        <v>1.7932344768378113E-3</v>
      </c>
      <c r="I18">
        <f>Sex!I18/Sex!$F18</f>
        <v>1.7932344768378113E-3</v>
      </c>
      <c r="J18">
        <f>Sex!J18/Sex!$F18</f>
        <v>1.7068747428257921E-3</v>
      </c>
      <c r="K18">
        <f>Sex!K18/Sex!$F18</f>
        <v>1.6763948367039029E-3</v>
      </c>
      <c r="L18">
        <f>Sex!L18/Sex!$F18</f>
        <v>1.6662348679966066E-3</v>
      </c>
      <c r="M18">
        <f>Sex!M18/Sex!$F18</f>
        <v>9.3979710542491525E-4</v>
      </c>
      <c r="N18">
        <f>Sex!N18/Sex!$F18</f>
        <v>9.6519702719315628E-5</v>
      </c>
      <c r="O18">
        <f>Sex!O18/Sex!$F18</f>
        <v>0</v>
      </c>
      <c r="P18">
        <f>Sex!P18/Sex!$F18</f>
        <v>0</v>
      </c>
      <c r="Q18">
        <f>Sex!Q18/Sex!$F18</f>
        <v>0.17558457919949608</v>
      </c>
      <c r="R18">
        <f>Sex!R18/Sex!$F18</f>
        <v>2.1965852345174775E-2</v>
      </c>
      <c r="S18">
        <f>Sex!S18/Sex!$F18</f>
        <v>0.14911278073263534</v>
      </c>
      <c r="T18">
        <f>Sex!T18/Sex!$F18</f>
        <v>3.4696293135417144E-3</v>
      </c>
      <c r="U18">
        <f>Sex!U18/Sex!$F18</f>
        <v>1.3456878552814057E-2</v>
      </c>
      <c r="V18">
        <f>Sex!V18/Sex!$F18</f>
        <v>3.4325454277600823E-2</v>
      </c>
      <c r="W18">
        <f>Sex!W18/Sex!$F18</f>
        <v>5.9999695200938778E-2</v>
      </c>
      <c r="X18">
        <f>Sex!X18/Sex!$F18</f>
        <v>5.2364478717405551E-2</v>
      </c>
      <c r="Y18">
        <f>Sex!Y18/Sex!$F18</f>
        <v>5.1130042519469038E-2</v>
      </c>
      <c r="Z18">
        <f>Sex!Z18/Sex!$F18</f>
        <v>8.6105734794336836E-3</v>
      </c>
      <c r="AA18">
        <f>Sex!AA18/Sex!$F18</f>
        <v>1.2699960884120477E-3</v>
      </c>
      <c r="AB18">
        <f>Sex!AB18/Sex!$F18</f>
        <v>6.5684197692671108E-3</v>
      </c>
      <c r="AC18">
        <f>Sex!AC18/Sex!$F18</f>
        <v>5.8927818502319017E-4</v>
      </c>
      <c r="AD18">
        <f>Sex!AD18/Sex!$F18</f>
        <v>4.5770659026370198E-3</v>
      </c>
      <c r="AE18">
        <f>Sex!AE18/Sex!$F18</f>
        <v>6.6730674469522633E-2</v>
      </c>
      <c r="AF18">
        <f>Sex!AF18/Sex!$F18</f>
        <v>6.2483807549872745E-4</v>
      </c>
      <c r="AG18">
        <f>Sex!AG18/Sex!$F18</f>
        <v>0.29422761377894957</v>
      </c>
      <c r="AH18">
        <f>Sex!AH18/Sex!$F18</f>
        <v>0.28124825375537843</v>
      </c>
      <c r="AI18">
        <f>Sex!AI18/Sex!$F18</f>
        <v>1.2852360414729923E-3</v>
      </c>
      <c r="AJ18">
        <f>Sex!AJ18/Sex!$F18</f>
        <v>1.8084744298987559E-3</v>
      </c>
      <c r="AK18">
        <f>Sex!AK18/Sex!$F18</f>
        <v>0.27145404392154471</v>
      </c>
      <c r="AL18">
        <f>Sex!AL18/Sex!$F18</f>
        <v>0.19773839096575582</v>
      </c>
      <c r="AM18">
        <f>Sex!AM18/Sex!$F18</f>
        <v>4.6227857618198536E-4</v>
      </c>
      <c r="AN18">
        <f>Sex!AN18/Sex!$F18</f>
        <v>0.132526631817974</v>
      </c>
      <c r="AO18">
        <f>Sex!AO18/Sex!$F18</f>
        <v>2.7670674774321696E-2</v>
      </c>
      <c r="AP18">
        <f>Sex!AP18/Sex!$F18</f>
        <v>9.2089956362934405E-2</v>
      </c>
      <c r="AQ18">
        <f>Sex!AQ18/Sex!$F18</f>
        <v>4.9606047213374582E-2</v>
      </c>
      <c r="AR18">
        <f>Sex!AR18/Sex!$F18</f>
        <v>4.888976941951019E-2</v>
      </c>
      <c r="AS18">
        <f>Sex!AS18/Sex!$F18</f>
        <v>1.1236925390269797E-2</v>
      </c>
      <c r="AT18">
        <f>Sex!AT18/Sex!$F18</f>
        <v>4.2113070291743505E-3</v>
      </c>
      <c r="AU18">
        <f>Sex!AU18/Sex!$F18</f>
        <v>6.295116611040838E-2</v>
      </c>
      <c r="AV18">
        <f>Sex!AV18/Sex!$F18</f>
        <v>5.648942601256788E-3</v>
      </c>
      <c r="AW18">
        <f>Sex!AW18/Sex!$F18</f>
        <v>8.6359734012019245E-4</v>
      </c>
      <c r="AX18">
        <f>Sex!AX18/Sex!$F18</f>
        <v>1.595115087045532E-2</v>
      </c>
      <c r="AY18">
        <f>Sex!AY18/Sex!$F18</f>
        <v>6.1975809114507927E-3</v>
      </c>
      <c r="AZ18">
        <f>Sex!AZ18/Sex!$F18</f>
        <v>8.2549745746783101E-3</v>
      </c>
      <c r="BA18">
        <f>Sex!BA18/Sex!$F18</f>
        <v>4.3113827209412196E-2</v>
      </c>
      <c r="BB18">
        <f>Sex!BB18/Sex!$F18</f>
        <v>2.990078790557325E-2</v>
      </c>
      <c r="BC18">
        <f>Sex!BC18/Sex!$F18</f>
        <v>6.2483807549872745E-4</v>
      </c>
    </row>
    <row r="19" spans="1:55">
      <c r="A19" s="1">
        <v>1102</v>
      </c>
      <c r="B19" s="1" t="s">
        <v>26</v>
      </c>
      <c r="C19" t="s">
        <v>198</v>
      </c>
      <c r="D19">
        <v>325659</v>
      </c>
      <c r="E19">
        <v>316769</v>
      </c>
      <c r="F19">
        <v>305455</v>
      </c>
      <c r="G19">
        <f>Sex!G19/Sex!$F19</f>
        <v>0.69410878852858848</v>
      </c>
      <c r="H19">
        <f>Sex!H19/Sex!$F19</f>
        <v>5.3363015828845493E-4</v>
      </c>
      <c r="I19">
        <f>Sex!I19/Sex!$F19</f>
        <v>5.3363015828845493E-4</v>
      </c>
      <c r="J19">
        <f>Sex!J19/Sex!$F19</f>
        <v>5.0416591641976722E-4</v>
      </c>
      <c r="K19">
        <f>Sex!K19/Sex!$F19</f>
        <v>4.9761830711561443E-4</v>
      </c>
      <c r="L19">
        <f>Sex!L19/Sex!$F19</f>
        <v>4.8779689315938519E-4</v>
      </c>
      <c r="M19">
        <f>Sex!M19/Sex!$F19</f>
        <v>1.3422599073513285E-4</v>
      </c>
      <c r="N19">
        <f>Sex!N19/Sex!$F19</f>
        <v>2.8809480938272412E-4</v>
      </c>
      <c r="O19">
        <f>Sex!O19/Sex!$F19</f>
        <v>3.2738046520764107E-6</v>
      </c>
      <c r="P19">
        <f>Sex!P19/Sex!$F19</f>
        <v>3.2738046520764107E-6</v>
      </c>
      <c r="Q19">
        <f>Sex!Q19/Sex!$F19</f>
        <v>0.29340492052839207</v>
      </c>
      <c r="R19">
        <f>Sex!R19/Sex!$F19</f>
        <v>0.10232931200995236</v>
      </c>
      <c r="S19">
        <f>Sex!S19/Sex!$F19</f>
        <v>0.18636460362410176</v>
      </c>
      <c r="T19">
        <f>Sex!T19/Sex!$F19</f>
        <v>1.1903553714949829E-2</v>
      </c>
      <c r="U19">
        <f>Sex!U19/Sex!$F19</f>
        <v>2.0032410666055555E-2</v>
      </c>
      <c r="V19">
        <f>Sex!V19/Sex!$F19</f>
        <v>2.7450852007660703E-2</v>
      </c>
      <c r="W19">
        <f>Sex!W19/Sex!$F19</f>
        <v>5.7196641076426968E-2</v>
      </c>
      <c r="X19">
        <f>Sex!X19/Sex!$F19</f>
        <v>3.5543697107593593E-2</v>
      </c>
      <c r="Y19">
        <f>Sex!Y19/Sex!$F19</f>
        <v>2.5506212044327316E-2</v>
      </c>
      <c r="Z19">
        <f>Sex!Z19/Sex!$F19</f>
        <v>9.4220097886759096E-3</v>
      </c>
      <c r="AA19">
        <f>Sex!AA19/Sex!$F19</f>
        <v>1.8988066982043182E-3</v>
      </c>
      <c r="AB19">
        <f>Sex!AB19/Sex!$F19</f>
        <v>6.6261806158026551E-3</v>
      </c>
      <c r="AC19">
        <f>Sex!AC19/Sex!$F19</f>
        <v>6.8422517228396986E-4</v>
      </c>
      <c r="AD19">
        <f>Sex!AD19/Sex!$F19</f>
        <v>5.3363015828845495E-3</v>
      </c>
      <c r="AE19">
        <f>Sex!AE19/Sex!$F19</f>
        <v>0.10410698793602986</v>
      </c>
      <c r="AF19">
        <f>Sex!AF19/Sex!$F19</f>
        <v>3.0904715915601316E-3</v>
      </c>
      <c r="AG19">
        <f>Sex!AG19/Sex!$F19</f>
        <v>0.39543304251035338</v>
      </c>
      <c r="AH19">
        <f>Sex!AH19/Sex!$F19</f>
        <v>0.36587386030675551</v>
      </c>
      <c r="AI19">
        <f>Sex!AI19/Sex!$F19</f>
        <v>2.5938354258401401E-2</v>
      </c>
      <c r="AJ19">
        <f>Sex!AJ19/Sex!$F19</f>
        <v>2.1607110703704309E-3</v>
      </c>
      <c r="AK19">
        <f>Sex!AK19/Sex!$F19</f>
        <v>0.29687515345959309</v>
      </c>
      <c r="AL19">
        <f>Sex!AL19/Sex!$F19</f>
        <v>0.18863662405264278</v>
      </c>
      <c r="AM19">
        <f>Sex!AM19/Sex!$F19</f>
        <v>2.4880915355780721E-4</v>
      </c>
      <c r="AN19">
        <f>Sex!AN19/Sex!$F19</f>
        <v>9.4203728863498717E-2</v>
      </c>
      <c r="AO19">
        <f>Sex!AO19/Sex!$F19</f>
        <v>8.5282611186590501E-3</v>
      </c>
      <c r="AP19">
        <f>Sex!AP19/Sex!$F19</f>
        <v>8.0849879687679038E-2</v>
      </c>
      <c r="AQ19">
        <f>Sex!AQ19/Sex!$F19</f>
        <v>8.0332618552650961E-2</v>
      </c>
      <c r="AR19">
        <f>Sex!AR19/Sex!$F19</f>
        <v>8.004779754792031E-2</v>
      </c>
      <c r="AS19">
        <f>Sex!AS19/Sex!$F19</f>
        <v>2.3882404936897417E-2</v>
      </c>
      <c r="AT19">
        <f>Sex!AT19/Sex!$F19</f>
        <v>1.5066049008855642E-2</v>
      </c>
      <c r="AU19">
        <f>Sex!AU19/Sex!$F19</f>
        <v>7.9596012505933775E-2</v>
      </c>
      <c r="AV19">
        <f>Sex!AV19/Sex!$F19</f>
        <v>1.5760095595095839E-2</v>
      </c>
      <c r="AW19">
        <f>Sex!AW19/Sex!$F19</f>
        <v>9.0782603002078858E-3</v>
      </c>
      <c r="AX19">
        <f>Sex!AX19/Sex!$F19</f>
        <v>1.3190158943215858E-2</v>
      </c>
      <c r="AY19">
        <f>Sex!AY19/Sex!$F19</f>
        <v>7.8178455091584692E-3</v>
      </c>
      <c r="AZ19">
        <f>Sex!AZ19/Sex!$F19</f>
        <v>4.210112782570264E-3</v>
      </c>
      <c r="BA19">
        <f>Sex!BA19/Sex!$F19</f>
        <v>6.2631156798873808E-2</v>
      </c>
      <c r="BB19">
        <f>Sex!BB19/Sex!$F19</f>
        <v>5.0852007660702886E-2</v>
      </c>
      <c r="BC19">
        <f>Sex!BC19/Sex!$F19</f>
        <v>1.6369023260382054E-4</v>
      </c>
    </row>
    <row r="20" spans="1:55">
      <c r="A20" s="1">
        <v>1153</v>
      </c>
      <c r="B20" s="1" t="s">
        <v>26</v>
      </c>
      <c r="C20" t="s">
        <v>207</v>
      </c>
      <c r="D20">
        <v>319599</v>
      </c>
      <c r="E20">
        <v>283483</v>
      </c>
      <c r="F20">
        <v>263446</v>
      </c>
      <c r="G20">
        <f>Sex!G20/Sex!$F20</f>
        <v>0.64263644162371036</v>
      </c>
      <c r="H20">
        <f>Sex!H20/Sex!$F20</f>
        <v>1.4727875921441206E-3</v>
      </c>
      <c r="I20">
        <f>Sex!I20/Sex!$F20</f>
        <v>1.4576042149055215E-3</v>
      </c>
      <c r="J20">
        <f>Sex!J20/Sex!$F20</f>
        <v>1.3702997957835761E-3</v>
      </c>
      <c r="K20">
        <f>Sex!K20/Sex!$F20</f>
        <v>1.3627081071642766E-3</v>
      </c>
      <c r="L20">
        <f>Sex!L20/Sex!$F20</f>
        <v>1.3627081071642766E-3</v>
      </c>
      <c r="M20">
        <f>Sex!M20/Sex!$F20</f>
        <v>2.3154650288863751E-4</v>
      </c>
      <c r="N20">
        <f>Sex!N20/Sex!$F20</f>
        <v>9.9451120912824641E-4</v>
      </c>
      <c r="O20">
        <f>Sex!O20/Sex!$F20</f>
        <v>0</v>
      </c>
      <c r="P20">
        <f>Sex!P20/Sex!$F20</f>
        <v>1.8979221548248977E-5</v>
      </c>
      <c r="Q20">
        <f>Sex!Q20/Sex!$F20</f>
        <v>0.38585136992021135</v>
      </c>
      <c r="R20">
        <f>Sex!R20/Sex!$F20</f>
        <v>4.36028635849472E-2</v>
      </c>
      <c r="S20">
        <f>Sex!S20/Sex!$F20</f>
        <v>0.3366344526012921</v>
      </c>
      <c r="T20">
        <f>Sex!T20/Sex!$F20</f>
        <v>1.2108743347782848E-2</v>
      </c>
      <c r="U20">
        <f>Sex!U20/Sex!$F20</f>
        <v>1.0495509516181684E-2</v>
      </c>
      <c r="V20">
        <f>Sex!V20/Sex!$F20</f>
        <v>3.7351108006953987E-2</v>
      </c>
      <c r="W20">
        <f>Sex!W20/Sex!$F20</f>
        <v>0.19307941665464648</v>
      </c>
      <c r="X20">
        <f>Sex!X20/Sex!$F20</f>
        <v>2.6324180287421332E-2</v>
      </c>
      <c r="Y20">
        <f>Sex!Y20/Sex!$F20</f>
        <v>2.5322077389673785E-2</v>
      </c>
      <c r="Z20">
        <f>Sex!Z20/Sex!$F20</f>
        <v>3.9491964197596471E-2</v>
      </c>
      <c r="AA20">
        <f>Sex!AA20/Sex!$F20</f>
        <v>5.4736074945150046E-3</v>
      </c>
      <c r="AB20">
        <f>Sex!AB20/Sex!$F20</f>
        <v>2.8681399603713853E-2</v>
      </c>
      <c r="AC20">
        <f>Sex!AC20/Sex!$F20</f>
        <v>8.1041276011023129E-3</v>
      </c>
      <c r="AD20">
        <f>Sex!AD20/Sex!$F20</f>
        <v>1.6162705070488829E-2</v>
      </c>
      <c r="AE20">
        <f>Sex!AE20/Sex!$F20</f>
        <v>8.4051380548575416E-2</v>
      </c>
      <c r="AF20">
        <f>Sex!AF20/Sex!$F20</f>
        <v>7.5537301762030934E-4</v>
      </c>
      <c r="AG20">
        <f>Sex!AG20/Sex!$F20</f>
        <v>0.25241985074740175</v>
      </c>
      <c r="AH20">
        <f>Sex!AH20/Sex!$F20</f>
        <v>0.23814747614311851</v>
      </c>
      <c r="AI20">
        <f>Sex!AI20/Sex!$F20</f>
        <v>1.7840468255354038E-3</v>
      </c>
      <c r="AJ20">
        <f>Sex!AJ20/Sex!$F20</f>
        <v>2.9607585615268404E-4</v>
      </c>
      <c r="AK20">
        <f>Sex!AK20/Sex!$F20</f>
        <v>0.23065827532017946</v>
      </c>
      <c r="AL20">
        <f>Sex!AL20/Sex!$F20</f>
        <v>0.18310014196457719</v>
      </c>
      <c r="AM20">
        <f>Sex!AM20/Sex!$F20</f>
        <v>1.446216681976572E-3</v>
      </c>
      <c r="AN20">
        <f>Sex!AN20/Sex!$F20</f>
        <v>6.7201627658039984E-2</v>
      </c>
      <c r="AO20">
        <f>Sex!AO20/Sex!$F20</f>
        <v>7.0526787273293198E-3</v>
      </c>
      <c r="AP20">
        <f>Sex!AP20/Sex!$F20</f>
        <v>5.7844871434753233E-2</v>
      </c>
      <c r="AQ20">
        <f>Sex!AQ20/Sex!$F20</f>
        <v>9.6782642363140839E-2</v>
      </c>
      <c r="AR20">
        <f>Sex!AR20/Sex!$F20</f>
        <v>9.6570075081800447E-2</v>
      </c>
      <c r="AS20">
        <f>Sex!AS20/Sex!$F20</f>
        <v>1.0738443551999271E-2</v>
      </c>
      <c r="AT20">
        <f>Sex!AT20/Sex!$F20</f>
        <v>3.4010765014462169E-3</v>
      </c>
      <c r="AU20">
        <f>Sex!AU20/Sex!$F20</f>
        <v>4.2205992878996075E-2</v>
      </c>
      <c r="AV20">
        <f>Sex!AV20/Sex!$F20</f>
        <v>5.8607836140992841E-3</v>
      </c>
      <c r="AW20">
        <f>Sex!AW20/Sex!$F20</f>
        <v>7.9712730502645701E-4</v>
      </c>
      <c r="AX20">
        <f>Sex!AX20/Sex!$F20</f>
        <v>8.1800444872953092E-3</v>
      </c>
      <c r="AY20">
        <f>Sex!AY20/Sex!$F20</f>
        <v>6.2327763564449645E-3</v>
      </c>
      <c r="AZ20">
        <f>Sex!AZ20/Sex!$F20</f>
        <v>1.4917668136923696E-3</v>
      </c>
      <c r="BA20">
        <f>Sex!BA20/Sex!$F20</f>
        <v>2.9527872884765757E-2</v>
      </c>
      <c r="BB20">
        <f>Sex!BB20/Sex!$F20</f>
        <v>2.4528745928956978E-2</v>
      </c>
      <c r="BC20">
        <f>Sex!BC20/Sex!$F20</f>
        <v>1.9358805979213957E-4</v>
      </c>
    </row>
    <row r="21" spans="1:55">
      <c r="A21" s="1">
        <v>1156</v>
      </c>
      <c r="B21" s="1" t="s">
        <v>26</v>
      </c>
      <c r="C21" t="s">
        <v>210</v>
      </c>
      <c r="D21">
        <v>94953</v>
      </c>
      <c r="E21">
        <v>87185</v>
      </c>
      <c r="F21">
        <v>85970</v>
      </c>
      <c r="G21">
        <f>Sex!G21/Sex!$F21</f>
        <v>0.64492264743515182</v>
      </c>
      <c r="H21">
        <f>Sex!H21/Sex!$F21</f>
        <v>7.4560893334884261E-3</v>
      </c>
      <c r="I21">
        <f>Sex!I21/Sex!$F21</f>
        <v>7.1536582528789116E-3</v>
      </c>
      <c r="J21">
        <f>Sex!J21/Sex!$F21</f>
        <v>6.5604280562987088E-3</v>
      </c>
      <c r="K21">
        <f>Sex!K21/Sex!$F21</f>
        <v>6.4790043038269168E-3</v>
      </c>
      <c r="L21">
        <f>Sex!L21/Sex!$F21</f>
        <v>6.385948586716296E-3</v>
      </c>
      <c r="M21">
        <f>Sex!M21/Sex!$F21</f>
        <v>1.7680586251017797E-3</v>
      </c>
      <c r="N21">
        <f>Sex!N21/Sex!$F21</f>
        <v>3.8850761893683841E-3</v>
      </c>
      <c r="O21">
        <f>Sex!O21/Sex!$F21</f>
        <v>7.4444573688495989E-4</v>
      </c>
      <c r="P21">
        <f>Sex!P21/Sex!$F21</f>
        <v>1.3958357566592997E-4</v>
      </c>
      <c r="Q21">
        <f>Sex!Q21/Sex!$F21</f>
        <v>0.31013144120041874</v>
      </c>
      <c r="R21">
        <f>Sex!R21/Sex!$F21</f>
        <v>7.092008840293125E-2</v>
      </c>
      <c r="S21">
        <f>Sex!S21/Sex!$F21</f>
        <v>0.22275212283354659</v>
      </c>
      <c r="T21">
        <f>Sex!T21/Sex!$F21</f>
        <v>1.5982319413748981E-2</v>
      </c>
      <c r="U21">
        <f>Sex!U21/Sex!$F21</f>
        <v>3.3104571362103062E-2</v>
      </c>
      <c r="V21">
        <f>Sex!V21/Sex!$F21</f>
        <v>3.2930091892520649E-2</v>
      </c>
      <c r="W21">
        <f>Sex!W21/Sex!$F21</f>
        <v>0.10692101896010237</v>
      </c>
      <c r="X21">
        <f>Sex!X21/Sex!$F21</f>
        <v>5.2902175177387462E-2</v>
      </c>
      <c r="Y21">
        <f>Sex!Y21/Sex!$F21</f>
        <v>5.0692101896010235E-2</v>
      </c>
      <c r="Z21">
        <f>Sex!Z21/Sex!$F21</f>
        <v>2.4310806095149472E-2</v>
      </c>
      <c r="AA21">
        <f>Sex!AA21/Sex!$F21</f>
        <v>3.1289984878445968E-3</v>
      </c>
      <c r="AB21">
        <f>Sex!AB21/Sex!$F21</f>
        <v>1.6424334070024426E-2</v>
      </c>
      <c r="AC21">
        <f>Sex!AC21/Sex!$F21</f>
        <v>2.0006979178783298E-3</v>
      </c>
      <c r="AD21">
        <f>Sex!AD21/Sex!$F21</f>
        <v>1.3516342910317553E-2</v>
      </c>
      <c r="AE21">
        <f>Sex!AE21/Sex!$F21</f>
        <v>7.8620448993835065E-2</v>
      </c>
      <c r="AF21">
        <f>Sex!AF21/Sex!$F21</f>
        <v>8.3750145399557989E-4</v>
      </c>
      <c r="AG21">
        <f>Sex!AG21/Sex!$F21</f>
        <v>0.30614167732930092</v>
      </c>
      <c r="AH21">
        <f>Sex!AH21/Sex!$F21</f>
        <v>0.28475049435849714</v>
      </c>
      <c r="AI21">
        <f>Sex!AI21/Sex!$F21</f>
        <v>3.7105967197859717E-3</v>
      </c>
      <c r="AJ21">
        <f>Sex!AJ21/Sex!$F21</f>
        <v>3.152262417122252E-3</v>
      </c>
      <c r="AK21">
        <f>Sex!AK21/Sex!$F21</f>
        <v>0.26533674537629404</v>
      </c>
      <c r="AL21">
        <f>Sex!AL21/Sex!$F21</f>
        <v>0.21137606141677329</v>
      </c>
      <c r="AM21">
        <f>Sex!AM21/Sex!$F21</f>
        <v>3.9316040479236945E-3</v>
      </c>
      <c r="AN21">
        <f>Sex!AN21/Sex!$F21</f>
        <v>0.10173316273118529</v>
      </c>
      <c r="AO21">
        <f>Sex!AO21/Sex!$F21</f>
        <v>4.8737931836687218E-2</v>
      </c>
      <c r="AP21">
        <f>Sex!AP21/Sex!$F21</f>
        <v>4.6144003722228683E-2</v>
      </c>
      <c r="AQ21">
        <f>Sex!AQ21/Sex!$F21</f>
        <v>8.6111434221239971E-2</v>
      </c>
      <c r="AR21">
        <f>Sex!AR21/Sex!$F21</f>
        <v>8.4401535419332319E-2</v>
      </c>
      <c r="AS21">
        <f>Sex!AS21/Sex!$F21</f>
        <v>4.7237408398278467E-2</v>
      </c>
      <c r="AT21">
        <f>Sex!AT21/Sex!$F21</f>
        <v>2.6392927765499594E-2</v>
      </c>
      <c r="AU21">
        <f>Sex!AU21/Sex!$F21</f>
        <v>4.3282540421077119E-2</v>
      </c>
      <c r="AV21">
        <f>Sex!AV21/Sex!$F21</f>
        <v>2.500872397347912E-2</v>
      </c>
      <c r="AW21">
        <f>Sex!AW21/Sex!$F21</f>
        <v>1.120158194719088E-2</v>
      </c>
      <c r="AX21">
        <f>Sex!AX21/Sex!$F21</f>
        <v>8.9100849133418626E-3</v>
      </c>
      <c r="AY21">
        <f>Sex!AY21/Sex!$F21</f>
        <v>2.6288240083750147E-3</v>
      </c>
      <c r="AZ21">
        <f>Sex!AZ21/Sex!$F21</f>
        <v>6.0369896475514712E-3</v>
      </c>
      <c r="BA21">
        <f>Sex!BA21/Sex!$F21</f>
        <v>2.7870187274630684E-2</v>
      </c>
      <c r="BB21">
        <f>Sex!BB21/Sex!$F21</f>
        <v>2.1216703501221356E-2</v>
      </c>
      <c r="BC21">
        <f>Sex!BC21/Sex!$F21</f>
        <v>1.7447946958241246E-4</v>
      </c>
    </row>
    <row r="22" spans="1:55">
      <c r="A22" s="1">
        <v>1157</v>
      </c>
      <c r="B22" s="1" t="s">
        <v>26</v>
      </c>
      <c r="C22" t="s">
        <v>211</v>
      </c>
      <c r="D22">
        <v>137475</v>
      </c>
      <c r="E22">
        <v>125596</v>
      </c>
      <c r="F22">
        <v>123468</v>
      </c>
      <c r="G22">
        <f>Sex!G22/Sex!$F22</f>
        <v>0.72336961803868205</v>
      </c>
      <c r="H22">
        <f>Sex!H22/Sex!$F22</f>
        <v>2.4054815822723299E-3</v>
      </c>
      <c r="I22">
        <f>Sex!I22/Sex!$F22</f>
        <v>2.2758933488839215E-3</v>
      </c>
      <c r="J22">
        <f>Sex!J22/Sex!$F22</f>
        <v>1.9924190883467783E-3</v>
      </c>
      <c r="K22">
        <f>Sex!K22/Sex!$F22</f>
        <v>1.960022029999676E-3</v>
      </c>
      <c r="L22">
        <f>Sex!L22/Sex!$F22</f>
        <v>1.911426442479023E-3</v>
      </c>
      <c r="M22">
        <f>Sex!M22/Sex!$F22</f>
        <v>2.4297793760326563E-4</v>
      </c>
      <c r="N22">
        <f>Sex!N22/Sex!$F22</f>
        <v>1.2553860109502056E-3</v>
      </c>
      <c r="O22">
        <f>Sex!O22/Sex!$F22</f>
        <v>4.0496322933877603E-5</v>
      </c>
      <c r="P22">
        <f>Sex!P22/Sex!$F22</f>
        <v>3.2397058347102081E-5</v>
      </c>
      <c r="Q22">
        <f>Sex!Q22/Sex!$F22</f>
        <v>0.25323970583471023</v>
      </c>
      <c r="R22">
        <f>Sex!R22/Sex!$F22</f>
        <v>5.5633848446561052E-2</v>
      </c>
      <c r="S22">
        <f>Sex!S22/Sex!$F22</f>
        <v>0.19004114426410082</v>
      </c>
      <c r="T22">
        <f>Sex!T22/Sex!$F22</f>
        <v>7.8562866491722547E-3</v>
      </c>
      <c r="U22">
        <f>Sex!U22/Sex!$F22</f>
        <v>1.2189393203097159E-2</v>
      </c>
      <c r="V22">
        <f>Sex!V22/Sex!$F22</f>
        <v>2.2378268053260764E-2</v>
      </c>
      <c r="W22">
        <f>Sex!W22/Sex!$F22</f>
        <v>0.10160527424109891</v>
      </c>
      <c r="X22">
        <f>Sex!X22/Sex!$F22</f>
        <v>3.5766352415200701E-2</v>
      </c>
      <c r="Y22">
        <f>Sex!Y22/Sex!$F22</f>
        <v>3.5409984773382579E-2</v>
      </c>
      <c r="Z22">
        <f>Sex!Z22/Sex!$F22</f>
        <v>2.0960896750575046E-2</v>
      </c>
      <c r="AA22">
        <f>Sex!AA22/Sex!$F22</f>
        <v>2.5998639323549424E-3</v>
      </c>
      <c r="AB22">
        <f>Sex!AB22/Sex!$F22</f>
        <v>1.5234716687724754E-2</v>
      </c>
      <c r="AC22">
        <f>Sex!AC22/Sex!$F22</f>
        <v>3.2559043638837595E-3</v>
      </c>
      <c r="AD22">
        <f>Sex!AD22/Sex!$F22</f>
        <v>1.112029027764279E-2</v>
      </c>
      <c r="AE22">
        <f>Sex!AE22/Sex!$F22</f>
        <v>5.5609550652800724E-2</v>
      </c>
      <c r="AF22">
        <f>Sex!AF22/Sex!$F22</f>
        <v>5.9934557942138852E-4</v>
      </c>
      <c r="AG22">
        <f>Sex!AG22/Sex!$F22</f>
        <v>0.44516797874752972</v>
      </c>
      <c r="AH22">
        <f>Sex!AH22/Sex!$F22</f>
        <v>0.40817053811513915</v>
      </c>
      <c r="AI22">
        <f>Sex!AI22/Sex!$F22</f>
        <v>5.6694852107428643E-3</v>
      </c>
      <c r="AJ22">
        <f>Sex!AJ22/Sex!$F22</f>
        <v>3.1668124534292288E-3</v>
      </c>
      <c r="AK22">
        <f>Sex!AK22/Sex!$F22</f>
        <v>0.38159685100592866</v>
      </c>
      <c r="AL22">
        <f>Sex!AL22/Sex!$F22</f>
        <v>0.28924093692292741</v>
      </c>
      <c r="AM22">
        <f>Sex!AM22/Sex!$F22</f>
        <v>2.8266433407846568E-3</v>
      </c>
      <c r="AN22">
        <f>Sex!AN22/Sex!$F22</f>
        <v>0.16695824019179059</v>
      </c>
      <c r="AO22">
        <f>Sex!AO22/Sex!$F22</f>
        <v>8.9140506042051385E-2</v>
      </c>
      <c r="AP22">
        <f>Sex!AP22/Sex!$F22</f>
        <v>6.6746039459617074E-2</v>
      </c>
      <c r="AQ22">
        <f>Sex!AQ22/Sex!$F22</f>
        <v>9.6689020636926165E-2</v>
      </c>
      <c r="AR22">
        <f>Sex!AR22/Sex!$F22</f>
        <v>8.756114944763016E-2</v>
      </c>
      <c r="AS22">
        <f>Sex!AS22/Sex!$F22</f>
        <v>6.4939903456766132E-2</v>
      </c>
      <c r="AT22">
        <f>Sex!AT22/Sex!$F22</f>
        <v>3.5709657563093272E-2</v>
      </c>
      <c r="AU22">
        <f>Sex!AU22/Sex!$F22</f>
        <v>7.3905789354326623E-2</v>
      </c>
      <c r="AV22">
        <f>Sex!AV22/Sex!$F22</f>
        <v>3.1303657627887387E-2</v>
      </c>
      <c r="AW22">
        <f>Sex!AW22/Sex!$F22</f>
        <v>1.7032753425988919E-2</v>
      </c>
      <c r="AX22">
        <f>Sex!AX22/Sex!$F22</f>
        <v>1.6822172546732756E-2</v>
      </c>
      <c r="AY22">
        <f>Sex!AY22/Sex!$F22</f>
        <v>4.7947646353711081E-3</v>
      </c>
      <c r="AZ22">
        <f>Sex!AZ22/Sex!$F22</f>
        <v>1.1541452036155118E-2</v>
      </c>
      <c r="BA22">
        <f>Sex!BA22/Sex!$F22</f>
        <v>4.8749473547801861E-2</v>
      </c>
      <c r="BB22">
        <f>Sex!BB22/Sex!$F22</f>
        <v>3.1133573071565102E-2</v>
      </c>
      <c r="BC22">
        <f>Sex!BC22/Sex!$F22</f>
        <v>5.3455146272718434E-4</v>
      </c>
    </row>
    <row r="23" spans="1:55">
      <c r="A23" s="1">
        <v>1159</v>
      </c>
      <c r="B23" s="1" t="s">
        <v>26</v>
      </c>
      <c r="C23" t="s">
        <v>213</v>
      </c>
      <c r="D23">
        <v>152950</v>
      </c>
      <c r="E23">
        <v>139335</v>
      </c>
      <c r="F23">
        <v>134934</v>
      </c>
      <c r="G23">
        <f>Sex!G23/Sex!$F23</f>
        <v>0.64281055923636743</v>
      </c>
      <c r="H23">
        <f>Sex!H23/Sex!$F23</f>
        <v>5.7880148813494008E-3</v>
      </c>
      <c r="I23">
        <f>Sex!I23/Sex!$F23</f>
        <v>5.6694383921028057E-3</v>
      </c>
      <c r="J23">
        <f>Sex!J23/Sex!$F23</f>
        <v>5.3729971689863189E-3</v>
      </c>
      <c r="K23">
        <f>Sex!K23/Sex!$F23</f>
        <v>5.3137089243630222E-3</v>
      </c>
      <c r="L23">
        <f>Sex!L23/Sex!$F23</f>
        <v>5.2914758326292853E-3</v>
      </c>
      <c r="M23">
        <f>Sex!M23/Sex!$F23</f>
        <v>8.5226851645989893E-4</v>
      </c>
      <c r="N23">
        <f>Sex!N23/Sex!$F23</f>
        <v>3.6314049831769604E-3</v>
      </c>
      <c r="O23">
        <f>Sex!O23/Sex!$F23</f>
        <v>1.0375442809077031E-4</v>
      </c>
      <c r="P23">
        <f>Sex!P23/Sex!$F23</f>
        <v>7.4110305779121648E-5</v>
      </c>
      <c r="Q23">
        <f>Sex!Q23/Sex!$F23</f>
        <v>0.28694028191560317</v>
      </c>
      <c r="R23">
        <f>Sex!R23/Sex!$F23</f>
        <v>5.9799605733173257E-2</v>
      </c>
      <c r="S23">
        <f>Sex!S23/Sex!$F23</f>
        <v>0.22187143344153437</v>
      </c>
      <c r="T23">
        <f>Sex!T23/Sex!$F23</f>
        <v>6.2993759912253399E-3</v>
      </c>
      <c r="U23">
        <f>Sex!U23/Sex!$F23</f>
        <v>6.484651755673144E-3</v>
      </c>
      <c r="V23">
        <f>Sex!V23/Sex!$F23</f>
        <v>2.4819541405427838E-2</v>
      </c>
      <c r="W23">
        <f>Sex!W23/Sex!$F23</f>
        <v>9.7988646301154642E-2</v>
      </c>
      <c r="X23">
        <f>Sex!X23/Sex!$F23</f>
        <v>1.287296011383343E-2</v>
      </c>
      <c r="Y23">
        <f>Sex!Y23/Sex!$F23</f>
        <v>5.469340566499177E-3</v>
      </c>
      <c r="Z23">
        <f>Sex!Z23/Sex!$F23</f>
        <v>4.1998310285028234E-2</v>
      </c>
      <c r="AA23">
        <f>Sex!AA23/Sex!$F23</f>
        <v>6.9070804986141373E-3</v>
      </c>
      <c r="AB23">
        <f>Sex!AB23/Sex!$F23</f>
        <v>2.362636548238398E-2</v>
      </c>
      <c r="AC23">
        <f>Sex!AC23/Sex!$F23</f>
        <v>2.890301925385744E-4</v>
      </c>
      <c r="AD23">
        <f>Sex!AD23/Sex!$F23</f>
        <v>2.2759274904768256E-2</v>
      </c>
      <c r="AE23">
        <f>Sex!AE23/Sex!$F23</f>
        <v>7.3450724057687461E-2</v>
      </c>
      <c r="AF23">
        <f>Sex!AF23/Sex!$F23</f>
        <v>7.9298027183660161E-4</v>
      </c>
      <c r="AG23">
        <f>Sex!AG23/Sex!$F23</f>
        <v>0.34359019965316379</v>
      </c>
      <c r="AH23">
        <f>Sex!AH23/Sex!$F23</f>
        <v>0.32577408214386294</v>
      </c>
      <c r="AI23">
        <f>Sex!AI23/Sex!$F23</f>
        <v>1.8082914610105681E-3</v>
      </c>
      <c r="AJ23">
        <f>Sex!AJ23/Sex!$F23</f>
        <v>6.0325788904205015E-3</v>
      </c>
      <c r="AK23">
        <f>Sex!AK23/Sex!$F23</f>
        <v>0.30471934427201447</v>
      </c>
      <c r="AL23">
        <f>Sex!AL23/Sex!$F23</f>
        <v>0.17599715416425807</v>
      </c>
      <c r="AM23">
        <f>Sex!AM23/Sex!$F23</f>
        <v>1.8305245527443046E-3</v>
      </c>
      <c r="AN23">
        <f>Sex!AN23/Sex!$F23</f>
        <v>7.2465056990825144E-2</v>
      </c>
      <c r="AO23">
        <f>Sex!AO23/Sex!$F23</f>
        <v>1.9676286184356798E-2</v>
      </c>
      <c r="AP23">
        <f>Sex!AP23/Sex!$F23</f>
        <v>5.0513584419049316E-2</v>
      </c>
      <c r="AQ23">
        <f>Sex!AQ23/Sex!$F23</f>
        <v>7.9364726458861376E-2</v>
      </c>
      <c r="AR23">
        <f>Sex!AR23/Sex!$F23</f>
        <v>7.8838543287829604E-2</v>
      </c>
      <c r="AS23">
        <f>Sex!AS23/Sex!$F23</f>
        <v>1.591889368135533E-2</v>
      </c>
      <c r="AT23">
        <f>Sex!AT23/Sex!$F23</f>
        <v>2.26036432626321E-3</v>
      </c>
      <c r="AU23">
        <f>Sex!AU23/Sex!$F23</f>
        <v>0.10266500659581722</v>
      </c>
      <c r="AV23">
        <f>Sex!AV23/Sex!$F23</f>
        <v>2.7405991077119184E-2</v>
      </c>
      <c r="AW23">
        <f>Sex!AW23/Sex!$F23</f>
        <v>1.2005869536217705E-3</v>
      </c>
      <c r="AX23">
        <f>Sex!AX23/Sex!$F23</f>
        <v>1.1716839343679132E-2</v>
      </c>
      <c r="AY23">
        <f>Sex!AY23/Sex!$F23</f>
        <v>5.098789037603569E-3</v>
      </c>
      <c r="AZ23">
        <f>Sex!AZ23/Sex!$F23</f>
        <v>6.2623208383357793E-3</v>
      </c>
      <c r="BA23">
        <f>Sex!BA23/Sex!$F23</f>
        <v>8.6219929743430124E-2</v>
      </c>
      <c r="BB23">
        <f>Sex!BB23/Sex!$F23</f>
        <v>6.6580698711962885E-2</v>
      </c>
      <c r="BC23">
        <f>Sex!BC23/Sex!$F23</f>
        <v>4.372508040968177E-4</v>
      </c>
    </row>
    <row r="24" spans="1:55">
      <c r="A24" s="1">
        <v>1164</v>
      </c>
      <c r="B24" s="1" t="s">
        <v>26</v>
      </c>
      <c r="C24" t="s">
        <v>216</v>
      </c>
      <c r="D24">
        <v>62413</v>
      </c>
      <c r="E24">
        <v>59157</v>
      </c>
      <c r="F24">
        <v>55171</v>
      </c>
      <c r="G24">
        <f>Sex!G24/Sex!$F24</f>
        <v>0.3830273150749488</v>
      </c>
      <c r="H24">
        <f>Sex!H24/Sex!$F24</f>
        <v>2.990701636729441E-3</v>
      </c>
      <c r="I24">
        <f>Sex!I24/Sex!$F24</f>
        <v>2.9363252433343605E-3</v>
      </c>
      <c r="J24">
        <f>Sex!J24/Sex!$F24</f>
        <v>2.7006942052890106E-3</v>
      </c>
      <c r="K24">
        <f>Sex!K24/Sex!$F24</f>
        <v>2.7006942052890106E-3</v>
      </c>
      <c r="L24">
        <f>Sex!L24/Sex!$F24</f>
        <v>2.7006942052890106E-3</v>
      </c>
      <c r="M24">
        <f>Sex!M24/Sex!$F24</f>
        <v>9.4252415218139967E-4</v>
      </c>
      <c r="N24">
        <f>Sex!N24/Sex!$F24</f>
        <v>1.522539015062261E-3</v>
      </c>
      <c r="O24">
        <f>Sex!O24/Sex!$F24</f>
        <v>1.8125464465026915E-5</v>
      </c>
      <c r="P24">
        <f>Sex!P24/Sex!$F24</f>
        <v>0</v>
      </c>
      <c r="Q24">
        <f>Sex!Q24/Sex!$F24</f>
        <v>0.14835692664624531</v>
      </c>
      <c r="R24">
        <f>Sex!R24/Sex!$F24</f>
        <v>3.5562161280382809E-2</v>
      </c>
      <c r="S24">
        <f>Sex!S24/Sex!$F24</f>
        <v>0.10931467618857733</v>
      </c>
      <c r="T24">
        <f>Sex!T24/Sex!$F24</f>
        <v>6.1445324536441243E-3</v>
      </c>
      <c r="U24">
        <f>Sex!U24/Sex!$F24</f>
        <v>1.1129035181526527E-2</v>
      </c>
      <c r="V24">
        <f>Sex!V24/Sex!$F24</f>
        <v>1.4790379003461964E-2</v>
      </c>
      <c r="W24">
        <f>Sex!W24/Sex!$F24</f>
        <v>2.9943267296224464E-2</v>
      </c>
      <c r="X24">
        <f>Sex!X24/Sex!$F24</f>
        <v>1.7074187526055357E-2</v>
      </c>
      <c r="Y24">
        <f>Sex!Y24/Sex!$F24</f>
        <v>1.5950408729223688E-2</v>
      </c>
      <c r="Z24">
        <f>Sex!Z24/Sex!$F24</f>
        <v>2.0137391020644903E-2</v>
      </c>
      <c r="AA24">
        <f>Sex!AA24/Sex!$F24</f>
        <v>8.8814775878631887E-4</v>
      </c>
      <c r="AB24">
        <f>Sex!AB24/Sex!$F24</f>
        <v>1.375722752895543E-2</v>
      </c>
      <c r="AC24">
        <f>Sex!AC24/Sex!$F24</f>
        <v>2.7188196697540374E-4</v>
      </c>
      <c r="AD24">
        <f>Sex!AD24/Sex!$F24</f>
        <v>1.2778452447843976E-2</v>
      </c>
      <c r="AE24">
        <f>Sex!AE24/Sex!$F24</f>
        <v>4.8467491979481976E-2</v>
      </c>
      <c r="AF24">
        <f>Sex!AF24/Sex!$F24</f>
        <v>2.5375650251037684E-4</v>
      </c>
      <c r="AG24">
        <f>Sex!AG24/Sex!$F24</f>
        <v>0.22745645357162278</v>
      </c>
      <c r="AH24">
        <f>Sex!AH24/Sex!$F24</f>
        <v>0.2142792409055482</v>
      </c>
      <c r="AI24">
        <f>Sex!AI24/Sex!$F24</f>
        <v>2.7550705986840911E-3</v>
      </c>
      <c r="AJ24">
        <f>Sex!AJ24/Sex!$F24</f>
        <v>1.0512769389715612E-3</v>
      </c>
      <c r="AK24">
        <f>Sex!AK24/Sex!$F24</f>
        <v>0.20200830146272497</v>
      </c>
      <c r="AL24">
        <f>Sex!AL24/Sex!$F24</f>
        <v>0.12675137300393322</v>
      </c>
      <c r="AM24">
        <f>Sex!AM24/Sex!$F24</f>
        <v>1.7037936597125302E-3</v>
      </c>
      <c r="AN24">
        <f>Sex!AN24/Sex!$F24</f>
        <v>9.118921172355042E-2</v>
      </c>
      <c r="AO24">
        <f>Sex!AO24/Sex!$F24</f>
        <v>2.4868137246016928E-2</v>
      </c>
      <c r="AP24">
        <f>Sex!AP24/Sex!$F24</f>
        <v>5.7022711206974677E-2</v>
      </c>
      <c r="AQ24">
        <f>Sex!AQ24/Sex!$F24</f>
        <v>2.8964492215113012E-2</v>
      </c>
      <c r="AR24">
        <f>Sex!AR24/Sex!$F24</f>
        <v>2.8493230139022312E-2</v>
      </c>
      <c r="AS24">
        <f>Sex!AS24/Sex!$F24</f>
        <v>1.0150260100415073E-2</v>
      </c>
      <c r="AT24">
        <f>Sex!AT24/Sex!$F24</f>
        <v>5.3832629461129941E-3</v>
      </c>
      <c r="AU24">
        <f>Sex!AU24/Sex!$F24</f>
        <v>6.9148646934077684E-2</v>
      </c>
      <c r="AV24">
        <f>Sex!AV24/Sex!$F24</f>
        <v>1.1908430153522684E-2</v>
      </c>
      <c r="AW24">
        <f>Sex!AW24/Sex!$F24</f>
        <v>1.7037936597125302E-3</v>
      </c>
      <c r="AX24">
        <f>Sex!AX24/Sex!$F24</f>
        <v>1.692918381033514E-2</v>
      </c>
      <c r="AY24">
        <f>Sex!AY24/Sex!$F24</f>
        <v>5.4738902684381288E-3</v>
      </c>
      <c r="AZ24">
        <f>Sex!AZ24/Sex!$F24</f>
        <v>1.0295263816135289E-2</v>
      </c>
      <c r="BA24">
        <f>Sex!BA24/Sex!$F24</f>
        <v>4.9609396240778668E-2</v>
      </c>
      <c r="BB24">
        <f>Sex!BB24/Sex!$F24</f>
        <v>4.6201808921353608E-2</v>
      </c>
      <c r="BC24">
        <f>Sex!BC24/Sex!$F24</f>
        <v>7.250185786010766E-5</v>
      </c>
    </row>
    <row r="25" spans="1:55">
      <c r="A25" s="1">
        <v>1166</v>
      </c>
      <c r="B25" s="1" t="s">
        <v>26</v>
      </c>
      <c r="C25" t="s">
        <v>218</v>
      </c>
      <c r="D25">
        <v>86919</v>
      </c>
      <c r="E25">
        <v>81185</v>
      </c>
      <c r="F25">
        <v>78665</v>
      </c>
      <c r="G25">
        <f>Sex!G25/Sex!$F25</f>
        <v>0.6293523167863726</v>
      </c>
      <c r="H25">
        <f>Sex!H25/Sex!$F25</f>
        <v>1.1695163033115109E-3</v>
      </c>
      <c r="I25">
        <f>Sex!I25/Sex!$F25</f>
        <v>1.1440920358482172E-3</v>
      </c>
      <c r="J25">
        <f>Sex!J25/Sex!$F25</f>
        <v>1.0932435009216297E-3</v>
      </c>
      <c r="K25">
        <f>Sex!K25/Sex!$F25</f>
        <v>1.067819233458336E-3</v>
      </c>
      <c r="L25">
        <f>Sex!L25/Sex!$F25</f>
        <v>1.067819233458336E-3</v>
      </c>
      <c r="M25">
        <f>Sex!M25/Sex!$F25</f>
        <v>2.1610627343799656E-4</v>
      </c>
      <c r="N25">
        <f>Sex!N25/Sex!$F25</f>
        <v>7.3730375643551766E-4</v>
      </c>
      <c r="O25">
        <f>Sex!O25/Sex!$F25</f>
        <v>1.2712133731646856E-5</v>
      </c>
      <c r="P25">
        <f>Sex!P25/Sex!$F25</f>
        <v>1.2712133731646856E-5</v>
      </c>
      <c r="Q25">
        <f>Sex!Q25/Sex!$F25</f>
        <v>0.31551515921947498</v>
      </c>
      <c r="R25">
        <f>Sex!R25/Sex!$F25</f>
        <v>4.9844276361787329E-2</v>
      </c>
      <c r="S25">
        <f>Sex!S25/Sex!$F25</f>
        <v>0.25796732981630965</v>
      </c>
      <c r="T25">
        <f>Sex!T25/Sex!$F25</f>
        <v>9.1145998855907961E-3</v>
      </c>
      <c r="U25">
        <f>Sex!U25/Sex!$F25</f>
        <v>1.9830928621369096E-2</v>
      </c>
      <c r="V25">
        <f>Sex!V25/Sex!$F25</f>
        <v>3.8009279857624104E-2</v>
      </c>
      <c r="W25">
        <f>Sex!W25/Sex!$F25</f>
        <v>0.10570139197864362</v>
      </c>
      <c r="X25">
        <f>Sex!X25/Sex!$F25</f>
        <v>1.2953664272548147E-2</v>
      </c>
      <c r="Y25">
        <f>Sex!Y25/Sex!$F25</f>
        <v>1.2801118667768384E-2</v>
      </c>
      <c r="Z25">
        <f>Sex!Z25/Sex!$F25</f>
        <v>4.4174664717472827E-2</v>
      </c>
      <c r="AA25">
        <f>Sex!AA25/Sex!$F25</f>
        <v>6.7882794126994219E-3</v>
      </c>
      <c r="AB25">
        <f>Sex!AB25/Sex!$F25</f>
        <v>3.466598868620098E-2</v>
      </c>
      <c r="AC25">
        <f>Sex!AC25/Sex!$F25</f>
        <v>4.5382317421979283E-3</v>
      </c>
      <c r="AD25">
        <f>Sex!AD25/Sex!$F25</f>
        <v>2.6987859912286277E-2</v>
      </c>
      <c r="AE25">
        <f>Sex!AE25/Sex!$F25</f>
        <v>9.0510392169325618E-2</v>
      </c>
      <c r="AF25">
        <f>Sex!AF25/Sex!$F25</f>
        <v>3.9407614568105255E-4</v>
      </c>
      <c r="AG25">
        <f>Sex!AG25/Sex!$F25</f>
        <v>0.30990910824381873</v>
      </c>
      <c r="AH25">
        <f>Sex!AH25/Sex!$F25</f>
        <v>0.27759486429797242</v>
      </c>
      <c r="AI25">
        <f>Sex!AI25/Sex!$F25</f>
        <v>1.1822284370431578E-3</v>
      </c>
      <c r="AJ25">
        <f>Sex!AJ25/Sex!$F25</f>
        <v>3.1907455666433612E-3</v>
      </c>
      <c r="AK25">
        <f>Sex!AK25/Sex!$F25</f>
        <v>0.26637005021292826</v>
      </c>
      <c r="AL25">
        <f>Sex!AL25/Sex!$F25</f>
        <v>0.14987605669611645</v>
      </c>
      <c r="AM25">
        <f>Sex!AM25/Sex!$F25</f>
        <v>6.9916735524057718E-4</v>
      </c>
      <c r="AN25">
        <f>Sex!AN25/Sex!$F25</f>
        <v>8.0811034132079074E-2</v>
      </c>
      <c r="AO25">
        <f>Sex!AO25/Sex!$F25</f>
        <v>2.4534418102078435E-2</v>
      </c>
      <c r="AP25">
        <f>Sex!AP25/Sex!$F25</f>
        <v>4.9310366745058155E-2</v>
      </c>
      <c r="AQ25">
        <f>Sex!AQ25/Sex!$F25</f>
        <v>5.5450327337443588E-2</v>
      </c>
      <c r="AR25">
        <f>Sex!AR25/Sex!$F25</f>
        <v>5.4471493040106782E-2</v>
      </c>
      <c r="AS25">
        <f>Sex!AS25/Sex!$F25</f>
        <v>8.0976291870590474E-3</v>
      </c>
      <c r="AT25">
        <f>Sex!AT25/Sex!$F25</f>
        <v>2.4280175427445496E-3</v>
      </c>
      <c r="AU25">
        <f>Sex!AU25/Sex!$F25</f>
        <v>9.7629187059047856E-2</v>
      </c>
      <c r="AV25">
        <f>Sex!AV25/Sex!$F25</f>
        <v>5.4916417720714426E-3</v>
      </c>
      <c r="AW25">
        <f>Sex!AW25/Sex!$F25</f>
        <v>1.3093497743596264E-3</v>
      </c>
      <c r="AX25">
        <f>Sex!AX25/Sex!$F25</f>
        <v>2.66954808364584E-2</v>
      </c>
      <c r="AY25">
        <f>Sex!AY25/Sex!$F25</f>
        <v>6.0382635225322574E-3</v>
      </c>
      <c r="AZ25">
        <f>Sex!AZ25/Sex!$F25</f>
        <v>1.8902942858958875E-2</v>
      </c>
      <c r="BA25">
        <f>Sex!BA25/Sex!$F25</f>
        <v>6.6293777410538365E-2</v>
      </c>
      <c r="BB25">
        <f>Sex!BB25/Sex!$F25</f>
        <v>2.66954808364584E-2</v>
      </c>
      <c r="BC25">
        <f>Sex!BC25/Sex!$F25</f>
        <v>3.5975338460560607E-3</v>
      </c>
    </row>
    <row r="26" spans="1:55">
      <c r="A26" s="1">
        <v>1169</v>
      </c>
      <c r="B26" s="1" t="s">
        <v>26</v>
      </c>
      <c r="C26" t="s">
        <v>220</v>
      </c>
      <c r="D26">
        <v>123596</v>
      </c>
      <c r="E26">
        <v>120354</v>
      </c>
      <c r="F26">
        <v>110696</v>
      </c>
      <c r="G26">
        <f>Sex!G26/Sex!$F26</f>
        <v>0.43671858061718583</v>
      </c>
      <c r="H26">
        <f>Sex!H26/Sex!$F26</f>
        <v>2.8004625280046254E-3</v>
      </c>
      <c r="I26">
        <f>Sex!I26/Sex!$F26</f>
        <v>2.222302522223025E-3</v>
      </c>
      <c r="J26">
        <f>Sex!J26/Sex!$F26</f>
        <v>2.1500325215003252E-3</v>
      </c>
      <c r="K26">
        <f>Sex!K26/Sex!$F26</f>
        <v>2.1500325215003252E-3</v>
      </c>
      <c r="L26">
        <f>Sex!L26/Sex!$F26</f>
        <v>2.1500325215003252E-3</v>
      </c>
      <c r="M26">
        <f>Sex!M26/Sex!$F26</f>
        <v>4.5168750451687504E-4</v>
      </c>
      <c r="N26">
        <f>Sex!N26/Sex!$F26</f>
        <v>1.3731300137313001E-3</v>
      </c>
      <c r="O26">
        <f>Sex!O26/Sex!$F26</f>
        <v>4.5168750451687506E-5</v>
      </c>
      <c r="P26">
        <f>Sex!P26/Sex!$F26</f>
        <v>9.0337500903375001E-6</v>
      </c>
      <c r="Q26">
        <f>Sex!Q26/Sex!$F26</f>
        <v>0.21415407964154079</v>
      </c>
      <c r="R26">
        <f>Sex!R26/Sex!$F26</f>
        <v>6.1158488111584884E-2</v>
      </c>
      <c r="S26">
        <f>Sex!S26/Sex!$F26</f>
        <v>0.14990604899906049</v>
      </c>
      <c r="T26">
        <f>Sex!T26/Sex!$F26</f>
        <v>6.0797138107971382E-3</v>
      </c>
      <c r="U26">
        <f>Sex!U26/Sex!$F26</f>
        <v>8.9795475897954755E-3</v>
      </c>
      <c r="V26">
        <f>Sex!V26/Sex!$F26</f>
        <v>3.6966105369661051E-2</v>
      </c>
      <c r="W26">
        <f>Sex!W26/Sex!$F26</f>
        <v>1.3098937630989377E-2</v>
      </c>
      <c r="X26">
        <f>Sex!X26/Sex!$F26</f>
        <v>7.9948688299486884E-3</v>
      </c>
      <c r="Y26">
        <f>Sex!Y26/Sex!$F26</f>
        <v>7.7419238274192385E-3</v>
      </c>
      <c r="Z26">
        <f>Sex!Z26/Sex!$F26</f>
        <v>2.2746982727469826E-2</v>
      </c>
      <c r="AA26">
        <f>Sex!AA26/Sex!$F26</f>
        <v>2.8998337789983377E-3</v>
      </c>
      <c r="AB26">
        <f>Sex!AB26/Sex!$F26</f>
        <v>1.2683385126833851E-2</v>
      </c>
      <c r="AC26">
        <f>Sex!AC26/Sex!$F26</f>
        <v>4.6343137963431383E-3</v>
      </c>
      <c r="AD26">
        <f>Sex!AD26/Sex!$F26</f>
        <v>3.3966900339669004E-3</v>
      </c>
      <c r="AE26">
        <f>Sex!AE26/Sex!$F26</f>
        <v>8.8738527137385267E-2</v>
      </c>
      <c r="AF26">
        <f>Sex!AF26/Sex!$F26</f>
        <v>6.5043000650430005E-4</v>
      </c>
      <c r="AG26">
        <f>Sex!AG26/Sex!$F26</f>
        <v>0.2107302883573029</v>
      </c>
      <c r="AH26">
        <f>Sex!AH26/Sex!$F26</f>
        <v>0.12318421623184216</v>
      </c>
      <c r="AI26">
        <f>Sex!AI26/Sex!$F26</f>
        <v>7.7690250776902506E-4</v>
      </c>
      <c r="AJ26">
        <f>Sex!AJ26/Sex!$F26</f>
        <v>3.6135000361350004E-4</v>
      </c>
      <c r="AK26">
        <f>Sex!AK26/Sex!$F26</f>
        <v>0.12003143745031437</v>
      </c>
      <c r="AL26">
        <f>Sex!AL26/Sex!$F26</f>
        <v>7.9632507046325074E-2</v>
      </c>
      <c r="AM26">
        <f>Sex!AM26/Sex!$F26</f>
        <v>2.1681000216810002E-4</v>
      </c>
      <c r="AN26">
        <f>Sex!AN26/Sex!$F26</f>
        <v>1.963033894630339E-2</v>
      </c>
      <c r="AO26">
        <f>Sex!AO26/Sex!$F26</f>
        <v>5.3570138035701383E-3</v>
      </c>
      <c r="AP26">
        <f>Sex!AP26/Sex!$F26</f>
        <v>1.2927296379272963E-2</v>
      </c>
      <c r="AQ26">
        <f>Sex!AQ26/Sex!$F26</f>
        <v>5.441027679410277E-2</v>
      </c>
      <c r="AR26">
        <f>Sex!AR26/Sex!$F26</f>
        <v>4.9721760497217604E-2</v>
      </c>
      <c r="AS26">
        <f>Sex!AS26/Sex!$F26</f>
        <v>2.6288212762882127E-3</v>
      </c>
      <c r="AT26">
        <f>Sex!AT26/Sex!$F26</f>
        <v>6.3236250632362509E-4</v>
      </c>
      <c r="AU26">
        <f>Sex!AU26/Sex!$F26</f>
        <v>3.6017561610175615E-2</v>
      </c>
      <c r="AV26">
        <f>Sex!AV26/Sex!$F26</f>
        <v>3.0263062802630626E-3</v>
      </c>
      <c r="AW26">
        <f>Sex!AW26/Sex!$F26</f>
        <v>3.8845125388451253E-4</v>
      </c>
      <c r="AX26">
        <f>Sex!AX26/Sex!$F26</f>
        <v>1.1662571366625714E-2</v>
      </c>
      <c r="AY26">
        <f>Sex!AY26/Sex!$F26</f>
        <v>1.9061212690612128E-3</v>
      </c>
      <c r="AZ26">
        <f>Sex!AZ26/Sex!$F26</f>
        <v>9.0337500903375015E-3</v>
      </c>
      <c r="BA26">
        <f>Sex!BA26/Sex!$F26</f>
        <v>2.252113897521139E-2</v>
      </c>
      <c r="BB26">
        <f>Sex!BB26/Sex!$F26</f>
        <v>1.3433186384331865E-2</v>
      </c>
      <c r="BC26">
        <f>Sex!BC26/Sex!$F26</f>
        <v>9.9371250993712516E-5</v>
      </c>
    </row>
    <row r="27" spans="1:55">
      <c r="A27" s="1">
        <v>1204</v>
      </c>
      <c r="B27" s="1" t="s">
        <v>26</v>
      </c>
      <c r="C27" t="s">
        <v>225</v>
      </c>
      <c r="D27">
        <v>129019</v>
      </c>
      <c r="E27">
        <v>125046</v>
      </c>
      <c r="F27">
        <v>121389</v>
      </c>
      <c r="G27">
        <f>Sex!G27/Sex!$F27</f>
        <v>0.70553345031263126</v>
      </c>
      <c r="H27">
        <f>Sex!H27/Sex!$F27</f>
        <v>7.8260797930619738E-4</v>
      </c>
      <c r="I27">
        <f>Sex!I27/Sex!$F27</f>
        <v>7.7437000057665854E-4</v>
      </c>
      <c r="J27">
        <f>Sex!J27/Sex!$F27</f>
        <v>7.3318010692896389E-4</v>
      </c>
      <c r="K27">
        <f>Sex!K27/Sex!$F27</f>
        <v>7.3318010692896389E-4</v>
      </c>
      <c r="L27">
        <f>Sex!L27/Sex!$F27</f>
        <v>7.3318010692896389E-4</v>
      </c>
      <c r="M27">
        <f>Sex!M27/Sex!$F27</f>
        <v>1.1533170221354489E-4</v>
      </c>
      <c r="N27">
        <f>Sex!N27/Sex!$F27</f>
        <v>5.6018255360864655E-4</v>
      </c>
      <c r="O27">
        <f>Sex!O27/Sex!$F27</f>
        <v>0</v>
      </c>
      <c r="P27">
        <f>Sex!P27/Sex!$F27</f>
        <v>8.2379787295389196E-6</v>
      </c>
      <c r="Q27">
        <f>Sex!Q27/Sex!$F27</f>
        <v>0.18906984982164776</v>
      </c>
      <c r="R27">
        <f>Sex!R27/Sex!$F27</f>
        <v>3.6873192793416207E-2</v>
      </c>
      <c r="S27">
        <f>Sex!S27/Sex!$F27</f>
        <v>0.1488602756427683</v>
      </c>
      <c r="T27">
        <f>Sex!T27/Sex!$F27</f>
        <v>1.907915873761214E-2</v>
      </c>
      <c r="U27">
        <f>Sex!U27/Sex!$F27</f>
        <v>4.132993928609676E-2</v>
      </c>
      <c r="V27">
        <f>Sex!V27/Sex!$F27</f>
        <v>4.4048472266844607E-2</v>
      </c>
      <c r="W27">
        <f>Sex!W27/Sex!$F27</f>
        <v>1.8609593950028421E-2</v>
      </c>
      <c r="X27">
        <f>Sex!X27/Sex!$F27</f>
        <v>9.2512501132722084E-3</v>
      </c>
      <c r="Y27">
        <f>Sex!Y27/Sex!$F27</f>
        <v>8.0814571336776803E-3</v>
      </c>
      <c r="Z27">
        <f>Sex!Z27/Sex!$F27</f>
        <v>1.5083739053785763E-2</v>
      </c>
      <c r="AA27">
        <f>Sex!AA27/Sex!$F27</f>
        <v>5.2805443656344479E-3</v>
      </c>
      <c r="AB27">
        <f>Sex!AB27/Sex!$F27</f>
        <v>8.5180700063432445E-3</v>
      </c>
      <c r="AC27">
        <f>Sex!AC27/Sex!$F27</f>
        <v>4.1107513860399215E-3</v>
      </c>
      <c r="AD27">
        <f>Sex!AD27/Sex!$F27</f>
        <v>3.3775712791109572E-3</v>
      </c>
      <c r="AE27">
        <f>Sex!AE27/Sex!$F27</f>
        <v>0.10839532412327312</v>
      </c>
      <c r="AF27">
        <f>Sex!AF27/Sex!$F27</f>
        <v>9.8855744754467053E-4</v>
      </c>
      <c r="AG27">
        <f>Sex!AG27/Sex!$F27</f>
        <v>0.5109029648485448</v>
      </c>
      <c r="AH27">
        <f>Sex!AH27/Sex!$F27</f>
        <v>0.48510985344635837</v>
      </c>
      <c r="AI27">
        <f>Sex!AI27/Sex!$F27</f>
        <v>9.8608605392580869E-3</v>
      </c>
      <c r="AJ27">
        <f>Sex!AJ27/Sex!$F27</f>
        <v>9.3006779856494408E-3</v>
      </c>
      <c r="AK27">
        <f>Sex!AK27/Sex!$F27</f>
        <v>0.43167008542783941</v>
      </c>
      <c r="AL27">
        <f>Sex!AL27/Sex!$F27</f>
        <v>0.28847753915099389</v>
      </c>
      <c r="AM27">
        <f>Sex!AM27/Sex!$F27</f>
        <v>1.7876413843099458E-3</v>
      </c>
      <c r="AN27">
        <f>Sex!AN27/Sex!$F27</f>
        <v>0.12092528977090181</v>
      </c>
      <c r="AO27">
        <f>Sex!AO27/Sex!$F27</f>
        <v>4.1379367158473998E-2</v>
      </c>
      <c r="AP27">
        <f>Sex!AP27/Sex!$F27</f>
        <v>6.7172478560660359E-2</v>
      </c>
      <c r="AQ27">
        <f>Sex!AQ27/Sex!$F27</f>
        <v>0.15068910692072593</v>
      </c>
      <c r="AR27">
        <f>Sex!AR27/Sex!$F27</f>
        <v>0.14927217457924524</v>
      </c>
      <c r="AS27">
        <f>Sex!AS27/Sex!$F27</f>
        <v>1.959815139757309E-2</v>
      </c>
      <c r="AT27">
        <f>Sex!AT27/Sex!$F27</f>
        <v>1.1228365008361548E-2</v>
      </c>
      <c r="AU27">
        <f>Sex!AU27/Sex!$F27</f>
        <v>0.13637973786751684</v>
      </c>
      <c r="AV27">
        <f>Sex!AV27/Sex!$F27</f>
        <v>1.6698382884775393E-2</v>
      </c>
      <c r="AW27">
        <f>Sex!AW27/Sex!$F27</f>
        <v>5.7995370255953995E-3</v>
      </c>
      <c r="AX27">
        <f>Sex!AX27/Sex!$F27</f>
        <v>4.1642982477819245E-2</v>
      </c>
      <c r="AY27">
        <f>Sex!AY27/Sex!$F27</f>
        <v>5.980772557645256E-3</v>
      </c>
      <c r="AZ27">
        <f>Sex!AZ27/Sex!$F27</f>
        <v>3.2465874173112884E-2</v>
      </c>
      <c r="BA27">
        <f>Sex!BA27/Sex!$F27</f>
        <v>9.0354150705582878E-2</v>
      </c>
      <c r="BB27">
        <f>Sex!BB27/Sex!$F27</f>
        <v>5.8588504724480801E-2</v>
      </c>
      <c r="BC27">
        <f>Sex!BC27/Sex!$F27</f>
        <v>2.6361531934524543E-4</v>
      </c>
    </row>
    <row r="28" spans="1:55">
      <c r="A28" s="1">
        <v>1205</v>
      </c>
      <c r="B28" s="1" t="s">
        <v>26</v>
      </c>
      <c r="C28" t="s">
        <v>226</v>
      </c>
      <c r="D28">
        <v>35601</v>
      </c>
      <c r="E28">
        <v>32502</v>
      </c>
      <c r="F28">
        <v>31893</v>
      </c>
      <c r="G28">
        <f>Sex!G28/Sex!$F28</f>
        <v>0.39284482488320321</v>
      </c>
      <c r="H28">
        <f>Sex!H28/Sex!$F28</f>
        <v>4.3583231430094375E-3</v>
      </c>
      <c r="I28">
        <f>Sex!I28/Sex!$F28</f>
        <v>4.1388392437211926E-3</v>
      </c>
      <c r="J28">
        <f>Sex!J28/Sex!$F28</f>
        <v>3.7939359734110935E-3</v>
      </c>
      <c r="K28">
        <f>Sex!K28/Sex!$F28</f>
        <v>3.7939359734110935E-3</v>
      </c>
      <c r="L28">
        <f>Sex!L28/Sex!$F28</f>
        <v>3.7939359734110935E-3</v>
      </c>
      <c r="M28">
        <f>Sex!M28/Sex!$F28</f>
        <v>8.1522591164205312E-4</v>
      </c>
      <c r="N28">
        <f>Sex!N28/Sex!$F28</f>
        <v>2.2889035211488416E-3</v>
      </c>
      <c r="O28">
        <f>Sex!O28/Sex!$F28</f>
        <v>6.2709685510927156E-5</v>
      </c>
      <c r="P28">
        <f>Sex!P28/Sex!$F28</f>
        <v>0</v>
      </c>
      <c r="Q28">
        <f>Sex!Q28/Sex!$F28</f>
        <v>9.6133947888251345E-2</v>
      </c>
      <c r="R28">
        <f>Sex!R28/Sex!$F28</f>
        <v>1.8812905653278148E-2</v>
      </c>
      <c r="S28">
        <f>Sex!S28/Sex!$F28</f>
        <v>7.2900009406452831E-2</v>
      </c>
      <c r="T28">
        <f>Sex!T28/Sex!$F28</f>
        <v>1.8812905653278148E-3</v>
      </c>
      <c r="U28">
        <f>Sex!U28/Sex!$F28</f>
        <v>4.0761295582102656E-4</v>
      </c>
      <c r="V28">
        <f>Sex!V28/Sex!$F28</f>
        <v>7.054839619979306E-3</v>
      </c>
      <c r="W28">
        <f>Sex!W28/Sex!$F28</f>
        <v>2.1697551186780798E-2</v>
      </c>
      <c r="X28">
        <f>Sex!X28/Sex!$F28</f>
        <v>2.0694196218605963E-3</v>
      </c>
      <c r="Y28">
        <f>Sex!Y28/Sex!$F28</f>
        <v>8.1522591164205312E-4</v>
      </c>
      <c r="Z28">
        <f>Sex!Z28/Sex!$F28</f>
        <v>1.5395227792932618E-2</v>
      </c>
      <c r="AA28">
        <f>Sex!AA28/Sex!$F28</f>
        <v>4.170194086476656E-3</v>
      </c>
      <c r="AB28">
        <f>Sex!AB28/Sex!$F28</f>
        <v>9.8454206252155639E-3</v>
      </c>
      <c r="AC28">
        <f>Sex!AC28/Sex!$F28</f>
        <v>2.1948389928824508E-4</v>
      </c>
      <c r="AD28">
        <f>Sex!AD28/Sex!$F28</f>
        <v>9.4378076693945375E-3</v>
      </c>
      <c r="AE28">
        <f>Sex!AE28/Sex!$F28</f>
        <v>3.2859875207725833E-2</v>
      </c>
      <c r="AF28">
        <f>Sex!AF28/Sex!$F28</f>
        <v>1.0347098109302981E-3</v>
      </c>
      <c r="AG28">
        <f>Sex!AG28/Sex!$F28</f>
        <v>0.28896623083435236</v>
      </c>
      <c r="AH28">
        <f>Sex!AH28/Sex!$F28</f>
        <v>0.27228545448844577</v>
      </c>
      <c r="AI28">
        <f>Sex!AI28/Sex!$F28</f>
        <v>1.2855485529740069E-3</v>
      </c>
      <c r="AJ28">
        <f>Sex!AJ28/Sex!$F28</f>
        <v>1.5677421377731791E-4</v>
      </c>
      <c r="AK28">
        <f>Sex!AK28/Sex!$F28</f>
        <v>0.26469758254162357</v>
      </c>
      <c r="AL28">
        <f>Sex!AL28/Sex!$F28</f>
        <v>0.19446273476938514</v>
      </c>
      <c r="AM28">
        <f>Sex!AM28/Sex!$F28</f>
        <v>1.4109679239958611E-3</v>
      </c>
      <c r="AN28">
        <f>Sex!AN28/Sex!$F28</f>
        <v>9.7701690026024524E-2</v>
      </c>
      <c r="AO28">
        <f>Sex!AO28/Sex!$F28</f>
        <v>3.2953939735992227E-2</v>
      </c>
      <c r="AP28">
        <f>Sex!AP28/Sex!$F28</f>
        <v>5.5184523249615904E-2</v>
      </c>
      <c r="AQ28">
        <f>Sex!AQ28/Sex!$F28</f>
        <v>8.218104286207005E-2</v>
      </c>
      <c r="AR28">
        <f>Sex!AR28/Sex!$F28</f>
        <v>8.0989558837362433E-2</v>
      </c>
      <c r="AS28">
        <f>Sex!AS28/Sex!$F28</f>
        <v>1.294955005800646E-2</v>
      </c>
      <c r="AT28">
        <f>Sex!AT28/Sex!$F28</f>
        <v>7.054839619979306E-3</v>
      </c>
      <c r="AU28">
        <f>Sex!AU28/Sex!$F28</f>
        <v>6.004452387671276E-2</v>
      </c>
      <c r="AV28">
        <f>Sex!AV28/Sex!$F28</f>
        <v>8.9361301853071208E-3</v>
      </c>
      <c r="AW28">
        <f>Sex!AW28/Sex!$F28</f>
        <v>1.4736776095067884E-3</v>
      </c>
      <c r="AX28">
        <f>Sex!AX28/Sex!$F28</f>
        <v>1.6994324773461262E-2</v>
      </c>
      <c r="AY28">
        <f>Sex!AY28/Sex!$F28</f>
        <v>6.7726460351801333E-3</v>
      </c>
      <c r="AZ28">
        <f>Sex!AZ28/Sex!$F28</f>
        <v>9.3123882983726838E-3</v>
      </c>
      <c r="BA28">
        <f>Sex!BA28/Sex!$F28</f>
        <v>3.9256263129840402E-2</v>
      </c>
      <c r="BB28">
        <f>Sex!BB28/Sex!$F28</f>
        <v>3.3016649421503154E-2</v>
      </c>
      <c r="BC28">
        <f>Sex!BC28/Sex!$F28</f>
        <v>3.7625811306556296E-4</v>
      </c>
    </row>
    <row r="29" spans="1:55">
      <c r="A29" s="1">
        <v>1207</v>
      </c>
      <c r="B29" s="1" t="s">
        <v>26</v>
      </c>
      <c r="C29" t="s">
        <v>227</v>
      </c>
      <c r="D29">
        <v>82779</v>
      </c>
      <c r="E29">
        <v>76468</v>
      </c>
      <c r="F29">
        <v>75354</v>
      </c>
      <c r="G29">
        <f>Sex!G29/Sex!$F29</f>
        <v>0.57377179711760495</v>
      </c>
      <c r="H29">
        <f>Sex!H29/Sex!$F29</f>
        <v>7.2856119117764157E-3</v>
      </c>
      <c r="I29">
        <f>Sex!I29/Sex!$F29</f>
        <v>6.6220771292831168E-3</v>
      </c>
      <c r="J29">
        <f>Sex!J29/Sex!$F29</f>
        <v>5.8258353902911593E-3</v>
      </c>
      <c r="K29">
        <f>Sex!K29/Sex!$F29</f>
        <v>5.7992939989914274E-3</v>
      </c>
      <c r="L29">
        <f>Sex!L29/Sex!$F29</f>
        <v>5.5338800859941082E-3</v>
      </c>
      <c r="M29">
        <f>Sex!M29/Sex!$F29</f>
        <v>1.3403402606364625E-3</v>
      </c>
      <c r="N29">
        <f>Sex!N29/Sex!$F29</f>
        <v>2.9195530429705126E-3</v>
      </c>
      <c r="O29">
        <f>Sex!O29/Sex!$F29</f>
        <v>3.4503808689651514E-4</v>
      </c>
      <c r="P29">
        <f>Sex!P29/Sex!$F29</f>
        <v>1.0616556519892772E-4</v>
      </c>
      <c r="Q29">
        <f>Sex!Q29/Sex!$F29</f>
        <v>0.28715131247179976</v>
      </c>
      <c r="R29">
        <f>Sex!R29/Sex!$F29</f>
        <v>0.16640125275366935</v>
      </c>
      <c r="S29">
        <f>Sex!S29/Sex!$F29</f>
        <v>0.10677601719882156</v>
      </c>
      <c r="T29">
        <f>Sex!T29/Sex!$F29</f>
        <v>8.7055763463120741E-3</v>
      </c>
      <c r="U29">
        <f>Sex!U29/Sex!$F29</f>
        <v>1.3629004432412347E-2</v>
      </c>
      <c r="V29">
        <f>Sex!V29/Sex!$F29</f>
        <v>1.7464235475223612E-2</v>
      </c>
      <c r="W29">
        <f>Sex!W29/Sex!$F29</f>
        <v>2.9023011386256868E-2</v>
      </c>
      <c r="X29">
        <f>Sex!X29/Sex!$F29</f>
        <v>7.5377551291238689E-3</v>
      </c>
      <c r="Y29">
        <f>Sex!Y29/Sex!$F29</f>
        <v>7.0865514770284254E-3</v>
      </c>
      <c r="Z29">
        <f>Sex!Z29/Sex!$F29</f>
        <v>1.7318257823075084E-2</v>
      </c>
      <c r="AA29">
        <f>Sex!AA29/Sex!$F29</f>
        <v>4.1006449558085838E-3</v>
      </c>
      <c r="AB29">
        <f>Sex!AB29/Sex!$F29</f>
        <v>1.0125540780847733E-2</v>
      </c>
      <c r="AC29">
        <f>Sex!AC29/Sex!$F29</f>
        <v>1.3403402606364625E-3</v>
      </c>
      <c r="AD29">
        <f>Sex!AD29/Sex!$F29</f>
        <v>7.4050481726252093E-3</v>
      </c>
      <c r="AE29">
        <f>Sex!AE29/Sex!$F29</f>
        <v>5.4370040077500861E-2</v>
      </c>
      <c r="AF29">
        <f>Sex!AF29/Sex!$F29</f>
        <v>4.1139156514584494E-4</v>
      </c>
      <c r="AG29">
        <f>Sex!AG29/Sex!$F29</f>
        <v>0.24110199856676487</v>
      </c>
      <c r="AH29">
        <f>Sex!AH29/Sex!$F29</f>
        <v>0.19876847944369244</v>
      </c>
      <c r="AI29">
        <f>Sex!AI29/Sex!$F29</f>
        <v>4.3129760862064392E-3</v>
      </c>
      <c r="AJ29">
        <f>Sex!AJ29/Sex!$F29</f>
        <v>1.0085728693898135E-3</v>
      </c>
      <c r="AK29">
        <f>Sex!AK29/Sex!$F29</f>
        <v>0.18102555935982165</v>
      </c>
      <c r="AL29">
        <f>Sex!AL29/Sex!$F29</f>
        <v>0.12731905406481409</v>
      </c>
      <c r="AM29">
        <f>Sex!AM29/Sex!$F29</f>
        <v>4.9897815643496031E-3</v>
      </c>
      <c r="AN29">
        <f>Sex!AN29/Sex!$F29</f>
        <v>7.5085595986941631E-2</v>
      </c>
      <c r="AO29">
        <f>Sex!AO29/Sex!$F29</f>
        <v>4.368713007935876E-2</v>
      </c>
      <c r="AP29">
        <f>Sex!AP29/Sex!$F29</f>
        <v>3.0031584255646681E-2</v>
      </c>
      <c r="AQ29">
        <f>Sex!AQ29/Sex!$F29</f>
        <v>3.7383549645672427E-2</v>
      </c>
      <c r="AR29">
        <f>Sex!AR29/Sex!$F29</f>
        <v>3.5937043819837033E-2</v>
      </c>
      <c r="AS29">
        <f>Sex!AS29/Sex!$F29</f>
        <v>4.4669161557448843E-2</v>
      </c>
      <c r="AT29">
        <f>Sex!AT29/Sex!$F29</f>
        <v>3.2367226690023093E-2</v>
      </c>
      <c r="AU29">
        <f>Sex!AU29/Sex!$F29</f>
        <v>4.0449080340791463E-2</v>
      </c>
      <c r="AV29">
        <f>Sex!AV29/Sex!$F29</f>
        <v>2.0609390344241845E-2</v>
      </c>
      <c r="AW29">
        <f>Sex!AW29/Sex!$F29</f>
        <v>1.4557953127902964E-2</v>
      </c>
      <c r="AX29">
        <f>Sex!AX29/Sex!$F29</f>
        <v>1.8366642779414497E-2</v>
      </c>
      <c r="AY29">
        <f>Sex!AY29/Sex!$F29</f>
        <v>3.3840273907158212E-3</v>
      </c>
      <c r="AZ29">
        <f>Sex!AZ29/Sex!$F29</f>
        <v>1.4703930780051491E-2</v>
      </c>
      <c r="BA29">
        <f>Sex!BA29/Sex!$F29</f>
        <v>1.7384611301324415E-2</v>
      </c>
      <c r="BB29">
        <f>Sex!BB29/Sex!$F29</f>
        <v>1.421291504100645E-2</v>
      </c>
      <c r="BC29">
        <f>Sex!BC29/Sex!$F29</f>
        <v>7.5642965204236008E-4</v>
      </c>
    </row>
    <row r="30" spans="1:55">
      <c r="A30" s="1">
        <v>1227</v>
      </c>
      <c r="B30" s="1" t="s">
        <v>26</v>
      </c>
      <c r="C30" t="s">
        <v>230</v>
      </c>
      <c r="D30">
        <v>149245</v>
      </c>
      <c r="E30">
        <v>146074</v>
      </c>
      <c r="F30">
        <v>145481</v>
      </c>
      <c r="G30">
        <f>Sex!G30/Sex!$F30</f>
        <v>0.92898729043655182</v>
      </c>
      <c r="H30">
        <f>Sex!H30/Sex!$F30</f>
        <v>2.5432874395969231E-4</v>
      </c>
      <c r="I30">
        <f>Sex!I30/Sex!$F30</f>
        <v>2.4745499412294388E-4</v>
      </c>
      <c r="J30">
        <f>Sex!J30/Sex!$F30</f>
        <v>2.2683374461269855E-4</v>
      </c>
      <c r="K30">
        <f>Sex!K30/Sex!$F30</f>
        <v>2.1308624493920168E-4</v>
      </c>
      <c r="L30">
        <f>Sex!L30/Sex!$F30</f>
        <v>2.0621249510245325E-4</v>
      </c>
      <c r="M30">
        <f>Sex!M30/Sex!$F30</f>
        <v>4.1242499020490649E-5</v>
      </c>
      <c r="N30">
        <f>Sex!N30/Sex!$F30</f>
        <v>1.2372749706147194E-4</v>
      </c>
      <c r="O30">
        <f>Sex!O30/Sex!$F30</f>
        <v>0</v>
      </c>
      <c r="P30">
        <f>Sex!P30/Sex!$F30</f>
        <v>0</v>
      </c>
      <c r="Q30">
        <f>Sex!Q30/Sex!$F30</f>
        <v>0.33709556574398031</v>
      </c>
      <c r="R30">
        <f>Sex!R30/Sex!$F30</f>
        <v>4.25691327389831E-2</v>
      </c>
      <c r="S30">
        <f>Sex!S30/Sex!$F30</f>
        <v>0.28459386449089574</v>
      </c>
      <c r="T30">
        <f>Sex!T30/Sex!$F30</f>
        <v>3.0773778019122771E-2</v>
      </c>
      <c r="U30">
        <f>Sex!U30/Sex!$F30</f>
        <v>3.9778390305263228E-2</v>
      </c>
      <c r="V30">
        <f>Sex!V30/Sex!$F30</f>
        <v>5.3848956221087291E-2</v>
      </c>
      <c r="W30">
        <f>Sex!W30/Sex!$F30</f>
        <v>6.0337776066977822E-2</v>
      </c>
      <c r="X30">
        <f>Sex!X30/Sex!$F30</f>
        <v>1.4208040912559028E-2</v>
      </c>
      <c r="Y30">
        <f>Sex!Y30/Sex!$F30</f>
        <v>9.5476385232435845E-3</v>
      </c>
      <c r="Z30">
        <f>Sex!Z30/Sex!$F30</f>
        <v>1.7177500842034354E-2</v>
      </c>
      <c r="AA30">
        <f>Sex!AA30/Sex!$F30</f>
        <v>2.055251201187784E-3</v>
      </c>
      <c r="AB30">
        <f>Sex!AB30/Sex!$F30</f>
        <v>1.3225094685904002E-2</v>
      </c>
      <c r="AC30">
        <f>Sex!AC30/Sex!$F30</f>
        <v>3.0244499281693142E-3</v>
      </c>
      <c r="AD30">
        <f>Sex!AD30/Sex!$F30</f>
        <v>9.2451935304266545E-3</v>
      </c>
      <c r="AE30">
        <f>Sex!AE30/Sex!$F30</f>
        <v>0.19891944652566315</v>
      </c>
      <c r="AF30">
        <f>Sex!AF30/Sex!$F30</f>
        <v>1.959018703473306E-3</v>
      </c>
      <c r="AG30">
        <f>Sex!AG30/Sex!$F30</f>
        <v>0.58797368728562494</v>
      </c>
      <c r="AH30">
        <f>Sex!AH30/Sex!$F30</f>
        <v>0.53333424983331157</v>
      </c>
      <c r="AI30">
        <f>Sex!AI30/Sex!$F30</f>
        <v>2.3645699438414637E-3</v>
      </c>
      <c r="AJ30">
        <f>Sex!AJ30/Sex!$F30</f>
        <v>9.0733497845079422E-4</v>
      </c>
      <c r="AK30">
        <f>Sex!AK30/Sex!$F30</f>
        <v>0.51468576652621301</v>
      </c>
      <c r="AL30">
        <f>Sex!AL30/Sex!$F30</f>
        <v>0.39444326063197255</v>
      </c>
      <c r="AM30">
        <f>Sex!AM30/Sex!$F30</f>
        <v>1.7459324585341041E-3</v>
      </c>
      <c r="AN30">
        <f>Sex!AN30/Sex!$F30</f>
        <v>0.11338937730700228</v>
      </c>
      <c r="AO30">
        <f>Sex!AO30/Sex!$F30</f>
        <v>3.5798489149785881E-2</v>
      </c>
      <c r="AP30">
        <f>Sex!AP30/Sex!$F30</f>
        <v>6.7115293406011786E-2</v>
      </c>
      <c r="AQ30">
        <f>Sex!AQ30/Sex!$F30</f>
        <v>0.24366755796289549</v>
      </c>
      <c r="AR30">
        <f>Sex!AR30/Sex!$F30</f>
        <v>0.23889030182635534</v>
      </c>
      <c r="AS30">
        <f>Sex!AS30/Sex!$F30</f>
        <v>1.3087619689169033E-2</v>
      </c>
      <c r="AT30">
        <f>Sex!AT30/Sex!$F30</f>
        <v>3.9936486551508448E-3</v>
      </c>
      <c r="AU30">
        <f>Sex!AU30/Sex!$F30</f>
        <v>0.10223328132195957</v>
      </c>
      <c r="AV30">
        <f>Sex!AV30/Sex!$F30</f>
        <v>9.6644922704683094E-3</v>
      </c>
      <c r="AW30">
        <f>Sex!AW30/Sex!$F30</f>
        <v>2.3439486943312186E-3</v>
      </c>
      <c r="AX30">
        <f>Sex!AX30/Sex!$F30</f>
        <v>2.2587141963555379E-2</v>
      </c>
      <c r="AY30">
        <f>Sex!AY30/Sex!$F30</f>
        <v>3.4025061691904785E-3</v>
      </c>
      <c r="AZ30">
        <f>Sex!AZ30/Sex!$F30</f>
        <v>1.7404334586647054E-2</v>
      </c>
      <c r="BA30">
        <f>Sex!BA30/Sex!$F30</f>
        <v>7.1466377052673544E-2</v>
      </c>
      <c r="BB30">
        <f>Sex!BB30/Sex!$F30</f>
        <v>3.722135536599281E-2</v>
      </c>
      <c r="BC30">
        <f>Sex!BC30/Sex!$F30</f>
        <v>1.5122249640846572E-4</v>
      </c>
    </row>
    <row r="31" spans="1:55">
      <c r="A31" s="1">
        <v>1245</v>
      </c>
      <c r="B31" s="1" t="s">
        <v>26</v>
      </c>
      <c r="C31" t="s">
        <v>232</v>
      </c>
      <c r="D31">
        <v>41053</v>
      </c>
      <c r="E31">
        <v>38077</v>
      </c>
      <c r="F31">
        <v>36555</v>
      </c>
      <c r="G31">
        <f>Sex!G31/Sex!$F31</f>
        <v>0.75486253590480101</v>
      </c>
      <c r="H31">
        <f>Sex!H31/Sex!$F31</f>
        <v>1.8328546026535357E-3</v>
      </c>
      <c r="I31">
        <f>Sex!I31/Sex!$F31</f>
        <v>1.7781425249623855E-3</v>
      </c>
      <c r="J31">
        <f>Sex!J31/Sex!$F31</f>
        <v>1.5866502530433593E-3</v>
      </c>
      <c r="K31">
        <f>Sex!K31/Sex!$F31</f>
        <v>1.5592942141977842E-3</v>
      </c>
      <c r="L31">
        <f>Sex!L31/Sex!$F31</f>
        <v>1.5319381753522089E-3</v>
      </c>
      <c r="M31">
        <f>Sex!M31/Sex!$F31</f>
        <v>3.8298454383805223E-4</v>
      </c>
      <c r="N31">
        <f>Sex!N31/Sex!$F31</f>
        <v>9.848173984407058E-4</v>
      </c>
      <c r="O31">
        <f>Sex!O31/Sex!$F31</f>
        <v>0</v>
      </c>
      <c r="P31">
        <f>Sex!P31/Sex!$F31</f>
        <v>0</v>
      </c>
      <c r="Q31">
        <f>Sex!Q31/Sex!$F31</f>
        <v>0.40470523868143893</v>
      </c>
      <c r="R31">
        <f>Sex!R31/Sex!$F31</f>
        <v>8.5897961975106005E-2</v>
      </c>
      <c r="S31">
        <f>Sex!S31/Sex!$F31</f>
        <v>0.30969771577075639</v>
      </c>
      <c r="T31">
        <f>Sex!T31/Sex!$F31</f>
        <v>8.6171522363561754E-3</v>
      </c>
      <c r="U31">
        <f>Sex!U31/Sex!$F31</f>
        <v>1.5045821365066339E-3</v>
      </c>
      <c r="V31">
        <f>Sex!V31/Sex!$F31</f>
        <v>1.2966762412802627E-2</v>
      </c>
      <c r="W31">
        <f>Sex!W31/Sex!$F31</f>
        <v>0.18730679797565314</v>
      </c>
      <c r="X31">
        <f>Sex!X31/Sex!$F31</f>
        <v>3.8024893995349474E-2</v>
      </c>
      <c r="Y31">
        <f>Sex!Y31/Sex!$F31</f>
        <v>3.7094788674599921E-2</v>
      </c>
      <c r="Z31">
        <f>Sex!Z31/Sex!$F31</f>
        <v>3.8106962111886196E-2</v>
      </c>
      <c r="AA31">
        <f>Sex!AA31/Sex!$F31</f>
        <v>4.4043222541376012E-3</v>
      </c>
      <c r="AB31">
        <f>Sex!AB31/Sex!$F31</f>
        <v>3.1213240322801258E-2</v>
      </c>
      <c r="AC31">
        <f>Sex!AC31/Sex!$F31</f>
        <v>5.4438517302694573E-3</v>
      </c>
      <c r="AD31">
        <f>Sex!AD31/Sex!$F31</f>
        <v>2.4237450417179594E-2</v>
      </c>
      <c r="AE31">
        <f>Sex!AE31/Sex!$F31</f>
        <v>6.0128573382574206E-2</v>
      </c>
      <c r="AF31">
        <f>Sex!AF31/Sex!$F31</f>
        <v>2.708247845711941E-3</v>
      </c>
      <c r="AG31">
        <f>Sex!AG31/Sex!$F31</f>
        <v>0.34137600875393243</v>
      </c>
      <c r="AH31">
        <f>Sex!AH31/Sex!$F31</f>
        <v>0.31546983996717276</v>
      </c>
      <c r="AI31">
        <f>Sex!AI31/Sex!$F31</f>
        <v>1.6960744084256599E-3</v>
      </c>
      <c r="AJ31">
        <f>Sex!AJ31/Sex!$F31</f>
        <v>4.103405826836274E-4</v>
      </c>
      <c r="AK31">
        <f>Sex!AK31/Sex!$F31</f>
        <v>0.30720831623580908</v>
      </c>
      <c r="AL31">
        <f>Sex!AL31/Sex!$F31</f>
        <v>0.24138968677335521</v>
      </c>
      <c r="AM31">
        <f>Sex!AM31/Sex!$F31</f>
        <v>4.924086992203529E-4</v>
      </c>
      <c r="AN31">
        <f>Sex!AN31/Sex!$F31</f>
        <v>0.13169197100259883</v>
      </c>
      <c r="AO31">
        <f>Sex!AO31/Sex!$F31</f>
        <v>5.5943099439201206E-2</v>
      </c>
      <c r="AP31">
        <f>Sex!AP31/Sex!$F31</f>
        <v>6.4450827520175072E-2</v>
      </c>
      <c r="AQ31">
        <f>Sex!AQ31/Sex!$F31</f>
        <v>9.4733962522226781E-2</v>
      </c>
      <c r="AR31">
        <f>Sex!AR31/Sex!$F31</f>
        <v>9.3147312269183422E-2</v>
      </c>
      <c r="AS31">
        <f>Sex!AS31/Sex!$F31</f>
        <v>1.1243331965531391E-2</v>
      </c>
      <c r="AT31">
        <f>Sex!AT31/Sex!$F31</f>
        <v>5.1155792641225549E-3</v>
      </c>
      <c r="AU31">
        <f>Sex!AU31/Sex!$F31</f>
        <v>5.6326083983039253E-2</v>
      </c>
      <c r="AV31">
        <f>Sex!AV31/Sex!$F31</f>
        <v>8.1520995759813975E-3</v>
      </c>
      <c r="AW31">
        <f>Sex!AW31/Sex!$F31</f>
        <v>2.4893995349473397E-3</v>
      </c>
      <c r="AX31">
        <f>Sex!AX31/Sex!$F31</f>
        <v>2.5495828204076049E-2</v>
      </c>
      <c r="AY31">
        <f>Sex!AY31/Sex!$F31</f>
        <v>5.6353440021884834E-3</v>
      </c>
      <c r="AZ31">
        <f>Sex!AZ31/Sex!$F31</f>
        <v>1.849268225960881E-2</v>
      </c>
      <c r="BA31">
        <f>Sex!BA31/Sex!$F31</f>
        <v>2.8286144166324717E-2</v>
      </c>
      <c r="BB31">
        <f>Sex!BB31/Sex!$F31</f>
        <v>1.8109697715770756E-2</v>
      </c>
      <c r="BC31">
        <f>Sex!BC31/Sex!$F31</f>
        <v>1.9149227191902612E-4</v>
      </c>
    </row>
    <row r="32" spans="1:55">
      <c r="A32" s="1">
        <v>1258</v>
      </c>
      <c r="B32" s="1" t="s">
        <v>26</v>
      </c>
      <c r="C32" t="s">
        <v>233</v>
      </c>
      <c r="D32">
        <v>284351</v>
      </c>
      <c r="E32">
        <v>257365</v>
      </c>
      <c r="F32">
        <v>244867</v>
      </c>
      <c r="G32">
        <f>Sex!G32/Sex!$F32</f>
        <v>0.51404640069915508</v>
      </c>
      <c r="H32">
        <f>Sex!H32/Sex!$F32</f>
        <v>2.6708376383914531E-3</v>
      </c>
      <c r="I32">
        <f>Sex!I32/Sex!$F32</f>
        <v>2.6585860895914923E-3</v>
      </c>
      <c r="J32">
        <f>Sex!J32/Sex!$F32</f>
        <v>2.4993159551920021E-3</v>
      </c>
      <c r="K32">
        <f>Sex!K32/Sex!$F32</f>
        <v>2.4829805567920544E-3</v>
      </c>
      <c r="L32">
        <f>Sex!L32/Sex!$F32</f>
        <v>2.4788967071920675E-3</v>
      </c>
      <c r="M32">
        <f>Sex!M32/Sex!$F32</f>
        <v>4.369719071986017E-4</v>
      </c>
      <c r="N32">
        <f>Sex!N32/Sex!$F32</f>
        <v>1.5396112991950732E-3</v>
      </c>
      <c r="O32">
        <f>Sex!O32/Sex!$F32</f>
        <v>3.6754646399882385E-5</v>
      </c>
      <c r="P32">
        <f>Sex!P32/Sex!$F32</f>
        <v>8.9844691199712499E-5</v>
      </c>
      <c r="Q32">
        <f>Sex!Q32/Sex!$F32</f>
        <v>0.32747981557335204</v>
      </c>
      <c r="R32">
        <f>Sex!R32/Sex!$F32</f>
        <v>9.0943246742108977E-2</v>
      </c>
      <c r="S32">
        <f>Sex!S32/Sex!$F32</f>
        <v>0.22648213111607526</v>
      </c>
      <c r="T32">
        <f>Sex!T32/Sex!$F32</f>
        <v>8.1799507487738243E-3</v>
      </c>
      <c r="U32">
        <f>Sex!U32/Sex!$F32</f>
        <v>2.2158967929529091E-2</v>
      </c>
      <c r="V32">
        <f>Sex!V32/Sex!$F32</f>
        <v>2.7704835686311345E-2</v>
      </c>
      <c r="W32">
        <f>Sex!W32/Sex!$F32</f>
        <v>9.4451273548497749E-2</v>
      </c>
      <c r="X32">
        <f>Sex!X32/Sex!$F32</f>
        <v>3.3107768707094053E-2</v>
      </c>
      <c r="Y32">
        <f>Sex!Y32/Sex!$F32</f>
        <v>3.2711635295895325E-2</v>
      </c>
      <c r="Z32">
        <f>Sex!Z32/Sex!$F32</f>
        <v>3.30301755646943E-2</v>
      </c>
      <c r="AA32">
        <f>Sex!AA32/Sex!$F32</f>
        <v>3.6101230463884476E-3</v>
      </c>
      <c r="AB32">
        <f>Sex!AB32/Sex!$F32</f>
        <v>2.5083004243119735E-2</v>
      </c>
      <c r="AC32">
        <f>Sex!AC32/Sex!$F32</f>
        <v>2.9077009151906954E-3</v>
      </c>
      <c r="AD32">
        <f>Sex!AD32/Sex!$F32</f>
        <v>2.1072663935932566E-2</v>
      </c>
      <c r="AE32">
        <f>Sex!AE32/Sex!$F32</f>
        <v>8.2612193558135635E-2</v>
      </c>
      <c r="AF32">
        <f>Sex!AF32/Sex!$F32</f>
        <v>5.5540354559822274E-4</v>
      </c>
      <c r="AG32">
        <f>Sex!AG32/Sex!$F32</f>
        <v>0.17920748814662654</v>
      </c>
      <c r="AH32">
        <f>Sex!AH32/Sex!$F32</f>
        <v>0.16894885795145936</v>
      </c>
      <c r="AI32">
        <f>Sex!AI32/Sex!$F32</f>
        <v>9.3111770879702039E-4</v>
      </c>
      <c r="AJ32">
        <f>Sex!AJ32/Sex!$F32</f>
        <v>6.2891283839798745E-4</v>
      </c>
      <c r="AK32">
        <f>Sex!AK32/Sex!$F32</f>
        <v>0.16408499307787494</v>
      </c>
      <c r="AL32">
        <f>Sex!AL32/Sex!$F32</f>
        <v>0.11912997668121879</v>
      </c>
      <c r="AM32">
        <f>Sex!AM32/Sex!$F32</f>
        <v>5.1864889919834027E-4</v>
      </c>
      <c r="AN32">
        <f>Sex!AN32/Sex!$F32</f>
        <v>2.9579322652705346E-2</v>
      </c>
      <c r="AO32">
        <f>Sex!AO32/Sex!$F32</f>
        <v>7.9553390207745423E-3</v>
      </c>
      <c r="AP32">
        <f>Sex!AP32/Sex!$F32</f>
        <v>1.911241612793884E-2</v>
      </c>
      <c r="AQ32">
        <f>Sex!AQ32/Sex!$F32</f>
        <v>7.8965315865347316E-2</v>
      </c>
      <c r="AR32">
        <f>Sex!AR32/Sex!$F32</f>
        <v>7.7817754127750979E-2</v>
      </c>
      <c r="AS32">
        <f>Sex!AS32/Sex!$F32</f>
        <v>9.0743138111709625E-3</v>
      </c>
      <c r="AT32">
        <f>Sex!AT32/Sex!$F32</f>
        <v>1.5396112991950732E-3</v>
      </c>
      <c r="AU32">
        <f>Sex!AU32/Sex!$F32</f>
        <v>3.8600546419076481E-2</v>
      </c>
      <c r="AV32">
        <f>Sex!AV32/Sex!$F32</f>
        <v>7.4856963167760455E-3</v>
      </c>
      <c r="AW32">
        <f>Sex!AW32/Sex!$F32</f>
        <v>3.1445641919899373E-4</v>
      </c>
      <c r="AX32">
        <f>Sex!AX32/Sex!$F32</f>
        <v>4.7903555807846708E-3</v>
      </c>
      <c r="AY32">
        <f>Sex!AY32/Sex!$F32</f>
        <v>1.3435865183957006E-3</v>
      </c>
      <c r="AZ32">
        <f>Sex!AZ32/Sex!$F32</f>
        <v>3.1690672895898588E-3</v>
      </c>
      <c r="BA32">
        <f>Sex!BA32/Sex!$F32</f>
        <v>3.2050051660697437E-2</v>
      </c>
      <c r="BB32">
        <f>Sex!BB32/Sex!$F32</f>
        <v>2.5225938979119279E-2</v>
      </c>
      <c r="BC32">
        <f>Sex!BC32/Sex!$F32</f>
        <v>6.5341593599790913E-5</v>
      </c>
    </row>
    <row r="33" spans="1:55">
      <c r="A33" s="1">
        <v>1300</v>
      </c>
      <c r="B33" s="1" t="s">
        <v>26</v>
      </c>
      <c r="C33" t="s">
        <v>234</v>
      </c>
      <c r="D33">
        <v>93789</v>
      </c>
      <c r="E33">
        <v>90800</v>
      </c>
      <c r="F33">
        <v>89845</v>
      </c>
      <c r="G33">
        <f>Sex!G33/Sex!$F33</f>
        <v>0.91881573821581608</v>
      </c>
      <c r="H33">
        <f>Sex!H33/Sex!$F33</f>
        <v>1.5025877900829206E-3</v>
      </c>
      <c r="I33">
        <f>Sex!I33/Sex!$F33</f>
        <v>1.4914575101563805E-3</v>
      </c>
      <c r="J33">
        <f>Sex!J33/Sex!$F33</f>
        <v>1.391284990817519E-3</v>
      </c>
      <c r="K33">
        <f>Sex!K33/Sex!$F33</f>
        <v>1.3801547108909789E-3</v>
      </c>
      <c r="L33">
        <f>Sex!L33/Sex!$F33</f>
        <v>1.3690244309644388E-3</v>
      </c>
      <c r="M33">
        <f>Sex!M33/Sex!$F33</f>
        <v>4.006900773554455E-4</v>
      </c>
      <c r="N33">
        <f>Sex!N33/Sex!$F33</f>
        <v>6.9007735544548943E-4</v>
      </c>
      <c r="O33">
        <f>Sex!O33/Sex!$F33</f>
        <v>0</v>
      </c>
      <c r="P33">
        <f>Sex!P33/Sex!$F33</f>
        <v>4.4521119706160609E-5</v>
      </c>
      <c r="Q33">
        <f>Sex!Q33/Sex!$F33</f>
        <v>0.54227836830096277</v>
      </c>
      <c r="R33">
        <f>Sex!R33/Sex!$F33</f>
        <v>0.1071957259725082</v>
      </c>
      <c r="S33">
        <f>Sex!S33/Sex!$F33</f>
        <v>0.41002838221381266</v>
      </c>
      <c r="T33">
        <f>Sex!T33/Sex!$F33</f>
        <v>6.7004285157771714E-3</v>
      </c>
      <c r="U33">
        <f>Sex!U33/Sex!$F33</f>
        <v>3.6507318159051702E-3</v>
      </c>
      <c r="V33">
        <f>Sex!V33/Sex!$F33</f>
        <v>1.5304134898992709E-2</v>
      </c>
      <c r="W33">
        <f>Sex!W33/Sex!$F33</f>
        <v>0.24291835939673884</v>
      </c>
      <c r="X33">
        <f>Sex!X33/Sex!$F33</f>
        <v>7.3548889754577323E-2</v>
      </c>
      <c r="Y33">
        <f>Sex!Y33/Sex!$F33</f>
        <v>7.2424731481996768E-2</v>
      </c>
      <c r="Z33">
        <f>Sex!Z33/Sex!$F33</f>
        <v>6.5446045968056102E-2</v>
      </c>
      <c r="AA33">
        <f>Sex!AA33/Sex!$F33</f>
        <v>1.0106294173298459E-2</v>
      </c>
      <c r="AB33">
        <f>Sex!AB33/Sex!$F33</f>
        <v>1.590517001502588E-2</v>
      </c>
      <c r="AC33">
        <f>Sex!AC33/Sex!$F33</f>
        <v>4.6747175691468643E-4</v>
      </c>
      <c r="AD33">
        <f>Sex!AD33/Sex!$F33</f>
        <v>1.4435973064722578E-2</v>
      </c>
      <c r="AE33">
        <f>Sex!AE33/Sex!$F33</f>
        <v>7.3816016472814286E-2</v>
      </c>
      <c r="AF33">
        <f>Sex!AF33/Sex!$F33</f>
        <v>4.1070732928933165E-3</v>
      </c>
      <c r="AG33">
        <f>Sex!AG33/Sex!$F33</f>
        <v>0.3667315932995715</v>
      </c>
      <c r="AH33">
        <f>Sex!AH33/Sex!$F33</f>
        <v>0.34005231231565475</v>
      </c>
      <c r="AI33">
        <f>Sex!AI33/Sex!$F33</f>
        <v>2.9495241805331403E-3</v>
      </c>
      <c r="AJ33">
        <f>Sex!AJ33/Sex!$F33</f>
        <v>4.7860203684122653E-4</v>
      </c>
      <c r="AK33">
        <f>Sex!AK33/Sex!$F33</f>
        <v>0.32404696978129</v>
      </c>
      <c r="AL33">
        <f>Sex!AL33/Sex!$F33</f>
        <v>0.1493015749346096</v>
      </c>
      <c r="AM33">
        <f>Sex!AM33/Sex!$F33</f>
        <v>2.5265735433246147E-3</v>
      </c>
      <c r="AN33">
        <f>Sex!AN33/Sex!$F33</f>
        <v>4.0013356335911847E-2</v>
      </c>
      <c r="AO33">
        <f>Sex!AO33/Sex!$F33</f>
        <v>9.2937837386610281E-3</v>
      </c>
      <c r="AP33">
        <f>Sex!AP33/Sex!$F33</f>
        <v>2.8704991930547052E-2</v>
      </c>
      <c r="AQ33">
        <f>Sex!AQ33/Sex!$F33</f>
        <v>9.6621960042295063E-2</v>
      </c>
      <c r="AR33">
        <f>Sex!AR33/Sex!$F33</f>
        <v>9.5987534086482279E-2</v>
      </c>
      <c r="AS33">
        <f>Sex!AS33/Sex!$F33</f>
        <v>1.6005342534364739E-2</v>
      </c>
      <c r="AT33">
        <f>Sex!AT33/Sex!$F33</f>
        <v>5.1421893260615503E-3</v>
      </c>
      <c r="AU33">
        <f>Sex!AU33/Sex!$F33</f>
        <v>0.14284601257721632</v>
      </c>
      <c r="AV33">
        <f>Sex!AV33/Sex!$F33</f>
        <v>1.2065223440369525E-2</v>
      </c>
      <c r="AW33">
        <f>Sex!AW33/Sex!$F33</f>
        <v>4.9084534476042073E-3</v>
      </c>
      <c r="AX33">
        <f>Sex!AX33/Sex!$F33</f>
        <v>2.259446825087651E-2</v>
      </c>
      <c r="AY33">
        <f>Sex!AY33/Sex!$F33</f>
        <v>1.2120874840002226E-2</v>
      </c>
      <c r="AZ33">
        <f>Sex!AZ33/Sex!$F33</f>
        <v>8.9153542211586629E-3</v>
      </c>
      <c r="BA33">
        <f>Sex!BA33/Sex!$F33</f>
        <v>0.10678390561522623</v>
      </c>
      <c r="BB33">
        <f>Sex!BB33/Sex!$F33</f>
        <v>9.379486894095386E-2</v>
      </c>
      <c r="BC33">
        <f>Sex!BC33/Sex!$F33</f>
        <v>6.4555623573932881E-4</v>
      </c>
    </row>
    <row r="34" spans="1:55">
      <c r="A34" s="1">
        <v>1306</v>
      </c>
      <c r="B34" s="1" t="s">
        <v>26</v>
      </c>
      <c r="C34" t="s">
        <v>235</v>
      </c>
      <c r="D34">
        <v>531658</v>
      </c>
      <c r="E34">
        <v>526326</v>
      </c>
      <c r="F34">
        <v>525070</v>
      </c>
      <c r="G34">
        <f>Sex!G34/Sex!$F34</f>
        <v>0.929083741215457</v>
      </c>
      <c r="H34">
        <f>Sex!H34/Sex!$F34</f>
        <v>2.6472660788085396E-4</v>
      </c>
      <c r="I34">
        <f>Sex!I34/Sex!$F34</f>
        <v>2.5329956005865886E-4</v>
      </c>
      <c r="J34">
        <f>Sex!J34/Sex!$F34</f>
        <v>2.3996800426609785E-4</v>
      </c>
      <c r="K34">
        <f>Sex!K34/Sex!$F34</f>
        <v>2.38063496295732E-4</v>
      </c>
      <c r="L34">
        <f>Sex!L34/Sex!$F34</f>
        <v>2.38063496295732E-4</v>
      </c>
      <c r="M34">
        <f>Sex!M34/Sex!$F34</f>
        <v>1.4855162168853677E-4</v>
      </c>
      <c r="N34">
        <f>Sex!N34/Sex!$F34</f>
        <v>4.5708191288780541E-5</v>
      </c>
      <c r="O34">
        <f>Sex!O34/Sex!$F34</f>
        <v>0</v>
      </c>
      <c r="P34">
        <f>Sex!P34/Sex!$F34</f>
        <v>3.809015940731712E-6</v>
      </c>
      <c r="Q34">
        <f>Sex!Q34/Sex!$F34</f>
        <v>0.32699259146399529</v>
      </c>
      <c r="R34">
        <f>Sex!R34/Sex!$F34</f>
        <v>0.21518845106366771</v>
      </c>
      <c r="S34">
        <f>Sex!S34/Sex!$F34</f>
        <v>0.1059458738834822</v>
      </c>
      <c r="T34">
        <f>Sex!T34/Sex!$F34</f>
        <v>2.074009179728417E-3</v>
      </c>
      <c r="U34">
        <f>Sex!U34/Sex!$F34</f>
        <v>1.163654369893538E-3</v>
      </c>
      <c r="V34">
        <f>Sex!V34/Sex!$F34</f>
        <v>8.4445883406022056E-3</v>
      </c>
      <c r="W34">
        <f>Sex!W34/Sex!$F34</f>
        <v>1.7704306092520997E-2</v>
      </c>
      <c r="X34">
        <f>Sex!X34/Sex!$F34</f>
        <v>1.0699525777515378E-2</v>
      </c>
      <c r="Y34">
        <f>Sex!Y34/Sex!$F34</f>
        <v>6.1706058239853739E-4</v>
      </c>
      <c r="Z34">
        <f>Sex!Z34/Sex!$F34</f>
        <v>1.1049955244062696E-2</v>
      </c>
      <c r="AA34">
        <f>Sex!AA34/Sex!$F34</f>
        <v>9.1606833374597674E-4</v>
      </c>
      <c r="AB34">
        <f>Sex!AB34/Sex!$F34</f>
        <v>9.3835107699925726E-3</v>
      </c>
      <c r="AC34">
        <f>Sex!AC34/Sex!$F34</f>
        <v>2.6263164911345155E-3</v>
      </c>
      <c r="AD34">
        <f>Sex!AD34/Sex!$F34</f>
        <v>5.9325423276896418E-3</v>
      </c>
      <c r="AE34">
        <f>Sex!AE34/Sex!$F34</f>
        <v>6.9895442512426909E-2</v>
      </c>
      <c r="AF34">
        <f>Sex!AF34/Sex!$F34</f>
        <v>1.0122459862494524E-2</v>
      </c>
      <c r="AG34">
        <f>Sex!AG34/Sex!$F34</f>
        <v>0.5764698040261298</v>
      </c>
      <c r="AH34">
        <f>Sex!AH34/Sex!$F34</f>
        <v>0.46121279067552895</v>
      </c>
      <c r="AI34">
        <f>Sex!AI34/Sex!$F34</f>
        <v>1.9749747652693926E-3</v>
      </c>
      <c r="AJ34">
        <f>Sex!AJ34/Sex!$F34</f>
        <v>4.0108937855904926E-3</v>
      </c>
      <c r="AK34">
        <f>Sex!AK34/Sex!$F34</f>
        <v>0.44654046127183045</v>
      </c>
      <c r="AL34">
        <f>Sex!AL34/Sex!$F34</f>
        <v>0.24467975698478298</v>
      </c>
      <c r="AM34">
        <f>Sex!AM34/Sex!$F34</f>
        <v>6.3801017007256177E-4</v>
      </c>
      <c r="AN34">
        <f>Sex!AN34/Sex!$F34</f>
        <v>3.9196678538099682E-2</v>
      </c>
      <c r="AO34">
        <f>Sex!AO34/Sex!$F34</f>
        <v>1.0051993067590987E-2</v>
      </c>
      <c r="AP34">
        <f>Sex!AP34/Sex!$F34</f>
        <v>2.679833165101796E-2</v>
      </c>
      <c r="AQ34">
        <f>Sex!AQ34/Sex!$F34</f>
        <v>0.18612565943588474</v>
      </c>
      <c r="AR34">
        <f>Sex!AR34/Sex!$F34</f>
        <v>0.17892852381587218</v>
      </c>
      <c r="AS34">
        <f>Sex!AS34/Sex!$F34</f>
        <v>5.0793227569657382E-3</v>
      </c>
      <c r="AT34">
        <f>Sex!AT34/Sex!$F34</f>
        <v>1.3864818024263432E-3</v>
      </c>
      <c r="AU34">
        <f>Sex!AU34/Sex!$F34</f>
        <v>0.17258651227455388</v>
      </c>
      <c r="AV34">
        <f>Sex!AV34/Sex!$F34</f>
        <v>8.0998723979659858E-3</v>
      </c>
      <c r="AW34">
        <f>Sex!AW34/Sex!$F34</f>
        <v>1.6988211095663435E-3</v>
      </c>
      <c r="AX34">
        <f>Sex!AX34/Sex!$F34</f>
        <v>2.4850019997333689E-2</v>
      </c>
      <c r="AY34">
        <f>Sex!AY34/Sex!$F34</f>
        <v>9.1264021939931814E-3</v>
      </c>
      <c r="AZ34">
        <f>Sex!AZ34/Sex!$F34</f>
        <v>1.4510446226217456E-2</v>
      </c>
      <c r="BA34">
        <f>Sex!BA34/Sex!$F34</f>
        <v>0.13697792675262346</v>
      </c>
      <c r="BB34">
        <f>Sex!BB34/Sex!$F34</f>
        <v>8.9054792694307425E-2</v>
      </c>
      <c r="BC34">
        <f>Sex!BC34/Sex!$F34</f>
        <v>1.6950120936256118E-4</v>
      </c>
    </row>
    <row r="35" spans="1:55">
      <c r="A35" s="1">
        <v>1309</v>
      </c>
      <c r="B35" s="1" t="s">
        <v>26</v>
      </c>
      <c r="C35" t="s">
        <v>236</v>
      </c>
      <c r="D35">
        <v>23831</v>
      </c>
      <c r="E35">
        <v>22120</v>
      </c>
      <c r="F35">
        <v>20852</v>
      </c>
      <c r="G35">
        <f>Sex!G35/Sex!$F35</f>
        <v>0.62104354498369463</v>
      </c>
      <c r="H35">
        <f>Sex!H35/Sex!$F35</f>
        <v>1.0886245923652407E-2</v>
      </c>
      <c r="I35">
        <f>Sex!I35/Sex!$F35</f>
        <v>1.0886245923652407E-2</v>
      </c>
      <c r="J35">
        <f>Sex!J35/Sex!$F35</f>
        <v>1.0070976405140994E-2</v>
      </c>
      <c r="K35">
        <f>Sex!K35/Sex!$F35</f>
        <v>1.0070976405140994E-2</v>
      </c>
      <c r="L35">
        <f>Sex!L35/Sex!$F35</f>
        <v>1.0070976405140994E-2</v>
      </c>
      <c r="M35">
        <f>Sex!M35/Sex!$F35</f>
        <v>1.3907538845194705E-3</v>
      </c>
      <c r="N35">
        <f>Sex!N35/Sex!$F35</f>
        <v>7.2415116056013815E-3</v>
      </c>
      <c r="O35">
        <f>Sex!O35/Sex!$F35</f>
        <v>5.7548436600805678E-4</v>
      </c>
      <c r="P35">
        <f>Sex!P35/Sex!$F35</f>
        <v>0</v>
      </c>
      <c r="Q35">
        <f>Sex!Q35/Sex!$F35</f>
        <v>0.30529445616727413</v>
      </c>
      <c r="R35">
        <f>Sex!R35/Sex!$F35</f>
        <v>3.7262612699021674E-2</v>
      </c>
      <c r="S35">
        <f>Sex!S35/Sex!$F35</f>
        <v>0.25513140226357184</v>
      </c>
      <c r="T35">
        <f>Sex!T35/Sex!$F35</f>
        <v>8.1526951851141373E-3</v>
      </c>
      <c r="U35">
        <f>Sex!U35/Sex!$F35</f>
        <v>7.5292537886054098E-3</v>
      </c>
      <c r="V35">
        <f>Sex!V35/Sex!$F35</f>
        <v>1.7120659888739689E-2</v>
      </c>
      <c r="W35">
        <f>Sex!W35/Sex!$F35</f>
        <v>0.10425858430845962</v>
      </c>
      <c r="X35">
        <f>Sex!X35/Sex!$F35</f>
        <v>5.7068866295798965E-3</v>
      </c>
      <c r="Y35">
        <f>Sex!Y35/Sex!$F35</f>
        <v>4.316132745060426E-3</v>
      </c>
      <c r="Z35">
        <f>Sex!Z35/Sex!$F35</f>
        <v>5.3711874160751967E-2</v>
      </c>
      <c r="AA35">
        <f>Sex!AA35/Sex!$F35</f>
        <v>7.0017264530980242E-3</v>
      </c>
      <c r="AB35">
        <f>Sex!AB35/Sex!$F35</f>
        <v>4.1434874352580087E-2</v>
      </c>
      <c r="AC35">
        <f>Sex!AC35/Sex!$F35</f>
        <v>8.6322654901208517E-4</v>
      </c>
      <c r="AD35">
        <f>Sex!AD35/Sex!$F35</f>
        <v>3.8605409553040475E-2</v>
      </c>
      <c r="AE35">
        <f>Sex!AE35/Sex!$F35</f>
        <v>7.8457701899098412E-2</v>
      </c>
      <c r="AF35">
        <f>Sex!AF35/Sex!$F35</f>
        <v>3.8365624400537121E-4</v>
      </c>
      <c r="AG35">
        <f>Sex!AG35/Sex!$F35</f>
        <v>0.29584692115864186</v>
      </c>
      <c r="AH35">
        <f>Sex!AH35/Sex!$F35</f>
        <v>0.26803184346825243</v>
      </c>
      <c r="AI35">
        <f>Sex!AI35/Sex!$F35</f>
        <v>1.9182812200268559E-3</v>
      </c>
      <c r="AJ35">
        <f>Sex!AJ35/Sex!$F35</f>
        <v>2.541722616535584E-3</v>
      </c>
      <c r="AK35">
        <f>Sex!AK35/Sex!$F35</f>
        <v>0.25340494916554768</v>
      </c>
      <c r="AL35">
        <f>Sex!AL35/Sex!$F35</f>
        <v>0.13547861116439669</v>
      </c>
      <c r="AM35">
        <f>Sex!AM35/Sex!$F35</f>
        <v>9.1118357951275656E-4</v>
      </c>
      <c r="AN35">
        <f>Sex!AN35/Sex!$F35</f>
        <v>3.9756378285056591E-2</v>
      </c>
      <c r="AO35">
        <f>Sex!AO35/Sex!$F35</f>
        <v>1.7024745827738347E-2</v>
      </c>
      <c r="AP35">
        <f>Sex!AP35/Sex!$F35</f>
        <v>2.0285823901784003E-2</v>
      </c>
      <c r="AQ35">
        <f>Sex!AQ35/Sex!$F35</f>
        <v>9.1454057164780361E-2</v>
      </c>
      <c r="AR35">
        <f>Sex!AR35/Sex!$F35</f>
        <v>9.0878572798772303E-2</v>
      </c>
      <c r="AS35">
        <f>Sex!AS35/Sex!$F35</f>
        <v>2.5129483982351812E-2</v>
      </c>
      <c r="AT35">
        <f>Sex!AT35/Sex!$F35</f>
        <v>3.2610780740456552E-3</v>
      </c>
      <c r="AU35">
        <f>Sex!AU35/Sex!$F35</f>
        <v>9.8168041434874356E-2</v>
      </c>
      <c r="AV35">
        <f>Sex!AV35/Sex!$F35</f>
        <v>2.0717437176290043E-2</v>
      </c>
      <c r="AW35">
        <f>Sex!AW35/Sex!$F35</f>
        <v>3.3569921350469979E-3</v>
      </c>
      <c r="AX35">
        <f>Sex!AX35/Sex!$F35</f>
        <v>2.7575292537886053E-2</v>
      </c>
      <c r="AY35">
        <f>Sex!AY35/Sex!$F35</f>
        <v>2.6855937080375982E-3</v>
      </c>
      <c r="AZ35">
        <f>Sex!AZ35/Sex!$F35</f>
        <v>2.4122386341837714E-2</v>
      </c>
      <c r="BA35">
        <f>Sex!BA35/Sex!$F35</f>
        <v>6.766737003644735E-2</v>
      </c>
      <c r="BB35">
        <f>Sex!BB35/Sex!$F35</f>
        <v>4.2489929023594858E-2</v>
      </c>
      <c r="BC35">
        <f>Sex!BC35/Sex!$F35</f>
        <v>1.1030117015154422E-3</v>
      </c>
    </row>
    <row r="36" spans="1:55">
      <c r="A36" s="1">
        <v>1337</v>
      </c>
      <c r="B36" s="1" t="s">
        <v>26</v>
      </c>
      <c r="C36" t="s">
        <v>239</v>
      </c>
      <c r="D36">
        <v>50067</v>
      </c>
      <c r="E36">
        <v>47421</v>
      </c>
      <c r="F36">
        <v>43820</v>
      </c>
      <c r="G36">
        <f>Sex!G36/Sex!$F36</f>
        <v>0.51045184847101777</v>
      </c>
      <c r="H36">
        <f>Sex!H36/Sex!$F36</f>
        <v>8.2382473756275679E-3</v>
      </c>
      <c r="I36">
        <f>Sex!I36/Sex!$F36</f>
        <v>8.1697854860794152E-3</v>
      </c>
      <c r="J36">
        <f>Sex!J36/Sex!$F36</f>
        <v>7.6449109995435872E-3</v>
      </c>
      <c r="K36">
        <f>Sex!K36/Sex!$F36</f>
        <v>7.6449109995435872E-3</v>
      </c>
      <c r="L36">
        <f>Sex!L36/Sex!$F36</f>
        <v>7.5764491099954362E-3</v>
      </c>
      <c r="M36">
        <f>Sex!M36/Sex!$F36</f>
        <v>4.3359196713829299E-3</v>
      </c>
      <c r="N36">
        <f>Sex!N36/Sex!$F36</f>
        <v>1.7115472387037882E-3</v>
      </c>
      <c r="O36">
        <f>Sex!O36/Sex!$F36</f>
        <v>0</v>
      </c>
      <c r="P36">
        <f>Sex!P36/Sex!$F36</f>
        <v>4.5641259698767684E-5</v>
      </c>
      <c r="Q36">
        <f>Sex!Q36/Sex!$F36</f>
        <v>0.26115928799634869</v>
      </c>
      <c r="R36">
        <f>Sex!R36/Sex!$F36</f>
        <v>3.8544043815609309E-2</v>
      </c>
      <c r="S36">
        <f>Sex!S36/Sex!$F36</f>
        <v>0.21531264262893657</v>
      </c>
      <c r="T36">
        <f>Sex!T36/Sex!$F36</f>
        <v>7.1656777727065269E-3</v>
      </c>
      <c r="U36">
        <f>Sex!U36/Sex!$F36</f>
        <v>1.3235965312642629E-3</v>
      </c>
      <c r="V36">
        <f>Sex!V36/Sex!$F36</f>
        <v>4.6325878594249198E-3</v>
      </c>
      <c r="W36">
        <f>Sex!W36/Sex!$F36</f>
        <v>6.9465997261524415E-2</v>
      </c>
      <c r="X36">
        <f>Sex!X36/Sex!$F36</f>
        <v>1.2254678229119124E-2</v>
      </c>
      <c r="Y36">
        <f>Sex!Y36/Sex!$F36</f>
        <v>9.6759470561387489E-3</v>
      </c>
      <c r="Z36">
        <f>Sex!Z36/Sex!$F36</f>
        <v>8.4413509812870838E-2</v>
      </c>
      <c r="AA36">
        <f>Sex!AA36/Sex!$F36</f>
        <v>8.3295298950251031E-3</v>
      </c>
      <c r="AB36">
        <f>Sex!AB36/Sex!$F36</f>
        <v>6.4605203103605666E-2</v>
      </c>
      <c r="AC36">
        <f>Sex!AC36/Sex!$F36</f>
        <v>1.026928343222273E-3</v>
      </c>
      <c r="AD36">
        <f>Sex!AD36/Sex!$F36</f>
        <v>6.1296211775445003E-2</v>
      </c>
      <c r="AE36">
        <f>Sex!AE36/Sex!$F36</f>
        <v>3.7996348699224101E-2</v>
      </c>
      <c r="AF36">
        <f>Sex!AF36/Sex!$F36</f>
        <v>1.2323140118667274E-3</v>
      </c>
      <c r="AG36">
        <f>Sex!AG36/Sex!$F36</f>
        <v>0.23085349155636695</v>
      </c>
      <c r="AH36">
        <f>Sex!AH36/Sex!$F36</f>
        <v>0.20921953445915106</v>
      </c>
      <c r="AI36">
        <f>Sex!AI36/Sex!$F36</f>
        <v>1.9625741670470107E-3</v>
      </c>
      <c r="AJ36">
        <f>Sex!AJ36/Sex!$F36</f>
        <v>6.3897763578274762E-4</v>
      </c>
      <c r="AK36">
        <f>Sex!AK36/Sex!$F36</f>
        <v>0.19678229119123689</v>
      </c>
      <c r="AL36">
        <f>Sex!AL36/Sex!$F36</f>
        <v>9.7193062528525789E-2</v>
      </c>
      <c r="AM36">
        <f>Sex!AM36/Sex!$F36</f>
        <v>2.5102692834322229E-4</v>
      </c>
      <c r="AN36">
        <f>Sex!AN36/Sex!$F36</f>
        <v>3.1401186672752171E-2</v>
      </c>
      <c r="AO36">
        <f>Sex!AO36/Sex!$F36</f>
        <v>1.0839799178457326E-2</v>
      </c>
      <c r="AP36">
        <f>Sex!AP36/Sex!$F36</f>
        <v>1.7571884984025558E-2</v>
      </c>
      <c r="AQ36">
        <f>Sex!AQ36/Sex!$F36</f>
        <v>5.951620264719306E-2</v>
      </c>
      <c r="AR36">
        <f>Sex!AR36/Sex!$F36</f>
        <v>5.8877225011410315E-2</v>
      </c>
      <c r="AS36">
        <f>Sex!AS36/Sex!$F36</f>
        <v>5.956184390689183E-3</v>
      </c>
      <c r="AT36">
        <f>Sex!AT36/Sex!$F36</f>
        <v>2.441807393884071E-3</v>
      </c>
      <c r="AU36">
        <f>Sex!AU36/Sex!$F36</f>
        <v>8.0716567777270654E-2</v>
      </c>
      <c r="AV36">
        <f>Sex!AV36/Sex!$F36</f>
        <v>2.3368324965769054E-2</v>
      </c>
      <c r="AW36">
        <f>Sex!AW36/Sex!$F36</f>
        <v>3.3774532177088088E-3</v>
      </c>
      <c r="AX36">
        <f>Sex!AX36/Sex!$F36</f>
        <v>2.8525787311729802E-2</v>
      </c>
      <c r="AY36">
        <f>Sex!AY36/Sex!$F36</f>
        <v>4.9064354176175263E-3</v>
      </c>
      <c r="AZ36">
        <f>Sex!AZ36/Sex!$F36</f>
        <v>2.1611136467366499E-2</v>
      </c>
      <c r="BA36">
        <f>Sex!BA36/Sex!$F36</f>
        <v>4.8904609767229573E-2</v>
      </c>
      <c r="BB36">
        <f>Sex!BB36/Sex!$F36</f>
        <v>3.0556823368324965E-2</v>
      </c>
      <c r="BC36">
        <f>Sex!BC36/Sex!$F36</f>
        <v>4.5641259698767684E-5</v>
      </c>
    </row>
    <row r="37" spans="1:55">
      <c r="A37" s="1"/>
      <c r="B37" s="1"/>
      <c r="G37" t="e">
        <f>Sex!G37/Sex!$F37</f>
        <v>#DIV/0!</v>
      </c>
      <c r="H37" t="e">
        <f>Sex!H37/Sex!$F37</f>
        <v>#DIV/0!</v>
      </c>
      <c r="I37" t="e">
        <f>Sex!I37/Sex!$F37</f>
        <v>#DIV/0!</v>
      </c>
      <c r="J37" t="e">
        <f>Sex!J37/Sex!$F37</f>
        <v>#DIV/0!</v>
      </c>
      <c r="K37" t="e">
        <f>Sex!K37/Sex!$F37</f>
        <v>#DIV/0!</v>
      </c>
      <c r="L37" t="e">
        <f>Sex!L37/Sex!$F37</f>
        <v>#DIV/0!</v>
      </c>
      <c r="M37" t="e">
        <f>Sex!M37/Sex!$F37</f>
        <v>#DIV/0!</v>
      </c>
      <c r="N37" t="e">
        <f>Sex!N37/Sex!$F37</f>
        <v>#DIV/0!</v>
      </c>
      <c r="O37" t="e">
        <f>Sex!O37/Sex!$F37</f>
        <v>#DIV/0!</v>
      </c>
      <c r="P37" t="e">
        <f>Sex!P37/Sex!$F37</f>
        <v>#DIV/0!</v>
      </c>
      <c r="Q37" t="e">
        <f>Sex!Q37/Sex!$F37</f>
        <v>#DIV/0!</v>
      </c>
      <c r="R37" t="e">
        <f>Sex!R37/Sex!$F37</f>
        <v>#DIV/0!</v>
      </c>
      <c r="S37" t="e">
        <f>Sex!S37/Sex!$F37</f>
        <v>#DIV/0!</v>
      </c>
      <c r="T37" t="e">
        <f>Sex!T37/Sex!$F37</f>
        <v>#DIV/0!</v>
      </c>
      <c r="U37" t="e">
        <f>Sex!U37/Sex!$F37</f>
        <v>#DIV/0!</v>
      </c>
      <c r="V37" t="e">
        <f>Sex!V37/Sex!$F37</f>
        <v>#DIV/0!</v>
      </c>
      <c r="W37" t="e">
        <f>Sex!W37/Sex!$F37</f>
        <v>#DIV/0!</v>
      </c>
      <c r="X37" t="e">
        <f>Sex!X37/Sex!$F37</f>
        <v>#DIV/0!</v>
      </c>
      <c r="Y37" t="e">
        <f>Sex!Y37/Sex!$F37</f>
        <v>#DIV/0!</v>
      </c>
      <c r="Z37" t="e">
        <f>Sex!Z37/Sex!$F37</f>
        <v>#DIV/0!</v>
      </c>
      <c r="AA37" t="e">
        <f>Sex!AA37/Sex!$F37</f>
        <v>#DIV/0!</v>
      </c>
      <c r="AB37" t="e">
        <f>Sex!AB37/Sex!$F37</f>
        <v>#DIV/0!</v>
      </c>
      <c r="AC37" t="e">
        <f>Sex!AC37/Sex!$F37</f>
        <v>#DIV/0!</v>
      </c>
      <c r="AD37" t="e">
        <f>Sex!AD37/Sex!$F37</f>
        <v>#DIV/0!</v>
      </c>
      <c r="AE37" t="e">
        <f>Sex!AE37/Sex!$F37</f>
        <v>#DIV/0!</v>
      </c>
      <c r="AF37" t="e">
        <f>Sex!AF37/Sex!$F37</f>
        <v>#DIV/0!</v>
      </c>
      <c r="AG37" t="e">
        <f>Sex!AG37/Sex!$F37</f>
        <v>#DIV/0!</v>
      </c>
      <c r="AH37" t="e">
        <f>Sex!AH37/Sex!$F37</f>
        <v>#DIV/0!</v>
      </c>
      <c r="AI37" t="e">
        <f>Sex!AI37/Sex!$F37</f>
        <v>#DIV/0!</v>
      </c>
      <c r="AJ37" t="e">
        <f>Sex!AJ37/Sex!$F37</f>
        <v>#DIV/0!</v>
      </c>
      <c r="AK37" t="e">
        <f>Sex!AK37/Sex!$F37</f>
        <v>#DIV/0!</v>
      </c>
      <c r="AL37" t="e">
        <f>Sex!AL37/Sex!$F37</f>
        <v>#DIV/0!</v>
      </c>
      <c r="AM37" t="e">
        <f>Sex!AM37/Sex!$F37</f>
        <v>#DIV/0!</v>
      </c>
      <c r="AN37" t="e">
        <f>Sex!AN37/Sex!$F37</f>
        <v>#DIV/0!</v>
      </c>
      <c r="AO37" t="e">
        <f>Sex!AO37/Sex!$F37</f>
        <v>#DIV/0!</v>
      </c>
      <c r="AP37" t="e">
        <f>Sex!AP37/Sex!$F37</f>
        <v>#DIV/0!</v>
      </c>
      <c r="AQ37" t="e">
        <f>Sex!AQ37/Sex!$F37</f>
        <v>#DIV/0!</v>
      </c>
      <c r="AR37" t="e">
        <f>Sex!AR37/Sex!$F37</f>
        <v>#DIV/0!</v>
      </c>
      <c r="AS37" t="e">
        <f>Sex!AS37/Sex!$F37</f>
        <v>#DIV/0!</v>
      </c>
      <c r="AT37" t="e">
        <f>Sex!AT37/Sex!$F37</f>
        <v>#DIV/0!</v>
      </c>
      <c r="AU37" t="e">
        <f>Sex!AU37/Sex!$F37</f>
        <v>#DIV/0!</v>
      </c>
      <c r="AV37" t="e">
        <f>Sex!AV37/Sex!$F37</f>
        <v>#DIV/0!</v>
      </c>
      <c r="AW37" t="e">
        <f>Sex!AW37/Sex!$F37</f>
        <v>#DIV/0!</v>
      </c>
      <c r="AX37" t="e">
        <f>Sex!AX37/Sex!$F37</f>
        <v>#DIV/0!</v>
      </c>
      <c r="AY37" t="e">
        <f>Sex!AY37/Sex!$F37</f>
        <v>#DIV/0!</v>
      </c>
      <c r="AZ37" t="e">
        <f>Sex!AZ37/Sex!$F37</f>
        <v>#DIV/0!</v>
      </c>
      <c r="BA37" t="e">
        <f>Sex!BA37/Sex!$F37</f>
        <v>#DIV/0!</v>
      </c>
      <c r="BB37" t="e">
        <f>Sex!BB37/Sex!$F37</f>
        <v>#DIV/0!</v>
      </c>
      <c r="BC37" t="e">
        <f>Sex!BC37/Sex!$F37</f>
        <v>#DIV/0!</v>
      </c>
    </row>
    <row r="38" spans="1:55">
      <c r="A38" s="1">
        <v>1004</v>
      </c>
      <c r="B38" s="1" t="s">
        <v>32</v>
      </c>
      <c r="C38" t="s">
        <v>167</v>
      </c>
      <c r="D38">
        <v>303378</v>
      </c>
      <c r="E38">
        <v>294206</v>
      </c>
      <c r="F38">
        <v>293104</v>
      </c>
      <c r="G38">
        <f>Sex!G38/Sex!$F38</f>
        <v>0.42110991320486924</v>
      </c>
      <c r="H38">
        <f>Sex!H38/Sex!$F38</f>
        <v>6.8166930509307279E-3</v>
      </c>
      <c r="I38">
        <f>Sex!I38/Sex!$F38</f>
        <v>6.6699874447295159E-3</v>
      </c>
      <c r="J38">
        <f>Sex!J38/Sex!$F38</f>
        <v>6.4482231562858231E-3</v>
      </c>
      <c r="K38">
        <f>Sex!K38/Sex!$F38</f>
        <v>6.349282166057099E-3</v>
      </c>
      <c r="L38">
        <f>Sex!L38/Sex!$F38</f>
        <v>6.3288116163546047E-3</v>
      </c>
      <c r="M38">
        <f>Sex!M38/Sex!$F38</f>
        <v>2.0914078279382063E-3</v>
      </c>
      <c r="N38">
        <f>Sex!N38/Sex!$F38</f>
        <v>3.1626999290354277E-3</v>
      </c>
      <c r="O38">
        <f>Sex!O38/Sex!$F38</f>
        <v>7.5058682242480485E-5</v>
      </c>
      <c r="P38">
        <f>Sex!P38/Sex!$F38</f>
        <v>1.0917626507997162E-4</v>
      </c>
      <c r="Q38">
        <f>Sex!Q38/Sex!$F38</f>
        <v>0.10085157486762378</v>
      </c>
      <c r="R38">
        <f>Sex!R38/Sex!$F38</f>
        <v>8.0585730662154041E-3</v>
      </c>
      <c r="S38">
        <f>Sex!S38/Sex!$F38</f>
        <v>9.0998416944156335E-2</v>
      </c>
      <c r="T38">
        <f>Sex!T38/Sex!$F38</f>
        <v>6.591517004203286E-3</v>
      </c>
      <c r="U38">
        <f>Sex!U38/Sex!$F38</f>
        <v>1.2831622905180414E-2</v>
      </c>
      <c r="V38">
        <f>Sex!V38/Sex!$F38</f>
        <v>1.5789617337190896E-2</v>
      </c>
      <c r="W38">
        <f>Sex!W38/Sex!$F38</f>
        <v>3.1814645995960476E-2</v>
      </c>
      <c r="X38">
        <f>Sex!X38/Sex!$F38</f>
        <v>8.4270429608603091E-4</v>
      </c>
      <c r="Y38">
        <f>Sex!Y38/Sex!$F38</f>
        <v>7.9835143839729241E-4</v>
      </c>
      <c r="Z38">
        <f>Sex!Z38/Sex!$F38</f>
        <v>1.295785796167913E-2</v>
      </c>
      <c r="AA38">
        <f>Sex!AA38/Sex!$F38</f>
        <v>2.8351711337955129E-3</v>
      </c>
      <c r="AB38">
        <f>Sex!AB38/Sex!$F38</f>
        <v>7.2192805284131229E-3</v>
      </c>
      <c r="AC38">
        <f>Sex!AC38/Sex!$F38</f>
        <v>3.5482286150990776E-4</v>
      </c>
      <c r="AD38">
        <f>Sex!AD38/Sex!$F38</f>
        <v>6.4993995305420603E-3</v>
      </c>
      <c r="AE38">
        <f>Sex!AE38/Sex!$F38</f>
        <v>4.3735329439379876E-2</v>
      </c>
      <c r="AF38">
        <f>Sex!AF38/Sex!$F38</f>
        <v>1.3135269392434085E-3</v>
      </c>
      <c r="AG38">
        <f>Sex!AG38/Sex!$F38</f>
        <v>0.30491224957694196</v>
      </c>
      <c r="AH38">
        <f>Sex!AH38/Sex!$F38</f>
        <v>0.27848818166930511</v>
      </c>
      <c r="AI38">
        <f>Sex!AI38/Sex!$F38</f>
        <v>1.2555270484196736E-3</v>
      </c>
      <c r="AJ38">
        <f>Sex!AJ38/Sex!$F38</f>
        <v>5.3632840220536057E-3</v>
      </c>
      <c r="AK38">
        <f>Sex!AK38/Sex!$F38</f>
        <v>0.26462620776243245</v>
      </c>
      <c r="AL38">
        <f>Sex!AL38/Sex!$F38</f>
        <v>0.12259471040995687</v>
      </c>
      <c r="AM38">
        <f>Sex!AM38/Sex!$F38</f>
        <v>2.3643484906381352E-3</v>
      </c>
      <c r="AN38">
        <f>Sex!AN38/Sex!$F38</f>
        <v>3.8245810360827553E-2</v>
      </c>
      <c r="AO38">
        <f>Sex!AO38/Sex!$F38</f>
        <v>8.6351602161690057E-3</v>
      </c>
      <c r="AP38">
        <f>Sex!AP38/Sex!$F38</f>
        <v>2.623300944374693E-2</v>
      </c>
      <c r="AQ38">
        <f>Sex!AQ38/Sex!$F38</f>
        <v>7.6027621595065237E-2</v>
      </c>
      <c r="AR38">
        <f>Sex!AR38/Sex!$F38</f>
        <v>7.5321387630329167E-2</v>
      </c>
      <c r="AS38">
        <f>Sex!AS38/Sex!$F38</f>
        <v>4.1828156558764125E-3</v>
      </c>
      <c r="AT38">
        <f>Sex!AT38/Sex!$F38</f>
        <v>8.2905726295103444E-4</v>
      </c>
      <c r="AU38">
        <f>Sex!AU38/Sex!$F38</f>
        <v>0.13243080954200556</v>
      </c>
      <c r="AV38">
        <f>Sex!AV38/Sex!$F38</f>
        <v>1.8208553960369016E-2</v>
      </c>
      <c r="AW38">
        <f>Sex!AW38/Sex!$F38</f>
        <v>1.180468366177193E-3</v>
      </c>
      <c r="AX38">
        <f>Sex!AX38/Sex!$F38</f>
        <v>2.6065833287843222E-3</v>
      </c>
      <c r="AY38">
        <f>Sex!AY38/Sex!$F38</f>
        <v>1.3681150717833944E-3</v>
      </c>
      <c r="AZ38">
        <f>Sex!AZ38/Sex!$F38</f>
        <v>1.0439980348272285E-3</v>
      </c>
      <c r="BA38">
        <f>Sex!BA38/Sex!$F38</f>
        <v>0.12762364212020308</v>
      </c>
      <c r="BB38">
        <f>Sex!BB38/Sex!$F38</f>
        <v>4.8051203668322509E-2</v>
      </c>
      <c r="BC38">
        <f>Sex!BC38/Sex!$F38</f>
        <v>4.2988154375238824E-4</v>
      </c>
    </row>
    <row r="39" spans="1:55">
      <c r="A39" s="1">
        <v>1008</v>
      </c>
      <c r="B39" s="1" t="s">
        <v>32</v>
      </c>
      <c r="C39" t="s">
        <v>168</v>
      </c>
      <c r="D39">
        <v>47011</v>
      </c>
      <c r="E39">
        <v>45318</v>
      </c>
      <c r="F39">
        <v>44254</v>
      </c>
      <c r="G39">
        <f>Sex!G39/Sex!$F39</f>
        <v>0.61879152167035745</v>
      </c>
      <c r="H39">
        <f>Sex!H39/Sex!$F39</f>
        <v>4.2933972070321328E-3</v>
      </c>
      <c r="I39">
        <f>Sex!I39/Sex!$F39</f>
        <v>4.1126225877886743E-3</v>
      </c>
      <c r="J39">
        <f>Sex!J39/Sex!$F39</f>
        <v>3.818863831518055E-3</v>
      </c>
      <c r="K39">
        <f>Sex!K39/Sex!$F39</f>
        <v>3.7284765218963257E-3</v>
      </c>
      <c r="L39">
        <f>Sex!L39/Sex!$F39</f>
        <v>3.6832828670854611E-3</v>
      </c>
      <c r="M39">
        <f>Sex!M39/Sex!$F39</f>
        <v>9.9426040583902022E-4</v>
      </c>
      <c r="N39">
        <f>Sex!N39/Sex!$F39</f>
        <v>2.3500700501649569E-3</v>
      </c>
      <c r="O39">
        <f>Sex!O39/Sex!$F39</f>
        <v>0</v>
      </c>
      <c r="P39">
        <f>Sex!P39/Sex!$F39</f>
        <v>0</v>
      </c>
      <c r="Q39">
        <f>Sex!Q39/Sex!$F39</f>
        <v>0.30295566502463056</v>
      </c>
      <c r="R39">
        <f>Sex!R39/Sex!$F39</f>
        <v>7.0163149093867228E-2</v>
      </c>
      <c r="S39">
        <f>Sex!S39/Sex!$F39</f>
        <v>0.22095177837031682</v>
      </c>
      <c r="T39">
        <f>Sex!T39/Sex!$F39</f>
        <v>1.4620147331314684E-2</v>
      </c>
      <c r="U39">
        <f>Sex!U39/Sex!$F39</f>
        <v>6.0107560898449855E-3</v>
      </c>
      <c r="V39">
        <f>Sex!V39/Sex!$F39</f>
        <v>9.8974104035793372E-3</v>
      </c>
      <c r="W39">
        <f>Sex!W39/Sex!$F39</f>
        <v>9.6443259366384954E-2</v>
      </c>
      <c r="X39">
        <f>Sex!X39/Sex!$F39</f>
        <v>1.2744610656663805E-2</v>
      </c>
      <c r="Y39">
        <f>Sex!Y39/Sex!$F39</f>
        <v>1.1659962941203056E-2</v>
      </c>
      <c r="Z39">
        <f>Sex!Z39/Sex!$F39</f>
        <v>5.3215528539793014E-2</v>
      </c>
      <c r="AA39">
        <f>Sex!AA39/Sex!$F39</f>
        <v>8.4512134496316713E-3</v>
      </c>
      <c r="AB39">
        <f>Sex!AB39/Sex!$F39</f>
        <v>3.7103990599719798E-2</v>
      </c>
      <c r="AC39">
        <f>Sex!AC39/Sex!$F39</f>
        <v>2.9375875627061962E-4</v>
      </c>
      <c r="AD39">
        <f>Sex!AD39/Sex!$F39</f>
        <v>3.6539069914583992E-2</v>
      </c>
      <c r="AE39">
        <f>Sex!AE39/Sex!$F39</f>
        <v>5.6198309757310071E-2</v>
      </c>
      <c r="AF39">
        <f>Sex!AF39/Sex!$F39</f>
        <v>1.378406471731369E-3</v>
      </c>
      <c r="AG39">
        <f>Sex!AG39/Sex!$F39</f>
        <v>0.30098974104035792</v>
      </c>
      <c r="AH39">
        <f>Sex!AH39/Sex!$F39</f>
        <v>0.28876485741401908</v>
      </c>
      <c r="AI39">
        <f>Sex!AI39/Sex!$F39</f>
        <v>4.9938988566005336E-3</v>
      </c>
      <c r="AJ39">
        <f>Sex!AJ39/Sex!$F39</f>
        <v>3.7962670041126224E-3</v>
      </c>
      <c r="AK39">
        <f>Sex!AK39/Sex!$F39</f>
        <v>0.26897003660686042</v>
      </c>
      <c r="AL39">
        <f>Sex!AL39/Sex!$F39</f>
        <v>0.21636462240701407</v>
      </c>
      <c r="AM39">
        <f>Sex!AM39/Sex!$F39</f>
        <v>2.7116192886518731E-4</v>
      </c>
      <c r="AN39">
        <f>Sex!AN39/Sex!$F39</f>
        <v>0.16068603968002892</v>
      </c>
      <c r="AO39">
        <f>Sex!AO39/Sex!$F39</f>
        <v>4.8357210647625076E-2</v>
      </c>
      <c r="AP39">
        <f>Sex!AP39/Sex!$F39</f>
        <v>9.5900935508654583E-2</v>
      </c>
      <c r="AQ39">
        <f>Sex!AQ39/Sex!$F39</f>
        <v>4.1781533872644279E-2</v>
      </c>
      <c r="AR39">
        <f>Sex!AR39/Sex!$F39</f>
        <v>4.071948298458896E-2</v>
      </c>
      <c r="AS39">
        <f>Sex!AS39/Sex!$F39</f>
        <v>1.8664979436887059E-2</v>
      </c>
      <c r="AT39">
        <f>Sex!AT39/Sex!$F39</f>
        <v>8.0670673837393223E-3</v>
      </c>
      <c r="AU39">
        <f>Sex!AU39/Sex!$F39</f>
        <v>4.591675328783839E-2</v>
      </c>
      <c r="AV39">
        <f>Sex!AV39/Sex!$F39</f>
        <v>7.3439689067654901E-3</v>
      </c>
      <c r="AW39">
        <f>Sex!AW39/Sex!$F39</f>
        <v>2.0563112938943372E-3</v>
      </c>
      <c r="AX39">
        <f>Sex!AX39/Sex!$F39</f>
        <v>2.8946535906358747E-2</v>
      </c>
      <c r="AY39">
        <f>Sex!AY39/Sex!$F39</f>
        <v>1.9207303294617435E-3</v>
      </c>
      <c r="AZ39">
        <f>Sex!AZ39/Sex!$F39</f>
        <v>2.6189722962896008E-2</v>
      </c>
      <c r="BA39">
        <f>Sex!BA39/Sex!$F39</f>
        <v>1.5343245808288516E-2</v>
      </c>
      <c r="BB39">
        <f>Sex!BB39/Sex!$F39</f>
        <v>1.1208026393094409E-2</v>
      </c>
      <c r="BC39">
        <f>Sex!BC39/Sex!$F39</f>
        <v>6.7790482216296827E-5</v>
      </c>
    </row>
    <row r="40" spans="1:55">
      <c r="A40" s="1">
        <v>1013</v>
      </c>
      <c r="B40" s="1" t="s">
        <v>32</v>
      </c>
      <c r="C40" t="s">
        <v>171</v>
      </c>
      <c r="D40">
        <v>36817</v>
      </c>
      <c r="E40">
        <v>34554</v>
      </c>
      <c r="F40">
        <v>33806</v>
      </c>
      <c r="G40">
        <f>Sex!G40/Sex!$F40</f>
        <v>0.31455954564278532</v>
      </c>
      <c r="H40">
        <f>Sex!H40/Sex!$F40</f>
        <v>6.3598177838253564E-3</v>
      </c>
      <c r="I40">
        <f>Sex!I40/Sex!$F40</f>
        <v>6.3598177838253564E-3</v>
      </c>
      <c r="J40">
        <f>Sex!J40/Sex!$F40</f>
        <v>6.004851209844406E-3</v>
      </c>
      <c r="K40">
        <f>Sex!K40/Sex!$F40</f>
        <v>6.004851209844406E-3</v>
      </c>
      <c r="L40">
        <f>Sex!L40/Sex!$F40</f>
        <v>6.004851209844406E-3</v>
      </c>
      <c r="M40">
        <f>Sex!M40/Sex!$F40</f>
        <v>3.5200851919777554E-3</v>
      </c>
      <c r="N40">
        <f>Sex!N40/Sex!$F40</f>
        <v>1.7748328699047507E-3</v>
      </c>
      <c r="O40">
        <f>Sex!O40/Sex!$F40</f>
        <v>2.3664438265396675E-4</v>
      </c>
      <c r="P40">
        <f>Sex!P40/Sex!$F40</f>
        <v>1.1832219132698337E-4</v>
      </c>
      <c r="Q40">
        <f>Sex!Q40/Sex!$F40</f>
        <v>0.17127137194580844</v>
      </c>
      <c r="R40">
        <f>Sex!R40/Sex!$F40</f>
        <v>3.2361119327929955E-2</v>
      </c>
      <c r="S40">
        <f>Sex!S40/Sex!$F40</f>
        <v>0.13405904277347216</v>
      </c>
      <c r="T40">
        <f>Sex!T40/Sex!$F40</f>
        <v>1.2867538306809442E-2</v>
      </c>
      <c r="U40">
        <f>Sex!U40/Sex!$F40</f>
        <v>2.4048985387209371E-2</v>
      </c>
      <c r="V40">
        <f>Sex!V40/Sex!$F40</f>
        <v>2.7302845648701415E-2</v>
      </c>
      <c r="W40">
        <f>Sex!W40/Sex!$F40</f>
        <v>2.3220730047920489E-2</v>
      </c>
      <c r="X40">
        <f>Sex!X40/Sex!$F40</f>
        <v>6.4781399751523399E-3</v>
      </c>
      <c r="Y40">
        <f>Sex!Y40/Sex!$F40</f>
        <v>5.3836597053777439E-3</v>
      </c>
      <c r="Z40">
        <f>Sex!Z40/Sex!$F40</f>
        <v>2.6385848665917293E-2</v>
      </c>
      <c r="AA40">
        <f>Sex!AA40/Sex!$F40</f>
        <v>3.8454712181269597E-3</v>
      </c>
      <c r="AB40">
        <f>Sex!AB40/Sex!$F40</f>
        <v>1.7630006507720522E-2</v>
      </c>
      <c r="AC40">
        <f>Sex!AC40/Sex!$F40</f>
        <v>1.7452523220730049E-3</v>
      </c>
      <c r="AD40">
        <f>Sex!AD40/Sex!$F40</f>
        <v>1.3547890906939596E-2</v>
      </c>
      <c r="AE40">
        <f>Sex!AE40/Sex!$F40</f>
        <v>7.4306336153345559E-2</v>
      </c>
      <c r="AF40">
        <f>Sex!AF40/Sex!$F40</f>
        <v>2.9580547831745845E-4</v>
      </c>
      <c r="AG40">
        <f>Sex!AG40/Sex!$F40</f>
        <v>0.13006566881618647</v>
      </c>
      <c r="AH40">
        <f>Sex!AH40/Sex!$F40</f>
        <v>0.12341004555404365</v>
      </c>
      <c r="AI40">
        <f>Sex!AI40/Sex!$F40</f>
        <v>2.0114772525587172E-3</v>
      </c>
      <c r="AJ40">
        <f>Sex!AJ40/Sex!$F40</f>
        <v>3.0467964266698219E-3</v>
      </c>
      <c r="AK40">
        <f>Sex!AK40/Sex!$F40</f>
        <v>0.1106608294385612</v>
      </c>
      <c r="AL40">
        <f>Sex!AL40/Sex!$F40</f>
        <v>7.8418032301958235E-2</v>
      </c>
      <c r="AM40">
        <f>Sex!AM40/Sex!$F40</f>
        <v>3.5496657398095013E-4</v>
      </c>
      <c r="AN40">
        <f>Sex!AN40/Sex!$F40</f>
        <v>3.7774359581139443E-2</v>
      </c>
      <c r="AO40">
        <f>Sex!AO40/Sex!$F40</f>
        <v>7.1289120274507485E-3</v>
      </c>
      <c r="AP40">
        <f>Sex!AP40/Sex!$F40</f>
        <v>2.8279003727149025E-2</v>
      </c>
      <c r="AQ40">
        <f>Sex!AQ40/Sex!$F40</f>
        <v>3.2627344258415666E-2</v>
      </c>
      <c r="AR40">
        <f>Sex!AR40/Sex!$F40</f>
        <v>3.2420280423593448E-2</v>
      </c>
      <c r="AS40">
        <f>Sex!AS40/Sex!$F40</f>
        <v>6.0935928533396438E-3</v>
      </c>
      <c r="AT40">
        <f>Sex!AT40/Sex!$F40</f>
        <v>2.1889605395491924E-3</v>
      </c>
      <c r="AU40">
        <f>Sex!AU40/Sex!$F40</f>
        <v>2.7776134414009349E-2</v>
      </c>
      <c r="AV40">
        <f>Sex!AV40/Sex!$F40</f>
        <v>6.7147843578063068E-3</v>
      </c>
      <c r="AW40">
        <f>Sex!AW40/Sex!$F40</f>
        <v>1.9523161568952257E-3</v>
      </c>
      <c r="AX40">
        <f>Sex!AX40/Sex!$F40</f>
        <v>5.62030408803171E-3</v>
      </c>
      <c r="AY40">
        <f>Sex!AY40/Sex!$F40</f>
        <v>2.2185410873809381E-3</v>
      </c>
      <c r="AZ40">
        <f>Sex!AZ40/Sex!$F40</f>
        <v>3.1059575223333137E-3</v>
      </c>
      <c r="BA40">
        <f>Sex!BA40/Sex!$F40</f>
        <v>2.0499319647399868E-2</v>
      </c>
      <c r="BB40">
        <f>Sex!BB40/Sex!$F40</f>
        <v>1.295627995030468E-2</v>
      </c>
      <c r="BC40">
        <f>Sex!BC40/Sex!$F40</f>
        <v>8.8741643495237533E-5</v>
      </c>
    </row>
    <row r="41" spans="1:55">
      <c r="A41" s="1">
        <v>1014</v>
      </c>
      <c r="B41" s="1" t="s">
        <v>32</v>
      </c>
      <c r="C41" t="s">
        <v>172</v>
      </c>
      <c r="D41">
        <v>112228</v>
      </c>
      <c r="E41">
        <v>110574</v>
      </c>
      <c r="F41">
        <v>108857</v>
      </c>
      <c r="G41">
        <f>Sex!G41/Sex!$F41</f>
        <v>0.45737986532790725</v>
      </c>
      <c r="H41">
        <f>Sex!H41/Sex!$F41</f>
        <v>8.9567046675914277E-3</v>
      </c>
      <c r="I41">
        <f>Sex!I41/Sex!$F41</f>
        <v>8.5984364808877698E-3</v>
      </c>
      <c r="J41">
        <f>Sex!J41/Sex!$F41</f>
        <v>8.3963364781318613E-3</v>
      </c>
      <c r="K41">
        <f>Sex!K41/Sex!$F41</f>
        <v>8.3412182955620671E-3</v>
      </c>
      <c r="L41">
        <f>Sex!L41/Sex!$F41</f>
        <v>8.3320319318004356E-3</v>
      </c>
      <c r="M41">
        <f>Sex!M41/Sex!$F41</f>
        <v>6.8805864574625428E-3</v>
      </c>
      <c r="N41">
        <f>Sex!N41/Sex!$F41</f>
        <v>2.3884545780243806E-4</v>
      </c>
      <c r="O41">
        <f>Sex!O41/Sex!$F41</f>
        <v>0</v>
      </c>
      <c r="P41">
        <f>Sex!P41/Sex!$F41</f>
        <v>0</v>
      </c>
      <c r="Q41">
        <f>Sex!Q41/Sex!$F41</f>
        <v>0.19148975261122389</v>
      </c>
      <c r="R41">
        <f>Sex!R41/Sex!$F41</f>
        <v>3.4742827746493107E-2</v>
      </c>
      <c r="S41">
        <f>Sex!S41/Sex!$F41</f>
        <v>0.15170361115959469</v>
      </c>
      <c r="T41">
        <f>Sex!T41/Sex!$F41</f>
        <v>2.2479032124714075E-2</v>
      </c>
      <c r="U41">
        <f>Sex!U41/Sex!$F41</f>
        <v>1.032547286807463E-2</v>
      </c>
      <c r="V41">
        <f>Sex!V41/Sex!$F41</f>
        <v>1.1198177425429692E-2</v>
      </c>
      <c r="W41">
        <f>Sex!W41/Sex!$F41</f>
        <v>5.9959396272173587E-2</v>
      </c>
      <c r="X41">
        <f>Sex!X41/Sex!$F41</f>
        <v>4.2339950577362964E-2</v>
      </c>
      <c r="Y41">
        <f>Sex!Y41/Sex!$F41</f>
        <v>4.0640473281460997E-2</v>
      </c>
      <c r="Z41">
        <f>Sex!Z41/Sex!$F41</f>
        <v>2.0053832091643166E-2</v>
      </c>
      <c r="AA41">
        <f>Sex!AA41/Sex!$F41</f>
        <v>3.3897682280422939E-3</v>
      </c>
      <c r="AB41">
        <f>Sex!AB41/Sex!$F41</f>
        <v>8.7729773923587821E-3</v>
      </c>
      <c r="AC41">
        <f>Sex!AC41/Sex!$F41</f>
        <v>1.5341227481925829E-3</v>
      </c>
      <c r="AD41">
        <f>Sex!AD41/Sex!$F41</f>
        <v>5.9343909900144223E-3</v>
      </c>
      <c r="AE41">
        <f>Sex!AE41/Sex!$F41</f>
        <v>5.6771728046887203E-2</v>
      </c>
      <c r="AF41">
        <f>Sex!AF41/Sex!$F41</f>
        <v>8.6351819359342988E-4</v>
      </c>
      <c r="AG41">
        <f>Sex!AG41/Sex!$F41</f>
        <v>0.24918930339803597</v>
      </c>
      <c r="AH41">
        <f>Sex!AH41/Sex!$F41</f>
        <v>0.23561185775834351</v>
      </c>
      <c r="AI41">
        <f>Sex!AI41/Sex!$F41</f>
        <v>1.7913409335182854E-3</v>
      </c>
      <c r="AJ41">
        <f>Sex!AJ41/Sex!$F41</f>
        <v>9.3609046731032448E-3</v>
      </c>
      <c r="AK41">
        <f>Sex!AK41/Sex!$F41</f>
        <v>0.21697272568599171</v>
      </c>
      <c r="AL41">
        <f>Sex!AL41/Sex!$F41</f>
        <v>0.16518919316167083</v>
      </c>
      <c r="AM41">
        <f>Sex!AM41/Sex!$F41</f>
        <v>5.1443637065140503E-4</v>
      </c>
      <c r="AN41">
        <f>Sex!AN41/Sex!$F41</f>
        <v>0.12264714258155195</v>
      </c>
      <c r="AO41">
        <f>Sex!AO41/Sex!$F41</f>
        <v>5.5595873485398274E-2</v>
      </c>
      <c r="AP41">
        <f>Sex!AP41/Sex!$F41</f>
        <v>5.3951514372066106E-2</v>
      </c>
      <c r="AQ41">
        <f>Sex!AQ41/Sex!$F41</f>
        <v>3.5156214115766554E-2</v>
      </c>
      <c r="AR41">
        <f>Sex!AR41/Sex!$F41</f>
        <v>3.4614218653830256E-2</v>
      </c>
      <c r="AS41">
        <f>Sex!AS41/Sex!$F41</f>
        <v>1.5258550208071139E-2</v>
      </c>
      <c r="AT41">
        <f>Sex!AT41/Sex!$F41</f>
        <v>4.0236273275949183E-3</v>
      </c>
      <c r="AU41">
        <f>Sex!AU41/Sex!$F41</f>
        <v>4.6694287000376644E-2</v>
      </c>
      <c r="AV41">
        <f>Sex!AV41/Sex!$F41</f>
        <v>1.0481641052022378E-2</v>
      </c>
      <c r="AW41">
        <f>Sex!AW41/Sex!$F41</f>
        <v>2.1220500289370458E-3</v>
      </c>
      <c r="AX41">
        <f>Sex!AX41/Sex!$F41</f>
        <v>3.7572227785075832E-3</v>
      </c>
      <c r="AY41">
        <f>Sex!AY41/Sex!$F41</f>
        <v>1.1666681977272936E-3</v>
      </c>
      <c r="AZ41">
        <f>Sex!AZ41/Sex!$F41</f>
        <v>2.3608954867394838E-3</v>
      </c>
      <c r="BA41">
        <f>Sex!BA41/Sex!$F41</f>
        <v>4.2064359664513995E-2</v>
      </c>
      <c r="BB41">
        <f>Sex!BB41/Sex!$F41</f>
        <v>3.0480354961095749E-2</v>
      </c>
      <c r="BC41">
        <f>Sex!BC41/Sex!$F41</f>
        <v>6.4304546331425628E-5</v>
      </c>
    </row>
    <row r="42" spans="1:55">
      <c r="A42" s="1">
        <v>1016</v>
      </c>
      <c r="B42" s="1" t="s">
        <v>32</v>
      </c>
      <c r="C42" t="s">
        <v>174</v>
      </c>
      <c r="D42">
        <v>68990</v>
      </c>
      <c r="E42">
        <v>66382</v>
      </c>
      <c r="F42">
        <v>62287</v>
      </c>
      <c r="G42">
        <f>Sex!G42/Sex!$F42</f>
        <v>0.38685439979449965</v>
      </c>
      <c r="H42">
        <f>Sex!H42/Sex!$F42</f>
        <v>3.3217204232022735E-2</v>
      </c>
      <c r="I42">
        <f>Sex!I42/Sex!$F42</f>
        <v>3.3120875945221312E-2</v>
      </c>
      <c r="J42">
        <f>Sex!J42/Sex!$F42</f>
        <v>3.2944274086085377E-2</v>
      </c>
      <c r="K42">
        <f>Sex!K42/Sex!$F42</f>
        <v>3.2928219371618474E-2</v>
      </c>
      <c r="L42">
        <f>Sex!L42/Sex!$F42</f>
        <v>3.2928219371618474E-2</v>
      </c>
      <c r="M42">
        <f>Sex!M42/Sex!$F42</f>
        <v>2.4740314993497839E-2</v>
      </c>
      <c r="N42">
        <f>Sex!N42/Sex!$F42</f>
        <v>5.298055774078058E-3</v>
      </c>
      <c r="O42">
        <f>Sex!O42/Sex!$F42</f>
        <v>0</v>
      </c>
      <c r="P42">
        <f>Sex!P42/Sex!$F42</f>
        <v>4.8164143400709616E-5</v>
      </c>
      <c r="Q42">
        <f>Sex!Q42/Sex!$F42</f>
        <v>0.14767126366657568</v>
      </c>
      <c r="R42">
        <f>Sex!R42/Sex!$F42</f>
        <v>2.1738083388186943E-2</v>
      </c>
      <c r="S42">
        <f>Sex!S42/Sex!$F42</f>
        <v>0.12435981826063223</v>
      </c>
      <c r="T42">
        <f>Sex!T42/Sex!$F42</f>
        <v>7.7865365164480546E-3</v>
      </c>
      <c r="U42">
        <f>Sex!U42/Sex!$F42</f>
        <v>3.6925843273877372E-3</v>
      </c>
      <c r="V42">
        <f>Sex!V42/Sex!$F42</f>
        <v>1.0628220977089922E-2</v>
      </c>
      <c r="W42">
        <f>Sex!W42/Sex!$F42</f>
        <v>3.5368535970587762E-2</v>
      </c>
      <c r="X42">
        <f>Sex!X42/Sex!$F42</f>
        <v>9.0869683882672143E-3</v>
      </c>
      <c r="Y42">
        <f>Sex!Y42/Sex!$F42</f>
        <v>7.8828648032494737E-3</v>
      </c>
      <c r="Z42">
        <f>Sex!Z42/Sex!$F42</f>
        <v>2.6763209016327644E-2</v>
      </c>
      <c r="AA42">
        <f>Sex!AA42/Sex!$F42</f>
        <v>1.1559394416170309E-2</v>
      </c>
      <c r="AB42">
        <f>Sex!AB42/Sex!$F42</f>
        <v>1.0596111548156116E-2</v>
      </c>
      <c r="AC42">
        <f>Sex!AC42/Sex!$F42</f>
        <v>4.2063351903286403E-3</v>
      </c>
      <c r="AD42">
        <f>Sex!AD42/Sex!$F42</f>
        <v>5.9241896382872831E-3</v>
      </c>
      <c r="AE42">
        <f>Sex!AE42/Sex!$F42</f>
        <v>4.8437073546646975E-2</v>
      </c>
      <c r="AF42">
        <f>Sex!AF42/Sex!$F42</f>
        <v>5.619150063416122E-4</v>
      </c>
      <c r="AG42">
        <f>Sex!AG42/Sex!$F42</f>
        <v>0.19792251994798271</v>
      </c>
      <c r="AH42">
        <f>Sex!AH42/Sex!$F42</f>
        <v>0.18620257838714338</v>
      </c>
      <c r="AI42">
        <f>Sex!AI42/Sex!$F42</f>
        <v>2.1513317385650297E-3</v>
      </c>
      <c r="AJ42">
        <f>Sex!AJ42/Sex!$F42</f>
        <v>8.4126703806572806E-3</v>
      </c>
      <c r="AK42">
        <f>Sex!AK42/Sex!$F42</f>
        <v>0.16855844718801677</v>
      </c>
      <c r="AL42">
        <f>Sex!AL42/Sex!$F42</f>
        <v>9.9298408977796335E-2</v>
      </c>
      <c r="AM42">
        <f>Sex!AM42/Sex!$F42</f>
        <v>1.6054714466903205E-4</v>
      </c>
      <c r="AN42">
        <f>Sex!AN42/Sex!$F42</f>
        <v>7.9454781896703963E-2</v>
      </c>
      <c r="AO42">
        <f>Sex!AO42/Sex!$F42</f>
        <v>1.141490198596818E-2</v>
      </c>
      <c r="AP42">
        <f>Sex!AP42/Sex!$F42</f>
        <v>6.1537720551639988E-2</v>
      </c>
      <c r="AQ42">
        <f>Sex!AQ42/Sex!$F42</f>
        <v>1.6054714466903205E-2</v>
      </c>
      <c r="AR42">
        <f>Sex!AR42/Sex!$F42</f>
        <v>1.5797839035432755E-2</v>
      </c>
      <c r="AS42">
        <f>Sex!AS42/Sex!$F42</f>
        <v>1.1896543419975276E-2</v>
      </c>
      <c r="AT42">
        <f>Sex!AT42/Sex!$F42</f>
        <v>6.3416122144267662E-3</v>
      </c>
      <c r="AU42">
        <f>Sex!AU42/Sex!$F42</f>
        <v>6.3111082569396501E-2</v>
      </c>
      <c r="AV42">
        <f>Sex!AV42/Sex!$F42</f>
        <v>1.6134988039237724E-2</v>
      </c>
      <c r="AW42">
        <f>Sex!AW42/Sex!$F42</f>
        <v>2.9540674619101901E-3</v>
      </c>
      <c r="AX42">
        <f>Sex!AX42/Sex!$F42</f>
        <v>9.5365003933405041E-3</v>
      </c>
      <c r="AY42">
        <f>Sex!AY42/Sex!$F42</f>
        <v>6.1971197842246376E-3</v>
      </c>
      <c r="AZ42">
        <f>Sex!AZ42/Sex!$F42</f>
        <v>2.6329731725721257E-3</v>
      </c>
      <c r="BA42">
        <f>Sex!BA42/Sex!$F42</f>
        <v>5.0716843000947226E-2</v>
      </c>
      <c r="BB42">
        <f>Sex!BB42/Sex!$F42</f>
        <v>3.4822675678713055E-2</v>
      </c>
      <c r="BC42">
        <f>Sex!BC42/Sex!$F42</f>
        <v>2.2476600253664488E-4</v>
      </c>
    </row>
    <row r="43" spans="1:55">
      <c r="A43" s="1">
        <v>1023</v>
      </c>
      <c r="B43" s="1" t="s">
        <v>32</v>
      </c>
      <c r="C43" t="s">
        <v>178</v>
      </c>
      <c r="D43">
        <v>28053</v>
      </c>
      <c r="E43">
        <v>26751</v>
      </c>
      <c r="F43">
        <v>26457</v>
      </c>
      <c r="G43">
        <f>Sex!G43/Sex!$F43</f>
        <v>0.74660770306535129</v>
      </c>
      <c r="H43">
        <f>Sex!H43/Sex!$F43</f>
        <v>4.1576898363382088E-3</v>
      </c>
      <c r="I43">
        <f>Sex!I43/Sex!$F43</f>
        <v>4.1198926560078617E-3</v>
      </c>
      <c r="J43">
        <f>Sex!J43/Sex!$F43</f>
        <v>3.8553123936954305E-3</v>
      </c>
      <c r="K43">
        <f>Sex!K43/Sex!$F43</f>
        <v>3.8553123936954305E-3</v>
      </c>
      <c r="L43">
        <f>Sex!L43/Sex!$F43</f>
        <v>3.7797180330347356E-3</v>
      </c>
      <c r="M43">
        <f>Sex!M43/Sex!$F43</f>
        <v>4.9136334429451562E-4</v>
      </c>
      <c r="N43">
        <f>Sex!N43/Sex!$F43</f>
        <v>2.7213969837850097E-3</v>
      </c>
      <c r="O43">
        <f>Sex!O43/Sex!$F43</f>
        <v>0</v>
      </c>
      <c r="P43">
        <f>Sex!P43/Sex!$F43</f>
        <v>1.1339154099104207E-4</v>
      </c>
      <c r="Q43">
        <f>Sex!Q43/Sex!$F43</f>
        <v>0.20338662735759913</v>
      </c>
      <c r="R43">
        <f>Sex!R43/Sex!$F43</f>
        <v>7.6803870431265825E-2</v>
      </c>
      <c r="S43">
        <f>Sex!S43/Sex!$F43</f>
        <v>0.10632346826926711</v>
      </c>
      <c r="T43">
        <f>Sex!T43/Sex!$F43</f>
        <v>6.6901009184714821E-3</v>
      </c>
      <c r="U43">
        <f>Sex!U43/Sex!$F43</f>
        <v>4.8002419019541141E-3</v>
      </c>
      <c r="V43">
        <f>Sex!V43/Sex!$F43</f>
        <v>9.4870922629171871E-3</v>
      </c>
      <c r="W43">
        <f>Sex!W43/Sex!$F43</f>
        <v>5.5410666364289221E-2</v>
      </c>
      <c r="X43">
        <f>Sex!X43/Sex!$F43</f>
        <v>2.3963412329440225E-2</v>
      </c>
      <c r="Y43">
        <f>Sex!Y43/Sex!$F43</f>
        <v>2.1960161771931812E-2</v>
      </c>
      <c r="Z43">
        <f>Sex!Z43/Sex!$F43</f>
        <v>8.2775824923460705E-3</v>
      </c>
      <c r="AA43">
        <f>Sex!AA43/Sex!$F43</f>
        <v>1.1339154099104206E-3</v>
      </c>
      <c r="AB43">
        <f>Sex!AB43/Sex!$F43</f>
        <v>5.5561855085610613E-3</v>
      </c>
      <c r="AC43">
        <f>Sex!AC43/Sex!$F43</f>
        <v>1.5118872132138942E-3</v>
      </c>
      <c r="AD43">
        <f>Sex!AD43/Sex!$F43</f>
        <v>3.4773405903919569E-3</v>
      </c>
      <c r="AE43">
        <f>Sex!AE43/Sex!$F43</f>
        <v>3.5907321313829989E-2</v>
      </c>
      <c r="AF43">
        <f>Sex!AF43/Sex!$F43</f>
        <v>6.0475488528555774E-4</v>
      </c>
      <c r="AG43">
        <f>Sex!AG43/Sex!$F43</f>
        <v>0.5316551385266659</v>
      </c>
      <c r="AH43">
        <f>Sex!AH43/Sex!$F43</f>
        <v>0.49223267944211363</v>
      </c>
      <c r="AI43">
        <f>Sex!AI43/Sex!$F43</f>
        <v>6.3877234758287034E-3</v>
      </c>
      <c r="AJ43">
        <f>Sex!AJ43/Sex!$F43</f>
        <v>1.3606984918925048E-3</v>
      </c>
      <c r="AK43">
        <f>Sex!AK43/Sex!$F43</f>
        <v>0.47254034849000265</v>
      </c>
      <c r="AL43">
        <f>Sex!AL43/Sex!$F43</f>
        <v>0.36402464376157539</v>
      </c>
      <c r="AM43">
        <f>Sex!AM43/Sex!$F43</f>
        <v>1.2851041312318102E-3</v>
      </c>
      <c r="AN43">
        <f>Sex!AN43/Sex!$F43</f>
        <v>0.24757153116377517</v>
      </c>
      <c r="AO43">
        <f>Sex!AO43/Sex!$F43</f>
        <v>5.6544581774199645E-2</v>
      </c>
      <c r="AP43">
        <f>Sex!AP43/Sex!$F43</f>
        <v>0.17677741240503458</v>
      </c>
      <c r="AQ43">
        <f>Sex!AQ43/Sex!$F43</f>
        <v>8.4514495218656685E-2</v>
      </c>
      <c r="AR43">
        <f>Sex!AR43/Sex!$F43</f>
        <v>8.3342782628415921E-2</v>
      </c>
      <c r="AS43">
        <f>Sex!AS43/Sex!$F43</f>
        <v>4.588577692104169E-2</v>
      </c>
      <c r="AT43">
        <f>Sex!AT43/Sex!$F43</f>
        <v>3.326151869070567E-2</v>
      </c>
      <c r="AU43">
        <f>Sex!AU43/Sex!$F43</f>
        <v>9.1431379219110251E-2</v>
      </c>
      <c r="AV43">
        <f>Sex!AV43/Sex!$F43</f>
        <v>2.2186944853913898E-2</v>
      </c>
      <c r="AW43">
        <f>Sex!AW43/Sex!$F43</f>
        <v>9.6382809842385751E-3</v>
      </c>
      <c r="AX43">
        <f>Sex!AX43/Sex!$F43</f>
        <v>3.2014211739804212E-2</v>
      </c>
      <c r="AY43">
        <f>Sex!AY43/Sex!$F43</f>
        <v>1.7802471935593606E-2</v>
      </c>
      <c r="AZ43">
        <f>Sex!AZ43/Sex!$F43</f>
        <v>1.2926635672978797E-2</v>
      </c>
      <c r="BA43">
        <f>Sex!BA43/Sex!$F43</f>
        <v>5.1819934232906227E-2</v>
      </c>
      <c r="BB43">
        <f>Sex!BB43/Sex!$F43</f>
        <v>4.2068261707676607E-2</v>
      </c>
      <c r="BC43">
        <f>Sex!BC43/Sex!$F43</f>
        <v>1.6630759345352838E-3</v>
      </c>
    </row>
    <row r="44" spans="1:55">
      <c r="A44" s="1">
        <v>1031</v>
      </c>
      <c r="B44" s="1" t="s">
        <v>32</v>
      </c>
      <c r="C44" t="s">
        <v>180</v>
      </c>
      <c r="D44">
        <v>74917</v>
      </c>
      <c r="E44">
        <v>72976</v>
      </c>
      <c r="F44">
        <v>71165</v>
      </c>
      <c r="G44">
        <f>Sex!G44/Sex!$F44</f>
        <v>0.57390571207756624</v>
      </c>
      <c r="H44">
        <f>Sex!H44/Sex!$F44</f>
        <v>9.9908662966345808E-3</v>
      </c>
      <c r="I44">
        <f>Sex!I44/Sex!$F44</f>
        <v>9.9346588913089302E-3</v>
      </c>
      <c r="J44">
        <f>Sex!J44/Sex!$F44</f>
        <v>9.5693107566921943E-3</v>
      </c>
      <c r="K44">
        <f>Sex!K44/Sex!$F44</f>
        <v>9.5552589053607816E-3</v>
      </c>
      <c r="L44">
        <f>Sex!L44/Sex!$F44</f>
        <v>9.5552589053607816E-3</v>
      </c>
      <c r="M44">
        <f>Sex!M44/Sex!$F44</f>
        <v>3.7658961568186608E-3</v>
      </c>
      <c r="N44">
        <f>Sex!N44/Sex!$F44</f>
        <v>4.2015035480924608E-3</v>
      </c>
      <c r="O44">
        <f>Sex!O44/Sex!$F44</f>
        <v>9.8362959319890389E-5</v>
      </c>
      <c r="P44">
        <f>Sex!P44/Sex!$F44</f>
        <v>9.8362959319890389E-5</v>
      </c>
      <c r="Q44">
        <f>Sex!Q44/Sex!$F44</f>
        <v>0.22942457668797864</v>
      </c>
      <c r="R44">
        <f>Sex!R44/Sex!$F44</f>
        <v>6.7252160472142206E-2</v>
      </c>
      <c r="S44">
        <f>Sex!S44/Sex!$F44</f>
        <v>0.15150706105529405</v>
      </c>
      <c r="T44">
        <f>Sex!T44/Sex!$F44</f>
        <v>5.6488442352279917E-3</v>
      </c>
      <c r="U44">
        <f>Sex!U44/Sex!$F44</f>
        <v>3.9204665214642026E-3</v>
      </c>
      <c r="V44">
        <f>Sex!V44/Sex!$F44</f>
        <v>1.0159488512611536E-2</v>
      </c>
      <c r="W44">
        <f>Sex!W44/Sex!$F44</f>
        <v>4.7242324176210215E-2</v>
      </c>
      <c r="X44">
        <f>Sex!X44/Sex!$F44</f>
        <v>1.3630295791470527E-2</v>
      </c>
      <c r="Y44">
        <f>Sex!Y44/Sex!$F44</f>
        <v>1.292770322489988E-2</v>
      </c>
      <c r="Z44">
        <f>Sex!Z44/Sex!$F44</f>
        <v>2.8202065622145719E-2</v>
      </c>
      <c r="AA44">
        <f>Sex!AA44/Sex!$F44</f>
        <v>5.7753108972107073E-3</v>
      </c>
      <c r="AB44">
        <f>Sex!AB44/Sex!$F44</f>
        <v>1.9124569662052976E-2</v>
      </c>
      <c r="AC44">
        <f>Sex!AC44/Sex!$F44</f>
        <v>5.9017775591934242E-4</v>
      </c>
      <c r="AD44">
        <f>Sex!AD44/Sex!$F44</f>
        <v>1.6651443827724304E-2</v>
      </c>
      <c r="AE44">
        <f>Sex!AE44/Sex!$F44</f>
        <v>6.50741235157732E-2</v>
      </c>
      <c r="AF44">
        <f>Sex!AF44/Sex!$F44</f>
        <v>4.4965924260521325E-4</v>
      </c>
      <c r="AG44">
        <f>Sex!AG44/Sex!$F44</f>
        <v>0.32922082484367315</v>
      </c>
      <c r="AH44">
        <f>Sex!AH44/Sex!$F44</f>
        <v>0.3191315955877187</v>
      </c>
      <c r="AI44">
        <f>Sex!AI44/Sex!$F44</f>
        <v>2.2342443616946532E-3</v>
      </c>
      <c r="AJ44">
        <f>Sex!AJ44/Sex!$F44</f>
        <v>3.5129628328532284E-4</v>
      </c>
      <c r="AK44">
        <f>Sex!AK44/Sex!$F44</f>
        <v>0.30742640342865174</v>
      </c>
      <c r="AL44">
        <f>Sex!AL44/Sex!$F44</f>
        <v>0.1583222089510293</v>
      </c>
      <c r="AM44">
        <f>Sex!AM44/Sex!$F44</f>
        <v>7.1664441790205856E-4</v>
      </c>
      <c r="AN44">
        <f>Sex!AN44/Sex!$F44</f>
        <v>0.11661631419939578</v>
      </c>
      <c r="AO44">
        <f>Sex!AO44/Sex!$F44</f>
        <v>1.5541347572542682E-2</v>
      </c>
      <c r="AP44">
        <f>Sex!AP44/Sex!$F44</f>
        <v>9.3332396543244572E-2</v>
      </c>
      <c r="AQ44">
        <f>Sex!AQ44/Sex!$F44</f>
        <v>3.1279421063725145E-2</v>
      </c>
      <c r="AR44">
        <f>Sex!AR44/Sex!$F44</f>
        <v>3.1152954401742431E-2</v>
      </c>
      <c r="AS44">
        <f>Sex!AS44/Sex!$F44</f>
        <v>1.6637391976392888E-2</v>
      </c>
      <c r="AT44">
        <f>Sex!AT44/Sex!$F44</f>
        <v>6.7870441930724373E-3</v>
      </c>
      <c r="AU44">
        <f>Sex!AU44/Sex!$F44</f>
        <v>0.13807349118246329</v>
      </c>
      <c r="AV44">
        <f>Sex!AV44/Sex!$F44</f>
        <v>3.5256094990514998E-2</v>
      </c>
      <c r="AW44">
        <f>Sex!AW44/Sex!$F44</f>
        <v>3.90641467013279E-3</v>
      </c>
      <c r="AX44">
        <f>Sex!AX44/Sex!$F44</f>
        <v>4.379962060001405E-2</v>
      </c>
      <c r="AY44">
        <f>Sex!AY44/Sex!$F44</f>
        <v>2.2089510292981101E-2</v>
      </c>
      <c r="AZ44">
        <f>Sex!AZ44/Sex!$F44</f>
        <v>1.7311880840300709E-2</v>
      </c>
      <c r="BA44">
        <f>Sex!BA44/Sex!$F44</f>
        <v>8.4831026487739755E-2</v>
      </c>
      <c r="BB44">
        <f>Sex!BB44/Sex!$F44</f>
        <v>7.7257078620108194E-2</v>
      </c>
      <c r="BC44">
        <f>Sex!BC44/Sex!$F44</f>
        <v>4.215555399423874E-5</v>
      </c>
    </row>
    <row r="45" spans="1:55">
      <c r="A45" s="1">
        <v>1033</v>
      </c>
      <c r="B45" s="1" t="s">
        <v>32</v>
      </c>
      <c r="C45" t="s">
        <v>181</v>
      </c>
      <c r="D45">
        <v>128942</v>
      </c>
      <c r="E45">
        <v>125796</v>
      </c>
      <c r="F45">
        <v>122517</v>
      </c>
      <c r="G45">
        <f>Sex!G45/Sex!$F45</f>
        <v>0.44904788723197597</v>
      </c>
      <c r="H45">
        <f>Sex!H45/Sex!$F45</f>
        <v>2.4568019132038821E-3</v>
      </c>
      <c r="I45">
        <f>Sex!I45/Sex!$F45</f>
        <v>2.4323155153978633E-3</v>
      </c>
      <c r="J45">
        <f>Sex!J45/Sex!$F45</f>
        <v>2.3098835263677692E-3</v>
      </c>
      <c r="K45">
        <f>Sex!K45/Sex!$F45</f>
        <v>2.293559261163757E-3</v>
      </c>
      <c r="L45">
        <f>Sex!L45/Sex!$F45</f>
        <v>2.2853971285617504E-3</v>
      </c>
      <c r="M45">
        <f>Sex!M45/Sex!$F45</f>
        <v>8.8151032101667522E-4</v>
      </c>
      <c r="N45">
        <f>Sex!N45/Sex!$F45</f>
        <v>2.1221544765216254E-4</v>
      </c>
      <c r="O45">
        <f>Sex!O45/Sex!$F45</f>
        <v>0</v>
      </c>
      <c r="P45">
        <f>Sex!P45/Sex!$F45</f>
        <v>0</v>
      </c>
      <c r="Q45">
        <f>Sex!Q45/Sex!$F45</f>
        <v>0.31869046744533414</v>
      </c>
      <c r="R45">
        <f>Sex!R45/Sex!$F45</f>
        <v>3.3791228972305881E-2</v>
      </c>
      <c r="S45">
        <f>Sex!S45/Sex!$F45</f>
        <v>0.27739823861178448</v>
      </c>
      <c r="T45">
        <f>Sex!T45/Sex!$F45</f>
        <v>1.3271627610862166E-2</v>
      </c>
      <c r="U45">
        <f>Sex!U45/Sex!$F45</f>
        <v>1.6324265204012506E-2</v>
      </c>
      <c r="V45">
        <f>Sex!V45/Sex!$F45</f>
        <v>3.3423933005215602E-2</v>
      </c>
      <c r="W45">
        <f>Sex!W45/Sex!$F45</f>
        <v>0.11851416538113078</v>
      </c>
      <c r="X45">
        <f>Sex!X45/Sex!$F45</f>
        <v>1.6258968143196453E-2</v>
      </c>
      <c r="Y45">
        <f>Sex!Y45/Sex!$F45</f>
        <v>1.4471461103357085E-2</v>
      </c>
      <c r="Z45">
        <f>Sex!Z45/Sex!$F45</f>
        <v>5.259678248732829E-2</v>
      </c>
      <c r="AA45">
        <f>Sex!AA45/Sex!$F45</f>
        <v>5.1339814066619326E-3</v>
      </c>
      <c r="AB45">
        <f>Sex!AB45/Sex!$F45</f>
        <v>3.6574516189590019E-2</v>
      </c>
      <c r="AC45">
        <f>Sex!AC45/Sex!$F45</f>
        <v>1.1018879012708439E-3</v>
      </c>
      <c r="AD45">
        <f>Sex!AD45/Sex!$F45</f>
        <v>3.3268852485777482E-2</v>
      </c>
      <c r="AE45">
        <f>Sex!AE45/Sex!$F45</f>
        <v>8.5628933127647591E-2</v>
      </c>
      <c r="AF45">
        <f>Sex!AF45/Sex!$F45</f>
        <v>6.9378127117053143E-4</v>
      </c>
      <c r="AG45">
        <f>Sex!AG45/Sex!$F45</f>
        <v>0.12326452655549842</v>
      </c>
      <c r="AH45">
        <f>Sex!AH45/Sex!$F45</f>
        <v>0.11408212737824139</v>
      </c>
      <c r="AI45">
        <f>Sex!AI45/Sex!$F45</f>
        <v>1.5508051943811879E-3</v>
      </c>
      <c r="AJ45">
        <f>Sex!AJ45/Sex!$F45</f>
        <v>7.345919341805627E-4</v>
      </c>
      <c r="AK45">
        <f>Sex!AK45/Sex!$F45</f>
        <v>0.10870328199351927</v>
      </c>
      <c r="AL45">
        <f>Sex!AL45/Sex!$F45</f>
        <v>6.3607499367434719E-2</v>
      </c>
      <c r="AM45">
        <f>Sex!AM45/Sex!$F45</f>
        <v>3.1016103887623756E-4</v>
      </c>
      <c r="AN45">
        <f>Sex!AN45/Sex!$F45</f>
        <v>1.3867463290808622E-2</v>
      </c>
      <c r="AO45">
        <f>Sex!AO45/Sex!$F45</f>
        <v>2.334369924173788E-3</v>
      </c>
      <c r="AP45">
        <f>Sex!AP45/Sex!$F45</f>
        <v>1.095358195189239E-2</v>
      </c>
      <c r="AQ45">
        <f>Sex!AQ45/Sex!$F45</f>
        <v>4.5136593289094577E-2</v>
      </c>
      <c r="AR45">
        <f>Sex!AR45/Sex!$F45</f>
        <v>4.4834594382820343E-2</v>
      </c>
      <c r="AS45">
        <f>Sex!AS45/Sex!$F45</f>
        <v>1.1492282703624804E-2</v>
      </c>
      <c r="AT45">
        <f>Sex!AT45/Sex!$F45</f>
        <v>1.6242643877992442E-3</v>
      </c>
      <c r="AU45">
        <f>Sex!AU45/Sex!$F45</f>
        <v>4.1251418170539601E-2</v>
      </c>
      <c r="AV45">
        <f>Sex!AV45/Sex!$F45</f>
        <v>1.8397446884922092E-2</v>
      </c>
      <c r="AW45">
        <f>Sex!AW45/Sex!$F45</f>
        <v>9.9578017744476281E-4</v>
      </c>
      <c r="AX45">
        <f>Sex!AX45/Sex!$F45</f>
        <v>2.8159357476921572E-3</v>
      </c>
      <c r="AY45">
        <f>Sex!AY45/Sex!$F45</f>
        <v>1.9670739570835068E-3</v>
      </c>
      <c r="AZ45">
        <f>Sex!AZ45/Sex!$F45</f>
        <v>6.6113274076250639E-4</v>
      </c>
      <c r="BA45">
        <f>Sex!BA45/Sex!$F45</f>
        <v>3.68112180350482E-2</v>
      </c>
      <c r="BB45">
        <f>Sex!BB45/Sex!$F45</f>
        <v>2.4910828701323082E-2</v>
      </c>
      <c r="BC45">
        <f>Sex!BC45/Sex!$F45</f>
        <v>5.5502501693642514E-4</v>
      </c>
    </row>
    <row r="46" spans="1:55">
      <c r="A46" s="1">
        <v>1046</v>
      </c>
      <c r="B46" s="1" t="s">
        <v>32</v>
      </c>
      <c r="C46" t="s">
        <v>184</v>
      </c>
      <c r="D46">
        <v>56307</v>
      </c>
      <c r="E46">
        <v>54235</v>
      </c>
      <c r="F46">
        <v>51105</v>
      </c>
      <c r="G46">
        <f>Sex!G46/Sex!$F46</f>
        <v>0.43240387437628414</v>
      </c>
      <c r="H46">
        <f>Sex!H46/Sex!$F46</f>
        <v>1.0116426964093534E-2</v>
      </c>
      <c r="I46">
        <f>Sex!I46/Sex!$F46</f>
        <v>1.0057724293122003E-2</v>
      </c>
      <c r="J46">
        <f>Sex!J46/Sex!$F46</f>
        <v>9.8620487232169065E-3</v>
      </c>
      <c r="K46">
        <f>Sex!K46/Sex!$F46</f>
        <v>9.8620487232169065E-3</v>
      </c>
      <c r="L46">
        <f>Sex!L46/Sex!$F46</f>
        <v>9.8620487232169065E-3</v>
      </c>
      <c r="M46">
        <f>Sex!M46/Sex!$F46</f>
        <v>3.6982682712063397E-3</v>
      </c>
      <c r="N46">
        <f>Sex!N46/Sex!$F46</f>
        <v>4.4418354368457097E-3</v>
      </c>
      <c r="O46">
        <f>Sex!O46/Sex!$F46</f>
        <v>0</v>
      </c>
      <c r="P46">
        <f>Sex!P46/Sex!$F46</f>
        <v>5.8702670971529207E-5</v>
      </c>
      <c r="Q46">
        <f>Sex!Q46/Sex!$F46</f>
        <v>0.24649251540945114</v>
      </c>
      <c r="R46">
        <f>Sex!R46/Sex!$F46</f>
        <v>4.2774679581254284E-2</v>
      </c>
      <c r="S46">
        <f>Sex!S46/Sex!$F46</f>
        <v>0.19888464925154095</v>
      </c>
      <c r="T46">
        <f>Sex!T46/Sex!$F46</f>
        <v>5.6941590842383332E-3</v>
      </c>
      <c r="U46">
        <f>Sex!U46/Sex!$F46</f>
        <v>1.1936209764210938E-3</v>
      </c>
      <c r="V46">
        <f>Sex!V46/Sex!$F46</f>
        <v>5.518051071323745E-3</v>
      </c>
      <c r="W46">
        <f>Sex!W46/Sex!$F46</f>
        <v>7.7467958125428046E-2</v>
      </c>
      <c r="X46">
        <f>Sex!X46/Sex!$F46</f>
        <v>1.8256530672145582E-2</v>
      </c>
      <c r="Y46">
        <f>Sex!Y46/Sex!$F46</f>
        <v>1.7239017708639077E-2</v>
      </c>
      <c r="Z46">
        <f>Sex!Z46/Sex!$F46</f>
        <v>6.218569611583994E-2</v>
      </c>
      <c r="AA46">
        <f>Sex!AA46/Sex!$F46</f>
        <v>6.5551315918207613E-3</v>
      </c>
      <c r="AB46">
        <f>Sex!AB46/Sex!$F46</f>
        <v>4.0348302514431077E-2</v>
      </c>
      <c r="AC46">
        <f>Sex!AC46/Sex!$F46</f>
        <v>6.8486449466784074E-4</v>
      </c>
      <c r="AD46">
        <f>Sex!AD46/Sex!$F46</f>
        <v>3.8391546815380102E-2</v>
      </c>
      <c r="AE46">
        <f>Sex!AE46/Sex!$F46</f>
        <v>4.2031112415614913E-2</v>
      </c>
      <c r="AF46">
        <f>Sex!AF46/Sex!$F46</f>
        <v>2.7394579786713629E-4</v>
      </c>
      <c r="AG46">
        <f>Sex!AG46/Sex!$F46</f>
        <v>0.16790920653556404</v>
      </c>
      <c r="AH46">
        <f>Sex!AH46/Sex!$F46</f>
        <v>0.16102142647490461</v>
      </c>
      <c r="AI46">
        <f>Sex!AI46/Sex!$F46</f>
        <v>8.4140495059191857E-4</v>
      </c>
      <c r="AJ46">
        <f>Sex!AJ46/Sex!$F46</f>
        <v>7.4356716563936994E-4</v>
      </c>
      <c r="AK46">
        <f>Sex!AK46/Sex!$F46</f>
        <v>0.15474024068095099</v>
      </c>
      <c r="AL46">
        <f>Sex!AL46/Sex!$F46</f>
        <v>5.2558458076509149E-2</v>
      </c>
      <c r="AM46">
        <f>Sex!AM46/Sex!$F46</f>
        <v>3.3264846883866549E-4</v>
      </c>
      <c r="AN46">
        <f>Sex!AN46/Sex!$F46</f>
        <v>2.956657861266021E-2</v>
      </c>
      <c r="AO46">
        <f>Sex!AO46/Sex!$F46</f>
        <v>2.9547011055669698E-3</v>
      </c>
      <c r="AP46">
        <f>Sex!AP46/Sex!$F46</f>
        <v>2.4870364934937873E-2</v>
      </c>
      <c r="AQ46">
        <f>Sex!AQ46/Sex!$F46</f>
        <v>2.0076313472262988E-2</v>
      </c>
      <c r="AR46">
        <f>Sex!AR46/Sex!$F46</f>
        <v>1.9939340573329419E-2</v>
      </c>
      <c r="AS46">
        <f>Sex!AS46/Sex!$F46</f>
        <v>6.1442128950200568E-3</v>
      </c>
      <c r="AT46">
        <f>Sex!AT46/Sex!$F46</f>
        <v>2.2502690539086194E-3</v>
      </c>
      <c r="AU46">
        <f>Sex!AU46/Sex!$F46</f>
        <v>9.4863516289991193E-2</v>
      </c>
      <c r="AV46">
        <f>Sex!AV46/Sex!$F46</f>
        <v>3.0995010272967419E-2</v>
      </c>
      <c r="AW46">
        <f>Sex!AW46/Sex!$F46</f>
        <v>2.9938362195479893E-3</v>
      </c>
      <c r="AX46">
        <f>Sex!AX46/Sex!$F46</f>
        <v>2.0800313080911847E-2</v>
      </c>
      <c r="AY46">
        <f>Sex!AY46/Sex!$F46</f>
        <v>8.4727521768907157E-3</v>
      </c>
      <c r="AZ46">
        <f>Sex!AZ46/Sex!$F46</f>
        <v>1.0625183445846786E-2</v>
      </c>
      <c r="BA46">
        <f>Sex!BA46/Sex!$F46</f>
        <v>6.9660502886214656E-2</v>
      </c>
      <c r="BB46">
        <f>Sex!BB46/Sex!$F46</f>
        <v>6.0718129341551706E-2</v>
      </c>
      <c r="BC46">
        <f>Sex!BC46/Sex!$F46</f>
        <v>1.761080129145876E-4</v>
      </c>
    </row>
    <row r="47" spans="1:55">
      <c r="A47" s="1">
        <v>1047</v>
      </c>
      <c r="B47" s="1" t="s">
        <v>32</v>
      </c>
      <c r="C47" t="s">
        <v>185</v>
      </c>
      <c r="D47">
        <v>78807</v>
      </c>
      <c r="E47">
        <v>74432</v>
      </c>
      <c r="F47">
        <v>72740</v>
      </c>
      <c r="G47">
        <f>Sex!G47/Sex!$F47</f>
        <v>0.70380808358537261</v>
      </c>
      <c r="H47">
        <f>Sex!H47/Sex!$F47</f>
        <v>7.2999725048116578E-3</v>
      </c>
      <c r="I47">
        <f>Sex!I47/Sex!$F47</f>
        <v>7.0800109980753371E-3</v>
      </c>
      <c r="J47">
        <f>Sex!J47/Sex!$F47</f>
        <v>6.7500687379708551E-3</v>
      </c>
      <c r="K47">
        <f>Sex!K47/Sex!$F47</f>
        <v>6.7088259554577952E-3</v>
      </c>
      <c r="L47">
        <f>Sex!L47/Sex!$F47</f>
        <v>6.6950783612867749E-3</v>
      </c>
      <c r="M47">
        <f>Sex!M47/Sex!$F47</f>
        <v>2.2958482265603521E-3</v>
      </c>
      <c r="N47">
        <f>Sex!N47/Sex!$F47</f>
        <v>3.5193841077811381E-3</v>
      </c>
      <c r="O47">
        <f>Sex!O47/Sex!$F47</f>
        <v>1.512235358812208E-4</v>
      </c>
      <c r="P47">
        <f>Sex!P47/Sex!$F47</f>
        <v>8.2485565026120436E-5</v>
      </c>
      <c r="Q47">
        <f>Sex!Q47/Sex!$F47</f>
        <v>0.45643387407203739</v>
      </c>
      <c r="R47">
        <f>Sex!R47/Sex!$F47</f>
        <v>3.9758042342590047E-2</v>
      </c>
      <c r="S47">
        <f>Sex!S47/Sex!$F47</f>
        <v>0.39648061589221884</v>
      </c>
      <c r="T47">
        <f>Sex!T47/Sex!$F47</f>
        <v>1.4778663733846576E-2</v>
      </c>
      <c r="U47">
        <f>Sex!U47/Sex!$F47</f>
        <v>6.7500687379708551E-3</v>
      </c>
      <c r="V47">
        <f>Sex!V47/Sex!$F47</f>
        <v>6.2551553478141328E-2</v>
      </c>
      <c r="W47">
        <f>Sex!W47/Sex!$F47</f>
        <v>0.18406653835578773</v>
      </c>
      <c r="X47">
        <f>Sex!X47/Sex!$F47</f>
        <v>5.5870222711025569E-2</v>
      </c>
      <c r="Y47">
        <f>Sex!Y47/Sex!$F47</f>
        <v>5.3051965905966454E-2</v>
      </c>
      <c r="Z47">
        <f>Sex!Z47/Sex!$F47</f>
        <v>7.0923838328292549E-2</v>
      </c>
      <c r="AA47">
        <f>Sex!AA47/Sex!$F47</f>
        <v>6.6675831729447344E-3</v>
      </c>
      <c r="AB47">
        <f>Sex!AB47/Sex!$F47</f>
        <v>5.3959307121253783E-2</v>
      </c>
      <c r="AC47">
        <f>Sex!AC47/Sex!$F47</f>
        <v>1.5259829529832279E-3</v>
      </c>
      <c r="AD47">
        <f>Sex!AD47/Sex!$F47</f>
        <v>4.7635413802584549E-2</v>
      </c>
      <c r="AE47">
        <f>Sex!AE47/Sex!$F47</f>
        <v>0.11077811383007974</v>
      </c>
      <c r="AF47">
        <f>Sex!AF47/Sex!$F47</f>
        <v>1.1135551278526259E-3</v>
      </c>
      <c r="AG47">
        <f>Sex!AG47/Sex!$F47</f>
        <v>0.22458069837778388</v>
      </c>
      <c r="AH47">
        <f>Sex!AH47/Sex!$F47</f>
        <v>0.21326642837503437</v>
      </c>
      <c r="AI47">
        <f>Sex!AI47/Sex!$F47</f>
        <v>2.735771240032994E-3</v>
      </c>
      <c r="AJ47">
        <f>Sex!AJ47/Sex!$F47</f>
        <v>1.8284300247456695E-3</v>
      </c>
      <c r="AK47">
        <f>Sex!AK47/Sex!$F47</f>
        <v>0.19887269727797635</v>
      </c>
      <c r="AL47">
        <f>Sex!AL47/Sex!$F47</f>
        <v>0.10206213912565301</v>
      </c>
      <c r="AM47">
        <f>Sex!AM47/Sex!$F47</f>
        <v>2.5708001099807535E-3</v>
      </c>
      <c r="AN47">
        <f>Sex!AN47/Sex!$F47</f>
        <v>4.7882870497662912E-2</v>
      </c>
      <c r="AO47">
        <f>Sex!AO47/Sex!$F47</f>
        <v>9.8157822381083303E-3</v>
      </c>
      <c r="AP47">
        <f>Sex!AP47/Sex!$F47</f>
        <v>3.5537530932086885E-2</v>
      </c>
      <c r="AQ47">
        <f>Sex!AQ47/Sex!$F47</f>
        <v>4.3524883145449549E-2</v>
      </c>
      <c r="AR47">
        <f>Sex!AR47/Sex!$F47</f>
        <v>4.3029969755292823E-2</v>
      </c>
      <c r="AS47">
        <f>Sex!AS47/Sex!$F47</f>
        <v>9.4858399780038492E-3</v>
      </c>
      <c r="AT47">
        <f>Sex!AT47/Sex!$F47</f>
        <v>1.8696728072587297E-3</v>
      </c>
      <c r="AU47">
        <f>Sex!AU47/Sex!$F47</f>
        <v>8.0574649436348636E-2</v>
      </c>
      <c r="AV47">
        <f>Sex!AV47/Sex!$F47</f>
        <v>2.2642287599670057E-2</v>
      </c>
      <c r="AW47">
        <f>Sex!AW47/Sex!$F47</f>
        <v>2.0071487489689305E-3</v>
      </c>
      <c r="AX47">
        <f>Sex!AX47/Sex!$F47</f>
        <v>2.0415177343964808E-2</v>
      </c>
      <c r="AY47">
        <f>Sex!AY47/Sex!$F47</f>
        <v>8.5372559802034641E-3</v>
      </c>
      <c r="AZ47">
        <f>Sex!AZ47/Sex!$F47</f>
        <v>1.0805609018421777E-2</v>
      </c>
      <c r="BA47">
        <f>Sex!BA47/Sex!$F47</f>
        <v>5.2474566950783612E-2</v>
      </c>
      <c r="BB47">
        <f>Sex!BB47/Sex!$F47</f>
        <v>4.3552378333791587E-2</v>
      </c>
      <c r="BC47">
        <f>Sex!BC47/Sex!$F47</f>
        <v>2.1996150673632113E-4</v>
      </c>
    </row>
    <row r="48" spans="1:55">
      <c r="A48" s="1">
        <v>1050</v>
      </c>
      <c r="B48" s="1" t="s">
        <v>32</v>
      </c>
      <c r="C48" t="s">
        <v>187</v>
      </c>
      <c r="D48">
        <v>237179</v>
      </c>
      <c r="E48">
        <v>231914</v>
      </c>
      <c r="F48">
        <v>230665</v>
      </c>
      <c r="G48">
        <f>Sex!G48/Sex!$F48</f>
        <v>0.90677389287494847</v>
      </c>
      <c r="H48">
        <f>Sex!H48/Sex!$F48</f>
        <v>1.3339691760778618E-2</v>
      </c>
      <c r="I48">
        <f>Sex!I48/Sex!$F48</f>
        <v>1.3283332972059046E-2</v>
      </c>
      <c r="J48">
        <f>Sex!J48/Sex!$F48</f>
        <v>1.2945180239741616E-2</v>
      </c>
      <c r="K48">
        <f>Sex!K48/Sex!$F48</f>
        <v>1.2932174365421715E-2</v>
      </c>
      <c r="L48">
        <f>Sex!L48/Sex!$F48</f>
        <v>1.2919168491101814E-2</v>
      </c>
      <c r="M48">
        <f>Sex!M48/Sex!$F48</f>
        <v>9.7804174885656684E-3</v>
      </c>
      <c r="N48">
        <f>Sex!N48/Sex!$F48</f>
        <v>1.5693755012680726E-3</v>
      </c>
      <c r="O48">
        <f>Sex!O48/Sex!$F48</f>
        <v>3.0347040079769364E-5</v>
      </c>
      <c r="P48">
        <f>Sex!P48/Sex!$F48</f>
        <v>3.9017622959703465E-5</v>
      </c>
      <c r="Q48">
        <f>Sex!Q48/Sex!$F48</f>
        <v>0.55062970108165521</v>
      </c>
      <c r="R48">
        <f>Sex!R48/Sex!$F48</f>
        <v>8.2049725792816428E-2</v>
      </c>
      <c r="S48">
        <f>Sex!S48/Sex!$F48</f>
        <v>0.45851776385667525</v>
      </c>
      <c r="T48">
        <f>Sex!T48/Sex!$F48</f>
        <v>1.0274640712721913E-2</v>
      </c>
      <c r="U48">
        <f>Sex!U48/Sex!$F48</f>
        <v>5.6957058938287126E-2</v>
      </c>
      <c r="V48">
        <f>Sex!V48/Sex!$F48</f>
        <v>0.13965274315565865</v>
      </c>
      <c r="W48">
        <f>Sex!W48/Sex!$F48</f>
        <v>0.16028439511846185</v>
      </c>
      <c r="X48">
        <f>Sex!X48/Sex!$F48</f>
        <v>5.9311122190189233E-2</v>
      </c>
      <c r="Y48">
        <f>Sex!Y48/Sex!$F48</f>
        <v>5.8097240586998458E-2</v>
      </c>
      <c r="Z48">
        <f>Sex!Z48/Sex!$F48</f>
        <v>4.6552359482366204E-2</v>
      </c>
      <c r="AA48">
        <f>Sex!AA48/Sex!$F48</f>
        <v>4.8381852470032296E-3</v>
      </c>
      <c r="AB48">
        <f>Sex!AB48/Sex!$F48</f>
        <v>2.4654802419092625E-2</v>
      </c>
      <c r="AC48">
        <f>Sex!AC48/Sex!$F48</f>
        <v>3.2037803741356511E-3</v>
      </c>
      <c r="AD48">
        <f>Sex!AD48/Sex!$F48</f>
        <v>1.9712570177530184E-2</v>
      </c>
      <c r="AE48">
        <f>Sex!AE48/Sex!$F48</f>
        <v>0.22484555524245117</v>
      </c>
      <c r="AF48">
        <f>Sex!AF48/Sex!$F48</f>
        <v>1.0274640712721913E-3</v>
      </c>
      <c r="AG48">
        <f>Sex!AG48/Sex!$F48</f>
        <v>0.33579433377408796</v>
      </c>
      <c r="AH48">
        <f>Sex!AH48/Sex!$F48</f>
        <v>0.32580148700496392</v>
      </c>
      <c r="AI48">
        <f>Sex!AI48/Sex!$F48</f>
        <v>4.8598617042030648E-3</v>
      </c>
      <c r="AJ48">
        <f>Sex!AJ48/Sex!$F48</f>
        <v>1.3309344720698849E-3</v>
      </c>
      <c r="AK48">
        <f>Sex!AK48/Sex!$F48</f>
        <v>0.30189669000498559</v>
      </c>
      <c r="AL48">
        <f>Sex!AL48/Sex!$F48</f>
        <v>0.21983829362928922</v>
      </c>
      <c r="AM48">
        <f>Sex!AM48/Sex!$F48</f>
        <v>2.2586868402228338E-3</v>
      </c>
      <c r="AN48">
        <f>Sex!AN48/Sex!$F48</f>
        <v>0.15771356729456137</v>
      </c>
      <c r="AO48">
        <f>Sex!AO48/Sex!$F48</f>
        <v>3.7695359070513516E-2</v>
      </c>
      <c r="AP48">
        <f>Sex!AP48/Sex!$F48</f>
        <v>0.1092493442871697</v>
      </c>
      <c r="AQ48">
        <f>Sex!AQ48/Sex!$F48</f>
        <v>4.1497409663364619E-2</v>
      </c>
      <c r="AR48">
        <f>Sex!AR48/Sex!$F48</f>
        <v>4.1254633342726464E-2</v>
      </c>
      <c r="AS48">
        <f>Sex!AS48/Sex!$F48</f>
        <v>1.0500075867600199E-2</v>
      </c>
      <c r="AT48">
        <f>Sex!AT48/Sex!$F48</f>
        <v>3.3078273686948604E-3</v>
      </c>
      <c r="AU48">
        <f>Sex!AU48/Sex!$F48</f>
        <v>6.8991827975635661E-2</v>
      </c>
      <c r="AV48">
        <f>Sex!AV48/Sex!$F48</f>
        <v>1.9794940714889558E-2</v>
      </c>
      <c r="AW48">
        <f>Sex!AW48/Sex!$F48</f>
        <v>1.4479873409489954E-3</v>
      </c>
      <c r="AX48">
        <f>Sex!AX48/Sex!$F48</f>
        <v>2.3579650141980796E-2</v>
      </c>
      <c r="AY48">
        <f>Sex!AY48/Sex!$F48</f>
        <v>8.1980361129776955E-3</v>
      </c>
      <c r="AZ48">
        <f>Sex!AZ48/Sex!$F48</f>
        <v>1.4258773546051633E-2</v>
      </c>
      <c r="BA48">
        <f>Sex!BA48/Sex!$F48</f>
        <v>4.0101445819695228E-2</v>
      </c>
      <c r="BB48">
        <f>Sex!BB48/Sex!$F48</f>
        <v>3.3607179242624588E-2</v>
      </c>
      <c r="BC48">
        <f>Sex!BC48/Sex!$F48</f>
        <v>6.5029371599505781E-5</v>
      </c>
    </row>
    <row r="49" spans="1:55">
      <c r="A49" s="1">
        <v>1066</v>
      </c>
      <c r="B49" s="1" t="s">
        <v>32</v>
      </c>
      <c r="C49" t="s">
        <v>190</v>
      </c>
      <c r="D49">
        <v>137438</v>
      </c>
      <c r="E49">
        <v>134002</v>
      </c>
      <c r="F49">
        <v>128884</v>
      </c>
      <c r="G49">
        <f>Sex!G49/Sex!$F49</f>
        <v>0.82743397163340682</v>
      </c>
      <c r="H49">
        <f>Sex!H49/Sex!$F49</f>
        <v>4.7329381459296731E-4</v>
      </c>
      <c r="I49">
        <f>Sex!I49/Sex!$F49</f>
        <v>4.6553489959963998E-4</v>
      </c>
      <c r="J49">
        <f>Sex!J49/Sex!$F49</f>
        <v>4.4225815461965801E-4</v>
      </c>
      <c r="K49">
        <f>Sex!K49/Sex!$F49</f>
        <v>4.3449923962633063E-4</v>
      </c>
      <c r="L49">
        <f>Sex!L49/Sex!$F49</f>
        <v>4.1122249464634866E-4</v>
      </c>
      <c r="M49">
        <f>Sex!M49/Sex!$F49</f>
        <v>1.4741938487321932E-4</v>
      </c>
      <c r="N49">
        <f>Sex!N49/Sex!$F49</f>
        <v>2.1724961981316532E-4</v>
      </c>
      <c r="O49">
        <f>Sex!O49/Sex!$F49</f>
        <v>0</v>
      </c>
      <c r="P49">
        <f>Sex!P49/Sex!$F49</f>
        <v>7.7589149933273325E-6</v>
      </c>
      <c r="Q49">
        <f>Sex!Q49/Sex!$F49</f>
        <v>0.35260389187176067</v>
      </c>
      <c r="R49">
        <f>Sex!R49/Sex!$F49</f>
        <v>7.8636603457372514E-2</v>
      </c>
      <c r="S49">
        <f>Sex!S49/Sex!$F49</f>
        <v>0.26846621768411905</v>
      </c>
      <c r="T49">
        <f>Sex!T49/Sex!$F49</f>
        <v>4.7639738059029827E-3</v>
      </c>
      <c r="U49">
        <f>Sex!U49/Sex!$F49</f>
        <v>1.6759256385587039E-3</v>
      </c>
      <c r="V49">
        <f>Sex!V49/Sex!$F49</f>
        <v>1.7488594394959808E-2</v>
      </c>
      <c r="W49">
        <f>Sex!W49/Sex!$F49</f>
        <v>0.18879767853263399</v>
      </c>
      <c r="X49">
        <f>Sex!X49/Sex!$F49</f>
        <v>0.1054281369293318</v>
      </c>
      <c r="Y49">
        <f>Sex!Y49/Sex!$F49</f>
        <v>9.4193228018993824E-2</v>
      </c>
      <c r="Z49">
        <f>Sex!Z49/Sex!$F49</f>
        <v>1.7923093634586138E-2</v>
      </c>
      <c r="AA49">
        <f>Sex!AA49/Sex!$F49</f>
        <v>7.7589149933273327E-4</v>
      </c>
      <c r="AB49">
        <f>Sex!AB49/Sex!$F49</f>
        <v>1.0466776325998572E-2</v>
      </c>
      <c r="AC49">
        <f>Sex!AC49/Sex!$F49</f>
        <v>1.4741938487321932E-4</v>
      </c>
      <c r="AD49">
        <f>Sex!AD49/Sex!$F49</f>
        <v>9.9391701064523129E-3</v>
      </c>
      <c r="AE49">
        <f>Sex!AE49/Sex!$F49</f>
        <v>4.3085254957946684E-2</v>
      </c>
      <c r="AF49">
        <f>Sex!AF49/Sex!$F49</f>
        <v>1.8543806834052327E-3</v>
      </c>
      <c r="AG49">
        <f>Sex!AG49/Sex!$F49</f>
        <v>0.46616337171409949</v>
      </c>
      <c r="AH49">
        <f>Sex!AH49/Sex!$F49</f>
        <v>0.45573538996306756</v>
      </c>
      <c r="AI49">
        <f>Sex!AI49/Sex!$F49</f>
        <v>2.4238850439154587E-2</v>
      </c>
      <c r="AJ49">
        <f>Sex!AJ49/Sex!$F49</f>
        <v>3.2975388721641166E-3</v>
      </c>
      <c r="AK49">
        <f>Sex!AK49/Sex!$F49</f>
        <v>0.36913813972254123</v>
      </c>
      <c r="AL49">
        <f>Sex!AL49/Sex!$F49</f>
        <v>0.21364948325626146</v>
      </c>
      <c r="AM49">
        <f>Sex!AM49/Sex!$F49</f>
        <v>2.3819869029514914E-3</v>
      </c>
      <c r="AN49">
        <f>Sex!AN49/Sex!$F49</f>
        <v>6.7494801526954473E-2</v>
      </c>
      <c r="AO49">
        <f>Sex!AO49/Sex!$F49</f>
        <v>1.699202383538686E-3</v>
      </c>
      <c r="AP49">
        <f>Sex!AP49/Sex!$F49</f>
        <v>6.4771422364296574E-2</v>
      </c>
      <c r="AQ49">
        <f>Sex!AQ49/Sex!$F49</f>
        <v>0.12926352378883338</v>
      </c>
      <c r="AR49">
        <f>Sex!AR49/Sex!$F49</f>
        <v>0.12908506874398684</v>
      </c>
      <c r="AS49">
        <f>Sex!AS49/Sex!$F49</f>
        <v>7.2646721082523819E-2</v>
      </c>
      <c r="AT49">
        <f>Sex!AT49/Sex!$F49</f>
        <v>5.1565749045653454E-2</v>
      </c>
      <c r="AU49">
        <f>Sex!AU49/Sex!$F49</f>
        <v>0.11494056671115112</v>
      </c>
      <c r="AV49">
        <f>Sex!AV49/Sex!$F49</f>
        <v>6.4732627789329936E-2</v>
      </c>
      <c r="AW49">
        <f>Sex!AW49/Sex!$F49</f>
        <v>3.9306663356196272E-2</v>
      </c>
      <c r="AX49">
        <f>Sex!AX49/Sex!$F49</f>
        <v>2.620961484745973E-2</v>
      </c>
      <c r="AY49">
        <f>Sex!AY49/Sex!$F49</f>
        <v>2.1065454206883709E-2</v>
      </c>
      <c r="AZ49">
        <f>Sex!AZ49/Sex!$F49</f>
        <v>3.8406629216970298E-3</v>
      </c>
      <c r="BA49">
        <f>Sex!BA49/Sex!$F49</f>
        <v>8.0560814375717701E-2</v>
      </c>
      <c r="BB49">
        <f>Sex!BB49/Sex!$F49</f>
        <v>7.8869370907172345E-2</v>
      </c>
      <c r="BC49">
        <f>Sex!BC49/Sex!$F49</f>
        <v>1.1638372489991E-4</v>
      </c>
    </row>
    <row r="50" spans="1:55">
      <c r="A50" s="1">
        <v>1086</v>
      </c>
      <c r="B50" s="1" t="s">
        <v>32</v>
      </c>
      <c r="C50" t="s">
        <v>193</v>
      </c>
      <c r="D50">
        <v>141672</v>
      </c>
      <c r="E50">
        <v>138657</v>
      </c>
      <c r="F50">
        <v>125312</v>
      </c>
      <c r="G50">
        <f>Sex!G50/Sex!$F50</f>
        <v>0.62791272982635338</v>
      </c>
      <c r="H50">
        <f>Sex!H50/Sex!$F50</f>
        <v>4.7481486210418792E-3</v>
      </c>
      <c r="I50">
        <f>Sex!I50/Sex!$F50</f>
        <v>4.7002681307456587E-3</v>
      </c>
      <c r="J50">
        <f>Sex!J50/Sex!$F50</f>
        <v>4.373084780388151E-3</v>
      </c>
      <c r="K50">
        <f>Sex!K50/Sex!$F50</f>
        <v>4.373084780388151E-3</v>
      </c>
      <c r="L50">
        <f>Sex!L50/Sex!$F50</f>
        <v>4.3571246169560778E-3</v>
      </c>
      <c r="M50">
        <f>Sex!M50/Sex!$F50</f>
        <v>2.2184627170582227E-3</v>
      </c>
      <c r="N50">
        <f>Sex!N50/Sex!$F50</f>
        <v>1.3885342185903985E-3</v>
      </c>
      <c r="O50">
        <f>Sex!O50/Sex!$F50</f>
        <v>8.7780898876404492E-5</v>
      </c>
      <c r="P50">
        <f>Sex!P50/Sex!$F50</f>
        <v>4.7880490296220631E-5</v>
      </c>
      <c r="Q50">
        <f>Sex!Q50/Sex!$F50</f>
        <v>0.30057775791624108</v>
      </c>
      <c r="R50">
        <f>Sex!R50/Sex!$F50</f>
        <v>4.1009639938712969E-2</v>
      </c>
      <c r="S50">
        <f>Sex!S50/Sex!$F50</f>
        <v>0.25114115168539325</v>
      </c>
      <c r="T50">
        <f>Sex!T50/Sex!$F50</f>
        <v>1.7572139938712972E-2</v>
      </c>
      <c r="U50">
        <f>Sex!U50/Sex!$F50</f>
        <v>9.8474208375893772E-3</v>
      </c>
      <c r="V50">
        <f>Sex!V50/Sex!$F50</f>
        <v>2.4339249233912154E-2</v>
      </c>
      <c r="W50">
        <f>Sex!W50/Sex!$F50</f>
        <v>8.0710546475995917E-2</v>
      </c>
      <c r="X50">
        <f>Sex!X50/Sex!$F50</f>
        <v>3.4745275791624106E-2</v>
      </c>
      <c r="Y50">
        <f>Sex!Y50/Sex!$F50</f>
        <v>3.4505873340143003E-2</v>
      </c>
      <c r="Z50">
        <f>Sex!Z50/Sex!$F50</f>
        <v>2.5496361082737486E-2</v>
      </c>
      <c r="AA50">
        <f>Sex!AA50/Sex!$F50</f>
        <v>4.1895429009193054E-3</v>
      </c>
      <c r="AB50">
        <f>Sex!AB50/Sex!$F50</f>
        <v>1.6287346782431052E-2</v>
      </c>
      <c r="AC50">
        <f>Sex!AC50/Sex!$F50</f>
        <v>3.4074948927477018E-3</v>
      </c>
      <c r="AD50">
        <f>Sex!AD50/Sex!$F50</f>
        <v>1.0477847293156282E-2</v>
      </c>
      <c r="AE50">
        <f>Sex!AE50/Sex!$F50</f>
        <v>0.12547082482124616</v>
      </c>
      <c r="AF50">
        <f>Sex!AF50/Sex!$F50</f>
        <v>8.2194841675178756E-4</v>
      </c>
      <c r="AG50">
        <f>Sex!AG50/Sex!$F50</f>
        <v>0.31610699693564864</v>
      </c>
      <c r="AH50">
        <f>Sex!AH50/Sex!$F50</f>
        <v>0.29853485699693566</v>
      </c>
      <c r="AI50">
        <f>Sex!AI50/Sex!$F50</f>
        <v>8.1396833503575075E-4</v>
      </c>
      <c r="AJ50">
        <f>Sex!AJ50/Sex!$F50</f>
        <v>6.4638661899897858E-4</v>
      </c>
      <c r="AK50">
        <f>Sex!AK50/Sex!$F50</f>
        <v>0.29394631001021448</v>
      </c>
      <c r="AL50">
        <f>Sex!AL50/Sex!$F50</f>
        <v>0.21569362870275791</v>
      </c>
      <c r="AM50">
        <f>Sex!AM50/Sex!$F50</f>
        <v>2.130681818181818E-3</v>
      </c>
      <c r="AN50">
        <f>Sex!AN50/Sex!$F50</f>
        <v>0.10727623850868233</v>
      </c>
      <c r="AO50">
        <f>Sex!AO50/Sex!$F50</f>
        <v>4.8750319203268638E-2</v>
      </c>
      <c r="AP50">
        <f>Sex!AP50/Sex!$F50</f>
        <v>5.2125893769152193E-2</v>
      </c>
      <c r="AQ50">
        <f>Sex!AQ50/Sex!$F50</f>
        <v>8.3583375893769157E-2</v>
      </c>
      <c r="AR50">
        <f>Sex!AR50/Sex!$F50</f>
        <v>8.191553881511747E-2</v>
      </c>
      <c r="AS50">
        <f>Sex!AS50/Sex!$F50</f>
        <v>1.0980592441266599E-2</v>
      </c>
      <c r="AT50">
        <f>Sex!AT50/Sex!$F50</f>
        <v>2.6094867211440245E-3</v>
      </c>
      <c r="AU50">
        <f>Sex!AU50/Sex!$F50</f>
        <v>6.6011235955056174E-2</v>
      </c>
      <c r="AV50">
        <f>Sex!AV50/Sex!$F50</f>
        <v>1.0908771705822268E-2</v>
      </c>
      <c r="AW50">
        <f>Sex!AW50/Sex!$F50</f>
        <v>1.1331716036772216E-3</v>
      </c>
      <c r="AX50">
        <f>Sex!AX50/Sex!$F50</f>
        <v>1.8418028600612871E-2</v>
      </c>
      <c r="AY50">
        <f>Sex!AY50/Sex!$F50</f>
        <v>7.0144918283963232E-3</v>
      </c>
      <c r="AZ50">
        <f>Sex!AZ50/Sex!$F50</f>
        <v>1.0701289581205312E-2</v>
      </c>
      <c r="BA50">
        <f>Sex!BA50/Sex!$F50</f>
        <v>4.1432584269662918E-2</v>
      </c>
      <c r="BB50">
        <f>Sex!BB50/Sex!$F50</f>
        <v>3.4689415219611851E-2</v>
      </c>
      <c r="BC50">
        <f>Sex!BC50/Sex!$F50</f>
        <v>8.7780898876404492E-5</v>
      </c>
    </row>
    <row r="51" spans="1:55">
      <c r="A51" s="1">
        <v>1090</v>
      </c>
      <c r="B51" s="1" t="s">
        <v>32</v>
      </c>
      <c r="C51" t="s">
        <v>194</v>
      </c>
      <c r="D51">
        <v>41092</v>
      </c>
      <c r="E51">
        <v>39807</v>
      </c>
      <c r="F51">
        <v>35649</v>
      </c>
      <c r="G51">
        <f>Sex!G51/Sex!$F51</f>
        <v>0.53788325058206399</v>
      </c>
      <c r="H51">
        <f>Sex!H51/Sex!$F51</f>
        <v>1.1501023871637354E-3</v>
      </c>
      <c r="I51">
        <f>Sex!I51/Sex!$F51</f>
        <v>1.1501023871637354E-3</v>
      </c>
      <c r="J51">
        <f>Sex!J51/Sex!$F51</f>
        <v>1.0659485539566327E-3</v>
      </c>
      <c r="K51">
        <f>Sex!K51/Sex!$F51</f>
        <v>1.0659485539566327E-3</v>
      </c>
      <c r="L51">
        <f>Sex!L51/Sex!$F51</f>
        <v>1.0659485539566327E-3</v>
      </c>
      <c r="M51">
        <f>Sex!M51/Sex!$F51</f>
        <v>2.8051277735700864E-4</v>
      </c>
      <c r="N51">
        <f>Sex!N51/Sex!$F51</f>
        <v>5.8907683244971811E-4</v>
      </c>
      <c r="O51">
        <f>Sex!O51/Sex!$F51</f>
        <v>0</v>
      </c>
      <c r="P51">
        <f>Sex!P51/Sex!$F51</f>
        <v>0</v>
      </c>
      <c r="Q51">
        <f>Sex!Q51/Sex!$F51</f>
        <v>0.21487278745546859</v>
      </c>
      <c r="R51">
        <f>Sex!R51/Sex!$F51</f>
        <v>3.7139891722067941E-2</v>
      </c>
      <c r="S51">
        <f>Sex!S51/Sex!$F51</f>
        <v>0.16696120508289153</v>
      </c>
      <c r="T51">
        <f>Sex!T51/Sex!$F51</f>
        <v>1.234256220370838E-2</v>
      </c>
      <c r="U51">
        <f>Sex!U51/Sex!$F51</f>
        <v>1.2286459648236978E-2</v>
      </c>
      <c r="V51">
        <f>Sex!V51/Sex!$F51</f>
        <v>3.7111840444332238E-2</v>
      </c>
      <c r="W51">
        <f>Sex!W51/Sex!$F51</f>
        <v>3.9496199051866812E-2</v>
      </c>
      <c r="X51">
        <f>Sex!X51/Sex!$F51</f>
        <v>5.0772812701618559E-3</v>
      </c>
      <c r="Y51">
        <f>Sex!Y51/Sex!$F51</f>
        <v>4.6004095486549415E-3</v>
      </c>
      <c r="Z51">
        <f>Sex!Z51/Sex!$F51</f>
        <v>1.3969536312379028E-2</v>
      </c>
      <c r="AA51">
        <f>Sex!AA51/Sex!$F51</f>
        <v>1.7952817750848552E-3</v>
      </c>
      <c r="AB51">
        <f>Sex!AB51/Sex!$F51</f>
        <v>9.9301523184381051E-3</v>
      </c>
      <c r="AC51">
        <f>Sex!AC51/Sex!$F51</f>
        <v>7.2933322112822237E-4</v>
      </c>
      <c r="AD51">
        <f>Sex!AD51/Sex!$F51</f>
        <v>9.0605627086313787E-3</v>
      </c>
      <c r="AE51">
        <f>Sex!AE51/Sex!$F51</f>
        <v>0.10839013717074812</v>
      </c>
      <c r="AF51">
        <f>Sex!AF51/Sex!$F51</f>
        <v>1.7111279418777524E-3</v>
      </c>
      <c r="AG51">
        <f>Sex!AG51/Sex!$F51</f>
        <v>0.31863446379982607</v>
      </c>
      <c r="AH51">
        <f>Sex!AH51/Sex!$F51</f>
        <v>0.29655810822182949</v>
      </c>
      <c r="AI51">
        <f>Sex!AI51/Sex!$F51</f>
        <v>2.4404611630059747E-3</v>
      </c>
      <c r="AJ51">
        <f>Sex!AJ51/Sex!$F51</f>
        <v>9.2569216527812841E-4</v>
      </c>
      <c r="AK51">
        <f>Sex!AK51/Sex!$F51</f>
        <v>0.28474852029509945</v>
      </c>
      <c r="AL51">
        <f>Sex!AL51/Sex!$F51</f>
        <v>0.17832197256585036</v>
      </c>
      <c r="AM51">
        <f>Sex!AM51/Sex!$F51</f>
        <v>3.0856405509270947E-4</v>
      </c>
      <c r="AN51">
        <f>Sex!AN51/Sex!$F51</f>
        <v>9.8992959129288335E-2</v>
      </c>
      <c r="AO51">
        <f>Sex!AO51/Sex!$F51</f>
        <v>3.4334763948497854E-2</v>
      </c>
      <c r="AP51">
        <f>Sex!AP51/Sex!$F51</f>
        <v>5.5204914583859295E-2</v>
      </c>
      <c r="AQ51">
        <f>Sex!AQ51/Sex!$F51</f>
        <v>6.7715784453981881E-2</v>
      </c>
      <c r="AR51">
        <f>Sex!AR51/Sex!$F51</f>
        <v>6.5107015624561698E-2</v>
      </c>
      <c r="AS51">
        <f>Sex!AS51/Sex!$F51</f>
        <v>1.758815114028444E-2</v>
      </c>
      <c r="AT51">
        <f>Sex!AT51/Sex!$F51</f>
        <v>7.0689219893966173E-3</v>
      </c>
      <c r="AU51">
        <f>Sex!AU51/Sex!$F51</f>
        <v>8.6706499481051358E-2</v>
      </c>
      <c r="AV51">
        <f>Sex!AV51/Sex!$F51</f>
        <v>1.2286459648236978E-2</v>
      </c>
      <c r="AW51">
        <f>Sex!AW51/Sex!$F51</f>
        <v>3.0856405509270949E-3</v>
      </c>
      <c r="AX51">
        <f>Sex!AX51/Sex!$F51</f>
        <v>3.8963224774888498E-2</v>
      </c>
      <c r="AY51">
        <f>Sex!AY51/Sex!$F51</f>
        <v>8.3031782097674547E-3</v>
      </c>
      <c r="AZ51">
        <f>Sex!AZ51/Sex!$F51</f>
        <v>2.6732867682122921E-2</v>
      </c>
      <c r="BA51">
        <f>Sex!BA51/Sex!$F51</f>
        <v>4.4713736710707171E-2</v>
      </c>
      <c r="BB51">
        <f>Sex!BB51/Sex!$F51</f>
        <v>3.3409071783219724E-2</v>
      </c>
      <c r="BC51">
        <f>Sex!BC51/Sex!$F51</f>
        <v>2.1038458301775647E-3</v>
      </c>
    </row>
    <row r="52" spans="1:55">
      <c r="A52" s="1">
        <v>1096</v>
      </c>
      <c r="B52" s="1" t="s">
        <v>32</v>
      </c>
      <c r="C52" t="s">
        <v>196</v>
      </c>
      <c r="D52">
        <v>140014</v>
      </c>
      <c r="E52">
        <v>136628</v>
      </c>
      <c r="F52">
        <v>130636</v>
      </c>
      <c r="G52">
        <f>Sex!G52/Sex!$F52</f>
        <v>0.63177837655776359</v>
      </c>
      <c r="H52">
        <f>Sex!H52/Sex!$F52</f>
        <v>2.5949967849597353E-3</v>
      </c>
      <c r="I52">
        <f>Sex!I52/Sex!$F52</f>
        <v>2.5184482072323098E-3</v>
      </c>
      <c r="J52">
        <f>Sex!J52/Sex!$F52</f>
        <v>2.4648642028231114E-3</v>
      </c>
      <c r="K52">
        <f>Sex!K52/Sex!$F52</f>
        <v>2.4648642028231114E-3</v>
      </c>
      <c r="L52">
        <f>Sex!L52/Sex!$F52</f>
        <v>2.4648642028231114E-3</v>
      </c>
      <c r="M52">
        <f>Sex!M52/Sex!$F52</f>
        <v>5.5880461741020856E-4</v>
      </c>
      <c r="N52">
        <f>Sex!N52/Sex!$F52</f>
        <v>1.7453075721853089E-3</v>
      </c>
      <c r="O52">
        <f>Sex!O52/Sex!$F52</f>
        <v>0</v>
      </c>
      <c r="P52">
        <f>Sex!P52/Sex!$F52</f>
        <v>0</v>
      </c>
      <c r="Q52">
        <f>Sex!Q52/Sex!$F52</f>
        <v>0.18001163538381457</v>
      </c>
      <c r="R52">
        <f>Sex!R52/Sex!$F52</f>
        <v>4.9909672678281634E-2</v>
      </c>
      <c r="S52">
        <f>Sex!S52/Sex!$F52</f>
        <v>0.12451391653143085</v>
      </c>
      <c r="T52">
        <f>Sex!T52/Sex!$F52</f>
        <v>1.5103034385621114E-2</v>
      </c>
      <c r="U52">
        <f>Sex!U52/Sex!$F52</f>
        <v>6.606142257876849E-3</v>
      </c>
      <c r="V52">
        <f>Sex!V52/Sex!$F52</f>
        <v>7.4787960439695027E-3</v>
      </c>
      <c r="W52">
        <f>Sex!W52/Sex!$F52</f>
        <v>4.4076671055451787E-2</v>
      </c>
      <c r="X52">
        <f>Sex!X52/Sex!$F52</f>
        <v>7.1726017330598002E-3</v>
      </c>
      <c r="Y52">
        <f>Sex!Y52/Sex!$F52</f>
        <v>6.4071159557855415E-3</v>
      </c>
      <c r="Z52">
        <f>Sex!Z52/Sex!$F52</f>
        <v>2.0759974279677882E-2</v>
      </c>
      <c r="AA52">
        <f>Sex!AA52/Sex!$F52</f>
        <v>3.8963226063259745E-3</v>
      </c>
      <c r="AB52">
        <f>Sex!AB52/Sex!$F52</f>
        <v>1.3549098257754371E-2</v>
      </c>
      <c r="AC52">
        <f>Sex!AC52/Sex!$F52</f>
        <v>1.3778743990936648E-4</v>
      </c>
      <c r="AD52">
        <f>Sex!AD52/Sex!$F52</f>
        <v>1.3319452524572093E-2</v>
      </c>
      <c r="AE52">
        <f>Sex!AE52/Sex!$F52</f>
        <v>5.17544934015126E-2</v>
      </c>
      <c r="AF52">
        <f>Sex!AF52/Sex!$F52</f>
        <v>2.1050858875042103E-3</v>
      </c>
      <c r="AG52">
        <f>Sex!AG52/Sex!$F52</f>
        <v>0.44155516090511038</v>
      </c>
      <c r="AH52">
        <f>Sex!AH52/Sex!$F52</f>
        <v>0.40011176092348205</v>
      </c>
      <c r="AI52">
        <f>Sex!AI52/Sex!$F52</f>
        <v>9.9513151045653577E-4</v>
      </c>
      <c r="AJ52">
        <f>Sex!AJ52/Sex!$F52</f>
        <v>1.23319758718883E-2</v>
      </c>
      <c r="AK52">
        <f>Sex!AK52/Sex!$F52</f>
        <v>0.37544015432193267</v>
      </c>
      <c r="AL52">
        <f>Sex!AL52/Sex!$F52</f>
        <v>9.9283505312471293E-2</v>
      </c>
      <c r="AM52">
        <f>Sex!AM52/Sex!$F52</f>
        <v>9.9513151045653572E-5</v>
      </c>
      <c r="AN52">
        <f>Sex!AN52/Sex!$F52</f>
        <v>2.9631954438286538E-2</v>
      </c>
      <c r="AO52">
        <f>Sex!AO52/Sex!$F52</f>
        <v>8.0299458036069693E-3</v>
      </c>
      <c r="AP52">
        <f>Sex!AP52/Sex!$F52</f>
        <v>2.0262408524449615E-2</v>
      </c>
      <c r="AQ52">
        <f>Sex!AQ52/Sex!$F52</f>
        <v>6.0381518111393494E-2</v>
      </c>
      <c r="AR52">
        <f>Sex!AR52/Sex!$F52</f>
        <v>5.9669616338528429E-2</v>
      </c>
      <c r="AS52">
        <f>Sex!AS52/Sex!$F52</f>
        <v>6.7592394133317007E-3</v>
      </c>
      <c r="AT52">
        <f>Sex!AT52/Sex!$F52</f>
        <v>1.0487155148657338E-3</v>
      </c>
      <c r="AU52">
        <f>Sex!AU52/Sex!$F52</f>
        <v>0.26232432101411557</v>
      </c>
      <c r="AV52">
        <f>Sex!AV52/Sex!$F52</f>
        <v>2.3393245353501332E-2</v>
      </c>
      <c r="AW52">
        <f>Sex!AW52/Sex!$F52</f>
        <v>2.9471202425058944E-3</v>
      </c>
      <c r="AX52">
        <f>Sex!AX52/Sex!$F52</f>
        <v>2.9432928136195229E-2</v>
      </c>
      <c r="AY52">
        <f>Sex!AY52/Sex!$F52</f>
        <v>1.4911662941302551E-2</v>
      </c>
      <c r="AZ52">
        <f>Sex!AZ52/Sex!$F52</f>
        <v>1.2599895893934291E-2</v>
      </c>
      <c r="BA52">
        <f>Sex!BA52/Sex!$F52</f>
        <v>0.2230549006399461</v>
      </c>
      <c r="BB52">
        <f>Sex!BB52/Sex!$F52</f>
        <v>0.14056615328087205</v>
      </c>
      <c r="BC52">
        <f>Sex!BC52/Sex!$F52</f>
        <v>7.1955663063780271E-4</v>
      </c>
    </row>
    <row r="53" spans="1:55">
      <c r="A53" s="1">
        <v>1097</v>
      </c>
      <c r="B53" s="1" t="s">
        <v>32</v>
      </c>
      <c r="C53" t="s">
        <v>197</v>
      </c>
      <c r="D53">
        <v>241814</v>
      </c>
      <c r="E53">
        <v>235966</v>
      </c>
      <c r="F53">
        <v>231326</v>
      </c>
      <c r="G53">
        <f>Sex!G53/Sex!$F53</f>
        <v>0.87799469147436948</v>
      </c>
      <c r="H53">
        <f>Sex!H53/Sex!$F53</f>
        <v>2.4251489240292921E-3</v>
      </c>
      <c r="I53">
        <f>Sex!I53/Sex!$F53</f>
        <v>2.39921150238192E-3</v>
      </c>
      <c r="J53">
        <f>Sex!J53/Sex!$F53</f>
        <v>2.2435869724976871E-3</v>
      </c>
      <c r="K53">
        <f>Sex!K53/Sex!$F53</f>
        <v>2.2392640688897918E-3</v>
      </c>
      <c r="L53">
        <f>Sex!L53/Sex!$F53</f>
        <v>2.2392640688897918E-3</v>
      </c>
      <c r="M53">
        <f>Sex!M53/Sex!$F53</f>
        <v>1.1282778416606867E-3</v>
      </c>
      <c r="N53">
        <f>Sex!N53/Sex!$F53</f>
        <v>8.9484104683433768E-4</v>
      </c>
      <c r="O53">
        <f>Sex!O53/Sex!$F53</f>
        <v>2.1614518039476757E-5</v>
      </c>
      <c r="P53">
        <f>Sex!P53/Sex!$F53</f>
        <v>1.7291614431581404E-5</v>
      </c>
      <c r="Q53">
        <f>Sex!Q53/Sex!$F53</f>
        <v>0.26394352558726647</v>
      </c>
      <c r="R53">
        <f>Sex!R53/Sex!$F53</f>
        <v>6.8055471499096507E-2</v>
      </c>
      <c r="S53">
        <f>Sex!S53/Sex!$F53</f>
        <v>0.18703474749920027</v>
      </c>
      <c r="T53">
        <f>Sex!T53/Sex!$F53</f>
        <v>1.0327416719261994E-2</v>
      </c>
      <c r="U53">
        <f>Sex!U53/Sex!$F53</f>
        <v>9.3677321183092254E-3</v>
      </c>
      <c r="V53">
        <f>Sex!V53/Sex!$F53</f>
        <v>3.5676923475960333E-2</v>
      </c>
      <c r="W53">
        <f>Sex!W53/Sex!$F53</f>
        <v>6.7532400162541181E-2</v>
      </c>
      <c r="X53">
        <f>Sex!X53/Sex!$F53</f>
        <v>3.1803601843286101E-2</v>
      </c>
      <c r="Y53">
        <f>Sex!Y53/Sex!$F53</f>
        <v>3.0260325255267458E-2</v>
      </c>
      <c r="Z53">
        <f>Sex!Z53/Sex!$F53</f>
        <v>1.7633123816605138E-2</v>
      </c>
      <c r="AA53">
        <f>Sex!AA53/Sex!$F53</f>
        <v>2.4510863456766643E-3</v>
      </c>
      <c r="AB53">
        <f>Sex!AB53/Sex!$F53</f>
        <v>1.2117098812930669E-2</v>
      </c>
      <c r="AC53">
        <f>Sex!AC53/Sex!$F53</f>
        <v>4.7551939686848863E-4</v>
      </c>
      <c r="AD53">
        <f>Sex!AD53/Sex!$F53</f>
        <v>1.1045018718172622E-2</v>
      </c>
      <c r="AE53">
        <f>Sex!AE53/Sex!$F53</f>
        <v>9.3002948220260589E-2</v>
      </c>
      <c r="AF53">
        <f>Sex!AF53/Sex!$F53</f>
        <v>8.1270587828432606E-4</v>
      </c>
      <c r="AG53">
        <f>Sex!AG53/Sex!$F53</f>
        <v>0.60783915340255745</v>
      </c>
      <c r="AH53">
        <f>Sex!AH53/Sex!$F53</f>
        <v>0.56884223995573346</v>
      </c>
      <c r="AI53">
        <f>Sex!AI53/Sex!$F53</f>
        <v>1.8804630694344777E-3</v>
      </c>
      <c r="AJ53">
        <f>Sex!AJ53/Sex!$F53</f>
        <v>7.3057070973431438E-3</v>
      </c>
      <c r="AK53">
        <f>Sex!AK53/Sex!$F53</f>
        <v>0.54393366936704046</v>
      </c>
      <c r="AL53">
        <f>Sex!AL53/Sex!$F53</f>
        <v>0.16188409430846512</v>
      </c>
      <c r="AM53">
        <f>Sex!AM53/Sex!$F53</f>
        <v>1.8977546838660592E-3</v>
      </c>
      <c r="AN53">
        <f>Sex!AN53/Sex!$F53</f>
        <v>7.9766217372885015E-2</v>
      </c>
      <c r="AO53">
        <f>Sex!AO53/Sex!$F53</f>
        <v>1.9392545585018545E-2</v>
      </c>
      <c r="AP53">
        <f>Sex!AP53/Sex!$F53</f>
        <v>5.5242385205294689E-2</v>
      </c>
      <c r="AQ53">
        <f>Sex!AQ53/Sex!$F53</f>
        <v>6.5124542852943459E-2</v>
      </c>
      <c r="AR53">
        <f>Sex!AR53/Sex!$F53</f>
        <v>6.4687929588546036E-2</v>
      </c>
      <c r="AS53">
        <f>Sex!AS53/Sex!$F53</f>
        <v>2.4286072469156084E-2</v>
      </c>
      <c r="AT53">
        <f>Sex!AT53/Sex!$F53</f>
        <v>3.9251964759689792E-3</v>
      </c>
      <c r="AU53">
        <f>Sex!AU53/Sex!$F53</f>
        <v>0.36184000069166455</v>
      </c>
      <c r="AV53">
        <f>Sex!AV53/Sex!$F53</f>
        <v>5.7853418984463487E-2</v>
      </c>
      <c r="AW53">
        <f>Sex!AW53/Sex!$F53</f>
        <v>5.0318597995901888E-3</v>
      </c>
      <c r="AX53">
        <f>Sex!AX53/Sex!$F53</f>
        <v>2.2358057460034757E-2</v>
      </c>
      <c r="AY53">
        <f>Sex!AY53/Sex!$F53</f>
        <v>9.1775243595618311E-3</v>
      </c>
      <c r="AZ53">
        <f>Sex!AZ53/Sex!$F53</f>
        <v>1.200470331912539E-2</v>
      </c>
      <c r="BA53">
        <f>Sex!BA53/Sex!$F53</f>
        <v>0.33125978056941285</v>
      </c>
      <c r="BB53">
        <f>Sex!BB53/Sex!$F53</f>
        <v>0.23067878232451172</v>
      </c>
      <c r="BC53">
        <f>Sex!BC53/Sex!$F53</f>
        <v>5.2436820763770613E-3</v>
      </c>
    </row>
    <row r="54" spans="1:55">
      <c r="A54" s="1">
        <v>1103</v>
      </c>
      <c r="B54" s="1" t="s">
        <v>32</v>
      </c>
      <c r="C54" t="s">
        <v>199</v>
      </c>
      <c r="D54">
        <v>247391</v>
      </c>
      <c r="E54">
        <v>242168</v>
      </c>
      <c r="F54">
        <v>230207</v>
      </c>
      <c r="G54">
        <f>Sex!G54/Sex!$F54</f>
        <v>0.30837898065653957</v>
      </c>
      <c r="H54">
        <f>Sex!H54/Sex!$F54</f>
        <v>2.936487595946257E-3</v>
      </c>
      <c r="I54">
        <f>Sex!I54/Sex!$F54</f>
        <v>2.897392346887801E-3</v>
      </c>
      <c r="J54">
        <f>Sex!J54/Sex!$F54</f>
        <v>2.8061700990847367E-3</v>
      </c>
      <c r="K54">
        <f>Sex!K54/Sex!$F54</f>
        <v>2.7844505162744836E-3</v>
      </c>
      <c r="L54">
        <f>Sex!L54/Sex!$F54</f>
        <v>2.7801065997124326E-3</v>
      </c>
      <c r="M54">
        <f>Sex!M54/Sex!$F54</f>
        <v>1.4465242151628752E-3</v>
      </c>
      <c r="N54">
        <f>Sex!N54/Sex!$F54</f>
        <v>2.3457149435073652E-4</v>
      </c>
      <c r="O54">
        <f>Sex!O54/Sex!$F54</f>
        <v>4.343916562050676E-6</v>
      </c>
      <c r="P54">
        <f>Sex!P54/Sex!$F54</f>
        <v>0</v>
      </c>
      <c r="Q54">
        <f>Sex!Q54/Sex!$F54</f>
        <v>0.2095070957877041</v>
      </c>
      <c r="R54">
        <f>Sex!R54/Sex!$F54</f>
        <v>4.4633742675070698E-2</v>
      </c>
      <c r="S54">
        <f>Sex!S54/Sex!$F54</f>
        <v>0.15759294895463649</v>
      </c>
      <c r="T54">
        <f>Sex!T54/Sex!$F54</f>
        <v>2.0981116994704765E-3</v>
      </c>
      <c r="U54">
        <f>Sex!U54/Sex!$F54</f>
        <v>4.2657260639337637E-3</v>
      </c>
      <c r="V54">
        <f>Sex!V54/Sex!$F54</f>
        <v>2.2427641209867642E-2</v>
      </c>
      <c r="W54">
        <f>Sex!W54/Sex!$F54</f>
        <v>7.9658741914885298E-2</v>
      </c>
      <c r="X54">
        <f>Sex!X54/Sex!$F54</f>
        <v>3.0967781170859271E-2</v>
      </c>
      <c r="Y54">
        <f>Sex!Y54/Sex!$F54</f>
        <v>2.8630754060476007E-2</v>
      </c>
      <c r="Z54">
        <f>Sex!Z54/Sex!$F54</f>
        <v>2.653264236100553E-2</v>
      </c>
      <c r="AA54">
        <f>Sex!AA54/Sex!$F54</f>
        <v>5.4689909516218013E-3</v>
      </c>
      <c r="AB54">
        <f>Sex!AB54/Sex!$F54</f>
        <v>1.5968237282098285E-2</v>
      </c>
      <c r="AC54">
        <f>Sex!AC54/Sex!$F54</f>
        <v>1.0686034742644662E-3</v>
      </c>
      <c r="AD54">
        <f>Sex!AD54/Sex!$F54</f>
        <v>1.3088220601458688E-2</v>
      </c>
      <c r="AE54">
        <f>Sex!AE54/Sex!$F54</f>
        <v>3.9321132719682718E-2</v>
      </c>
      <c r="AF54">
        <f>Sex!AF54/Sex!$F54</f>
        <v>2.9104240965739528E-4</v>
      </c>
      <c r="AG54">
        <f>Sex!AG54/Sex!$F54</f>
        <v>9.1704422541451822E-2</v>
      </c>
      <c r="AH54">
        <f>Sex!AH54/Sex!$F54</f>
        <v>8.2495319429904387E-2</v>
      </c>
      <c r="AI54">
        <f>Sex!AI54/Sex!$F54</f>
        <v>4.6045515557737165E-4</v>
      </c>
      <c r="AJ54">
        <f>Sex!AJ54/Sex!$F54</f>
        <v>1.4812755476592806E-3</v>
      </c>
      <c r="AK54">
        <f>Sex!AK54/Sex!$F54</f>
        <v>7.8538011441876221E-2</v>
      </c>
      <c r="AL54">
        <f>Sex!AL54/Sex!$F54</f>
        <v>3.7105735273036879E-2</v>
      </c>
      <c r="AM54">
        <f>Sex!AM54/Sex!$F54</f>
        <v>2.4760324403688856E-4</v>
      </c>
      <c r="AN54">
        <f>Sex!AN54/Sex!$F54</f>
        <v>1.2823241691173597E-2</v>
      </c>
      <c r="AO54">
        <f>Sex!AO54/Sex!$F54</f>
        <v>7.2890919911210343E-3</v>
      </c>
      <c r="AP54">
        <f>Sex!AP54/Sex!$F54</f>
        <v>4.4264509767296392E-3</v>
      </c>
      <c r="AQ54">
        <f>Sex!AQ54/Sex!$F54</f>
        <v>1.9908169603878249E-2</v>
      </c>
      <c r="AR54">
        <f>Sex!AR54/Sex!$F54</f>
        <v>1.8422550139656917E-2</v>
      </c>
      <c r="AS54">
        <f>Sex!AS54/Sex!$F54</f>
        <v>4.6306150551460208E-3</v>
      </c>
      <c r="AT54">
        <f>Sex!AT54/Sex!$F54</f>
        <v>4.9520648807377713E-4</v>
      </c>
      <c r="AU54">
        <f>Sex!AU54/Sex!$F54</f>
        <v>3.9264661804376058E-2</v>
      </c>
      <c r="AV54">
        <f>Sex!AV54/Sex!$F54</f>
        <v>1.4439178652256447E-2</v>
      </c>
      <c r="AW54">
        <f>Sex!AW54/Sex!$F54</f>
        <v>7.2109014930041228E-4</v>
      </c>
      <c r="AX54">
        <f>Sex!AX54/Sex!$F54</f>
        <v>1.7636301241925746E-3</v>
      </c>
      <c r="AY54">
        <f>Sex!AY54/Sex!$F54</f>
        <v>7.4715364867271631E-4</v>
      </c>
      <c r="AZ54">
        <f>Sex!AZ54/Sex!$F54</f>
        <v>8.5140764616193254E-4</v>
      </c>
      <c r="BA54">
        <f>Sex!BA54/Sex!$F54</f>
        <v>3.5837311636918077E-2</v>
      </c>
      <c r="BB54">
        <f>Sex!BB54/Sex!$F54</f>
        <v>2.4369371913104294E-2</v>
      </c>
      <c r="BC54">
        <f>Sex!BC54/Sex!$F54</f>
        <v>2.3891541091278719E-4</v>
      </c>
    </row>
    <row r="55" spans="1:55">
      <c r="A55" s="1">
        <v>1107</v>
      </c>
      <c r="B55" s="1" t="s">
        <v>32</v>
      </c>
      <c r="C55" t="s">
        <v>200</v>
      </c>
      <c r="D55">
        <v>19490</v>
      </c>
      <c r="E55">
        <v>18962</v>
      </c>
      <c r="F55">
        <v>18555</v>
      </c>
      <c r="G55">
        <f>Sex!G55/Sex!$F55</f>
        <v>0.58032875235785497</v>
      </c>
      <c r="H55">
        <f>Sex!H55/Sex!$F55</f>
        <v>1.1479385610347614E-2</v>
      </c>
      <c r="I55">
        <f>Sex!I55/Sex!$F55</f>
        <v>1.1479385610347614E-2</v>
      </c>
      <c r="J55">
        <f>Sex!J55/Sex!$F55</f>
        <v>1.0940447318782E-2</v>
      </c>
      <c r="K55">
        <f>Sex!K55/Sex!$F55</f>
        <v>1.0940447318782E-2</v>
      </c>
      <c r="L55">
        <f>Sex!L55/Sex!$F55</f>
        <v>1.0832659660468875E-2</v>
      </c>
      <c r="M55">
        <f>Sex!M55/Sex!$F55</f>
        <v>4.7426569657774186E-3</v>
      </c>
      <c r="N55">
        <f>Sex!N55/Sex!$F55</f>
        <v>3.5569927243330637E-3</v>
      </c>
      <c r="O55">
        <f>Sex!O55/Sex!$F55</f>
        <v>1.0778765831312315E-4</v>
      </c>
      <c r="P55">
        <f>Sex!P55/Sex!$F55</f>
        <v>5.3893829156561574E-5</v>
      </c>
      <c r="Q55">
        <f>Sex!Q55/Sex!$F55</f>
        <v>0.35273511182969552</v>
      </c>
      <c r="R55">
        <f>Sex!R55/Sex!$F55</f>
        <v>8.4343842630018859E-2</v>
      </c>
      <c r="S55">
        <f>Sex!S55/Sex!$F55</f>
        <v>0.24963621665319322</v>
      </c>
      <c r="T55">
        <f>Sex!T55/Sex!$F55</f>
        <v>7.1678792778226896E-3</v>
      </c>
      <c r="U55">
        <f>Sex!U55/Sex!$F55</f>
        <v>4.4731878199946104E-3</v>
      </c>
      <c r="V55">
        <f>Sex!V55/Sex!$F55</f>
        <v>8.7308003233629757E-3</v>
      </c>
      <c r="W55">
        <f>Sex!W55/Sex!$F55</f>
        <v>9.673942333602803E-2</v>
      </c>
      <c r="X55">
        <f>Sex!X55/Sex!$F55</f>
        <v>6.0145513338722714E-2</v>
      </c>
      <c r="Y55">
        <f>Sex!Y55/Sex!$F55</f>
        <v>5.9229318243061171E-2</v>
      </c>
      <c r="Z55">
        <f>Sex!Z55/Sex!$F55</f>
        <v>3.907302613850714E-2</v>
      </c>
      <c r="AA55">
        <f>Sex!AA55/Sex!$F55</f>
        <v>1.7784963621665319E-3</v>
      </c>
      <c r="AB55">
        <f>Sex!AB55/Sex!$F55</f>
        <v>3.2012934518997574E-2</v>
      </c>
      <c r="AC55">
        <f>Sex!AC55/Sex!$F55</f>
        <v>1.8323901913230936E-3</v>
      </c>
      <c r="AD55">
        <f>Sex!AD55/Sex!$F55</f>
        <v>2.6946914578280787E-2</v>
      </c>
      <c r="AE55">
        <f>Sex!AE55/Sex!$F55</f>
        <v>8.3589329021827002E-2</v>
      </c>
      <c r="AF55">
        <f>Sex!AF55/Sex!$F55</f>
        <v>1.2934518997574779E-3</v>
      </c>
      <c r="AG55">
        <f>Sex!AG55/Sex!$F55</f>
        <v>0.20296416060361089</v>
      </c>
      <c r="AH55">
        <f>Sex!AH55/Sex!$F55</f>
        <v>0.19046079223928861</v>
      </c>
      <c r="AI55">
        <f>Sex!AI55/Sex!$F55</f>
        <v>8.0840743734842356E-4</v>
      </c>
      <c r="AJ55">
        <f>Sex!AJ55/Sex!$F55</f>
        <v>6.0361088655348965E-3</v>
      </c>
      <c r="AK55">
        <f>Sex!AK55/Sex!$F55</f>
        <v>0.17316087308003233</v>
      </c>
      <c r="AL55">
        <f>Sex!AL55/Sex!$F55</f>
        <v>7.8523309081110215E-2</v>
      </c>
      <c r="AM55">
        <f>Sex!AM55/Sex!$F55</f>
        <v>1.2395580706009162E-3</v>
      </c>
      <c r="AN55">
        <f>Sex!AN55/Sex!$F55</f>
        <v>2.6946914578280787E-2</v>
      </c>
      <c r="AO55">
        <f>Sex!AO55/Sex!$F55</f>
        <v>2.1557531662624628E-3</v>
      </c>
      <c r="AP55">
        <f>Sex!AP55/Sex!$F55</f>
        <v>2.4252223120452707E-2</v>
      </c>
      <c r="AQ55">
        <f>Sex!AQ55/Sex!$F55</f>
        <v>4.3707895445971437E-2</v>
      </c>
      <c r="AR55">
        <f>Sex!AR55/Sex!$F55</f>
        <v>4.354621395850175E-2</v>
      </c>
      <c r="AS55">
        <f>Sex!AS55/Sex!$F55</f>
        <v>8.7846941525195361E-3</v>
      </c>
      <c r="AT55">
        <f>Sex!AT55/Sex!$F55</f>
        <v>1.9940716787927781E-3</v>
      </c>
      <c r="AU55">
        <f>Sex!AU55/Sex!$F55</f>
        <v>8.3373753705200754E-2</v>
      </c>
      <c r="AV55">
        <f>Sex!AV55/Sex!$F55</f>
        <v>1.8647264888170305E-2</v>
      </c>
      <c r="AW55">
        <f>Sex!AW55/Sex!$F55</f>
        <v>1.4551333872271624E-3</v>
      </c>
      <c r="AX55">
        <f>Sex!AX55/Sex!$F55</f>
        <v>1.2934518997574777E-2</v>
      </c>
      <c r="AY55">
        <f>Sex!AY55/Sex!$F55</f>
        <v>1.0239827539746699E-2</v>
      </c>
      <c r="AZ55">
        <f>Sex!AZ55/Sex!$F55</f>
        <v>2.1557531662624628E-3</v>
      </c>
      <c r="BA55">
        <f>Sex!BA55/Sex!$F55</f>
        <v>6.2624629479924546E-2</v>
      </c>
      <c r="BB55">
        <f>Sex!BB55/Sex!$F55</f>
        <v>5.4378873618970626E-2</v>
      </c>
      <c r="BC55">
        <f>Sex!BC55/Sex!$F55</f>
        <v>3.7725680409593103E-4</v>
      </c>
    </row>
    <row r="56" spans="1:55">
      <c r="A56" s="1">
        <v>1118</v>
      </c>
      <c r="B56" s="1" t="s">
        <v>32</v>
      </c>
      <c r="C56" t="s">
        <v>201</v>
      </c>
      <c r="D56">
        <v>122549</v>
      </c>
      <c r="E56">
        <v>120601</v>
      </c>
      <c r="F56">
        <v>112566</v>
      </c>
      <c r="G56">
        <f>Sex!G56/Sex!$F56</f>
        <v>0.73427144963843438</v>
      </c>
      <c r="H56">
        <f>Sex!H56/Sex!$F56</f>
        <v>2.9937991933621164E-3</v>
      </c>
      <c r="I56">
        <f>Sex!I56/Sex!$F56</f>
        <v>2.9849155162304779E-3</v>
      </c>
      <c r="J56">
        <f>Sex!J56/Sex!$F56</f>
        <v>2.7805909422027966E-3</v>
      </c>
      <c r="K56">
        <f>Sex!K56/Sex!$F56</f>
        <v>2.7539399108078818E-3</v>
      </c>
      <c r="L56">
        <f>Sex!L56/Sex!$F56</f>
        <v>2.7539399108078818E-3</v>
      </c>
      <c r="M56">
        <f>Sex!M56/Sex!$F56</f>
        <v>8.1729829611072616E-4</v>
      </c>
      <c r="N56">
        <f>Sex!N56/Sex!$F56</f>
        <v>1.2970168612191958E-3</v>
      </c>
      <c r="O56">
        <f>Sex!O56/Sex!$F56</f>
        <v>3.5534708526553308E-5</v>
      </c>
      <c r="P56">
        <f>Sex!P56/Sex!$F56</f>
        <v>8.8836771316383269E-6</v>
      </c>
      <c r="Q56">
        <f>Sex!Q56/Sex!$F56</f>
        <v>0.22040402963594691</v>
      </c>
      <c r="R56">
        <f>Sex!R56/Sex!$F56</f>
        <v>3.8137625926123339E-2</v>
      </c>
      <c r="S56">
        <f>Sex!S56/Sex!$F56</f>
        <v>0.17607448074907164</v>
      </c>
      <c r="T56">
        <f>Sex!T56/Sex!$F56</f>
        <v>6.2185739921468298E-3</v>
      </c>
      <c r="U56">
        <f>Sex!U56/Sex!$F56</f>
        <v>4.6994652026366756E-3</v>
      </c>
      <c r="V56">
        <f>Sex!V56/Sex!$F56</f>
        <v>1.927757937565517E-2</v>
      </c>
      <c r="W56">
        <f>Sex!W56/Sex!$F56</f>
        <v>5.4323685659968375E-2</v>
      </c>
      <c r="X56">
        <f>Sex!X56/Sex!$F56</f>
        <v>1.7465309240800954E-2</v>
      </c>
      <c r="Y56">
        <f>Sex!Y56/Sex!$F56</f>
        <v>1.6585825204768759E-2</v>
      </c>
      <c r="Z56">
        <f>Sex!Z56/Sex!$F56</f>
        <v>3.3118348346747685E-2</v>
      </c>
      <c r="AA56">
        <f>Sex!AA56/Sex!$F56</f>
        <v>5.0814633192971231E-3</v>
      </c>
      <c r="AB56">
        <f>Sex!AB56/Sex!$F56</f>
        <v>2.5211875699589575E-2</v>
      </c>
      <c r="AC56">
        <f>Sex!AC56/Sex!$F56</f>
        <v>2.4696622425954551E-3</v>
      </c>
      <c r="AD56">
        <f>Sex!AD56/Sex!$F56</f>
        <v>2.0006040900449513E-2</v>
      </c>
      <c r="AE56">
        <f>Sex!AE56/Sex!$F56</f>
        <v>7.7145852211147239E-2</v>
      </c>
      <c r="AF56">
        <f>Sex!AF56/Sex!$F56</f>
        <v>3.9177016150525028E-3</v>
      </c>
      <c r="AG56">
        <f>Sex!AG56/Sex!$F56</f>
        <v>0.50135031892400905</v>
      </c>
      <c r="AH56">
        <f>Sex!AH56/Sex!$F56</f>
        <v>0.47297585416555621</v>
      </c>
      <c r="AI56">
        <f>Sex!AI56/Sex!$F56</f>
        <v>9.2390242169038605E-4</v>
      </c>
      <c r="AJ56">
        <f>Sex!AJ56/Sex!$F56</f>
        <v>4.9748591937174636E-4</v>
      </c>
      <c r="AK56">
        <f>Sex!AK56/Sex!$F56</f>
        <v>0.46745020698967715</v>
      </c>
      <c r="AL56">
        <f>Sex!AL56/Sex!$F56</f>
        <v>0.2923884654336123</v>
      </c>
      <c r="AM56">
        <f>Sex!AM56/Sex!$F56</f>
        <v>1.4480393724570473E-3</v>
      </c>
      <c r="AN56">
        <f>Sex!AN56/Sex!$F56</f>
        <v>0.13637332764777996</v>
      </c>
      <c r="AO56">
        <f>Sex!AO56/Sex!$F56</f>
        <v>6.0417888172272269E-2</v>
      </c>
      <c r="AP56">
        <f>Sex!AP56/Sex!$F56</f>
        <v>6.6858554092710049E-2</v>
      </c>
      <c r="AQ56">
        <f>Sex!AQ56/Sex!$F56</f>
        <v>0.13157614199669526</v>
      </c>
      <c r="AR56">
        <f>Sex!AR56/Sex!$F56</f>
        <v>0.1293108043281275</v>
      </c>
      <c r="AS56">
        <f>Sex!AS56/Sex!$F56</f>
        <v>1.1193433185864294E-2</v>
      </c>
      <c r="AT56">
        <f>Sex!AT56/Sex!$F56</f>
        <v>3.473517758470586E-3</v>
      </c>
      <c r="AU56">
        <f>Sex!AU56/Sex!$F56</f>
        <v>0.13918945329850932</v>
      </c>
      <c r="AV56">
        <f>Sex!AV56/Sex!$F56</f>
        <v>1.6434802693530905E-2</v>
      </c>
      <c r="AW56">
        <f>Sex!AW56/Sex!$F56</f>
        <v>2.2564539914361353E-3</v>
      </c>
      <c r="AX56">
        <f>Sex!AX56/Sex!$F56</f>
        <v>7.2828385125171008E-2</v>
      </c>
      <c r="AY56">
        <f>Sex!AY56/Sex!$F56</f>
        <v>8.2973544409501981E-3</v>
      </c>
      <c r="AZ56">
        <f>Sex!AZ56/Sex!$F56</f>
        <v>6.0799886288932715E-2</v>
      </c>
      <c r="BA56">
        <f>Sex!BA56/Sex!$F56</f>
        <v>5.795710960680845E-2</v>
      </c>
      <c r="BB56">
        <f>Sex!BB56/Sex!$F56</f>
        <v>5.0308263596467853E-2</v>
      </c>
      <c r="BC56">
        <f>Sex!BC56/Sex!$F56</f>
        <v>3.1092869960734149E-4</v>
      </c>
    </row>
    <row r="57" spans="1:55">
      <c r="A57" s="1">
        <v>1121</v>
      </c>
      <c r="B57" s="1" t="s">
        <v>32</v>
      </c>
      <c r="C57" t="s">
        <v>202</v>
      </c>
      <c r="D57">
        <v>205943</v>
      </c>
      <c r="E57">
        <v>200135</v>
      </c>
      <c r="F57">
        <v>194780</v>
      </c>
      <c r="G57">
        <f>Sex!G57/Sex!$F57</f>
        <v>0.72617311838997844</v>
      </c>
      <c r="H57">
        <f>Sex!H57/Sex!$F57</f>
        <v>1.0267994660642776E-3</v>
      </c>
      <c r="I57">
        <f>Sex!I57/Sex!$F57</f>
        <v>1.0267994660642776E-3</v>
      </c>
      <c r="J57">
        <f>Sex!J57/Sex!$F57</f>
        <v>9.3438751411849263E-4</v>
      </c>
      <c r="K57">
        <f>Sex!K57/Sex!$F57</f>
        <v>9.2925351678817129E-4</v>
      </c>
      <c r="L57">
        <f>Sex!L57/Sex!$F57</f>
        <v>9.1898552212752848E-4</v>
      </c>
      <c r="M57">
        <f>Sex!M57/Sex!$F57</f>
        <v>3.7991580244378274E-4</v>
      </c>
      <c r="N57">
        <f>Sex!N57/Sex!$F57</f>
        <v>3.4911181846185437E-4</v>
      </c>
      <c r="O57">
        <f>Sex!O57/Sex!$F57</f>
        <v>0</v>
      </c>
      <c r="P57">
        <f>Sex!P57/Sex!$F57</f>
        <v>3.080398398192833E-5</v>
      </c>
      <c r="Q57">
        <f>Sex!Q57/Sex!$F57</f>
        <v>0.37595749050210492</v>
      </c>
      <c r="R57">
        <f>Sex!R57/Sex!$F57</f>
        <v>7.3411027826265532E-2</v>
      </c>
      <c r="S57">
        <f>Sex!S57/Sex!$F57</f>
        <v>0.29754594927610639</v>
      </c>
      <c r="T57">
        <f>Sex!T57/Sex!$F57</f>
        <v>1.386692678919807E-2</v>
      </c>
      <c r="U57">
        <f>Sex!U57/Sex!$F57</f>
        <v>7.8550159153917241E-3</v>
      </c>
      <c r="V57">
        <f>Sex!V57/Sex!$F57</f>
        <v>2.8201047335455386E-2</v>
      </c>
      <c r="W57">
        <f>Sex!W57/Sex!$F57</f>
        <v>0.1403942909949687</v>
      </c>
      <c r="X57">
        <f>Sex!X57/Sex!$F57</f>
        <v>4.4583632816510933E-2</v>
      </c>
      <c r="Y57">
        <f>Sex!Y57/Sex!$F57</f>
        <v>4.2278468015196635E-2</v>
      </c>
      <c r="Z57">
        <f>Sex!Z57/Sex!$F57</f>
        <v>2.8704179073826882E-2</v>
      </c>
      <c r="AA57">
        <f>Sex!AA57/Sex!$F57</f>
        <v>3.2395523154327959E-3</v>
      </c>
      <c r="AB57">
        <f>Sex!AB57/Sex!$F57</f>
        <v>2.3467501796899066E-2</v>
      </c>
      <c r="AC57">
        <f>Sex!AC57/Sex!$F57</f>
        <v>8.2657357018174355E-3</v>
      </c>
      <c r="AD57">
        <f>Sex!AD57/Sex!$F57</f>
        <v>1.1803059862408871E-2</v>
      </c>
      <c r="AE57">
        <f>Sex!AE57/Sex!$F57</f>
        <v>0.11354861895471814</v>
      </c>
      <c r="AF57">
        <f>Sex!AF57/Sex!$F57</f>
        <v>8.6764554882431456E-4</v>
      </c>
      <c r="AG57">
        <f>Sex!AG57/Sex!$F57</f>
        <v>0.34314611356402097</v>
      </c>
      <c r="AH57">
        <f>Sex!AH57/Sex!$F57</f>
        <v>0.3272666598213369</v>
      </c>
      <c r="AI57">
        <f>Sex!AI57/Sex!$F57</f>
        <v>3.8504979977410414E-4</v>
      </c>
      <c r="AJ57">
        <f>Sex!AJ57/Sex!$F57</f>
        <v>6.930896395933874E-4</v>
      </c>
      <c r="AK57">
        <f>Sex!AK57/Sex!$F57</f>
        <v>0.32378067563404866</v>
      </c>
      <c r="AL57">
        <f>Sex!AL57/Sex!$F57</f>
        <v>0.15064174966629018</v>
      </c>
      <c r="AM57">
        <f>Sex!AM57/Sex!$F57</f>
        <v>1.9098470068795565E-3</v>
      </c>
      <c r="AN57">
        <f>Sex!AN57/Sex!$F57</f>
        <v>5.5883560940548312E-2</v>
      </c>
      <c r="AO57">
        <f>Sex!AO57/Sex!$F57</f>
        <v>1.113050621213677E-2</v>
      </c>
      <c r="AP57">
        <f>Sex!AP57/Sex!$F57</f>
        <v>4.1939624191395422E-2</v>
      </c>
      <c r="AQ57">
        <f>Sex!AQ57/Sex!$F57</f>
        <v>7.9489680665366061E-2</v>
      </c>
      <c r="AR57">
        <f>Sex!AR57/Sex!$F57</f>
        <v>7.7004825957490503E-2</v>
      </c>
      <c r="AS57">
        <f>Sex!AS57/Sex!$F57</f>
        <v>2.6044768456720404E-2</v>
      </c>
      <c r="AT57">
        <f>Sex!AT57/Sex!$F57</f>
        <v>3.6092001232159361E-3</v>
      </c>
      <c r="AU57">
        <f>Sex!AU57/Sex!$F57</f>
        <v>0.15744429612896602</v>
      </c>
      <c r="AV57">
        <f>Sex!AV57/Sex!$F57</f>
        <v>3.1276311736317897E-2</v>
      </c>
      <c r="AW57">
        <f>Sex!AW57/Sex!$F57</f>
        <v>3.3165622753876167E-3</v>
      </c>
      <c r="AX57">
        <f>Sex!AX57/Sex!$F57</f>
        <v>8.6405175069308969E-3</v>
      </c>
      <c r="AY57">
        <f>Sex!AY57/Sex!$F57</f>
        <v>6.3456207002772361E-3</v>
      </c>
      <c r="AZ57">
        <f>Sex!AZ57/Sex!$F57</f>
        <v>2.063866926789198E-3</v>
      </c>
      <c r="BA57">
        <f>Sex!BA57/Sex!$F57</f>
        <v>0.14319745353732416</v>
      </c>
      <c r="BB57">
        <f>Sex!BB57/Sex!$F57</f>
        <v>7.7898141492966422E-2</v>
      </c>
      <c r="BC57">
        <f>Sex!BC57/Sex!$F57</f>
        <v>1.6428791457028444E-4</v>
      </c>
    </row>
    <row r="58" spans="1:55">
      <c r="A58" s="1">
        <v>1145</v>
      </c>
      <c r="B58" s="1" t="s">
        <v>32</v>
      </c>
      <c r="C58" t="s">
        <v>203</v>
      </c>
      <c r="D58">
        <v>90582</v>
      </c>
      <c r="E58">
        <v>82483</v>
      </c>
      <c r="F58">
        <v>79796</v>
      </c>
      <c r="G58">
        <f>Sex!G58/Sex!$F58</f>
        <v>0.52393603689407986</v>
      </c>
      <c r="H58">
        <f>Sex!H58/Sex!$F58</f>
        <v>4.5115043360569448E-3</v>
      </c>
      <c r="I58">
        <f>Sex!I58/Sex!$F58</f>
        <v>4.4613765101007572E-3</v>
      </c>
      <c r="J58">
        <f>Sex!J58/Sex!$F58</f>
        <v>4.0979497719183921E-3</v>
      </c>
      <c r="K58">
        <f>Sex!K58/Sex!$F58</f>
        <v>4.0728858589402974E-3</v>
      </c>
      <c r="L58">
        <f>Sex!L58/Sex!$F58</f>
        <v>4.0603539024512509E-3</v>
      </c>
      <c r="M58">
        <f>Sex!M58/Sex!$F58</f>
        <v>1.3158554313499424E-3</v>
      </c>
      <c r="N58">
        <f>Sex!N58/Sex!$F58</f>
        <v>2.1053686901599078E-3</v>
      </c>
      <c r="O58">
        <f>Sex!O58/Sex!$F58</f>
        <v>8.7723695423329491E-5</v>
      </c>
      <c r="P58">
        <f>Sex!P58/Sex!$F58</f>
        <v>6.2659782445235351E-5</v>
      </c>
      <c r="Q58">
        <f>Sex!Q58/Sex!$F58</f>
        <v>0.26795829364880447</v>
      </c>
      <c r="R58">
        <f>Sex!R58/Sex!$F58</f>
        <v>8.2084315003258315E-3</v>
      </c>
      <c r="S58">
        <f>Sex!S58/Sex!$F58</f>
        <v>0.25417314151085268</v>
      </c>
      <c r="T58">
        <f>Sex!T58/Sex!$F58</f>
        <v>1.5577221915885509E-2</v>
      </c>
      <c r="U58">
        <f>Sex!U58/Sex!$F58</f>
        <v>2.3184119504737078E-2</v>
      </c>
      <c r="V58">
        <f>Sex!V58/Sex!$F58</f>
        <v>2.7983858840042106E-2</v>
      </c>
      <c r="W58">
        <f>Sex!W58/Sex!$F58</f>
        <v>0.11029374906010327</v>
      </c>
      <c r="X58">
        <f>Sex!X58/Sex!$F58</f>
        <v>2.5314552107875081E-2</v>
      </c>
      <c r="Y58">
        <f>Sex!Y58/Sex!$F58</f>
        <v>2.4625294500977491E-2</v>
      </c>
      <c r="Z58">
        <f>Sex!Z58/Sex!$F58</f>
        <v>4.1982054238307684E-2</v>
      </c>
      <c r="AA58">
        <f>Sex!AA58/Sex!$F58</f>
        <v>4.6117599879693218E-3</v>
      </c>
      <c r="AB58">
        <f>Sex!AB58/Sex!$F58</f>
        <v>2.6830918843049778E-2</v>
      </c>
      <c r="AC58">
        <f>Sex!AC58/Sex!$F58</f>
        <v>2.3058799939846609E-3</v>
      </c>
      <c r="AD58">
        <f>Sex!AD58/Sex!$F58</f>
        <v>2.2507393854328539E-2</v>
      </c>
      <c r="AE58">
        <f>Sex!AE58/Sex!$F58</f>
        <v>8.4365131084264869E-2</v>
      </c>
      <c r="AF58">
        <f>Sex!AF58/Sex!$F58</f>
        <v>3.1329891222617675E-4</v>
      </c>
      <c r="AG58">
        <f>Sex!AG58/Sex!$F58</f>
        <v>0.24499974936087021</v>
      </c>
      <c r="AH58">
        <f>Sex!AH58/Sex!$F58</f>
        <v>0.23514963156047922</v>
      </c>
      <c r="AI58">
        <f>Sex!AI58/Sex!$F58</f>
        <v>2.7181813624743093E-2</v>
      </c>
      <c r="AJ58">
        <f>Sex!AJ58/Sex!$F58</f>
        <v>1.3822748007418919E-2</v>
      </c>
      <c r="AK58">
        <f>Sex!AK58/Sex!$F58</f>
        <v>0.17136197303122963</v>
      </c>
      <c r="AL58">
        <f>Sex!AL58/Sex!$F58</f>
        <v>9.8024963657326186E-2</v>
      </c>
      <c r="AM58">
        <f>Sex!AM58/Sex!$F58</f>
        <v>5.012782595618828E-4</v>
      </c>
      <c r="AN58">
        <f>Sex!AN58/Sex!$F58</f>
        <v>1.36848964860394E-2</v>
      </c>
      <c r="AO58">
        <f>Sex!AO58/Sex!$F58</f>
        <v>3.5340117299112739E-3</v>
      </c>
      <c r="AP58">
        <f>Sex!AP58/Sex!$F58</f>
        <v>9.173392149982456E-3</v>
      </c>
      <c r="AQ58">
        <f>Sex!AQ58/Sex!$F58</f>
        <v>8.1069226527645491E-2</v>
      </c>
      <c r="AR58">
        <f>Sex!AR58/Sex!$F58</f>
        <v>7.8487643490901801E-2</v>
      </c>
      <c r="AS58">
        <f>Sex!AS58/Sex!$F58</f>
        <v>1.3308937791367988E-2</v>
      </c>
      <c r="AT58">
        <f>Sex!AT58/Sex!$F58</f>
        <v>1.1153441275251893E-3</v>
      </c>
      <c r="AU58">
        <f>Sex!AU58/Sex!$F58</f>
        <v>6.1080755927615422E-2</v>
      </c>
      <c r="AV58">
        <f>Sex!AV58/Sex!$F58</f>
        <v>1.1604591708857586E-2</v>
      </c>
      <c r="AW58">
        <f>Sex!AW58/Sex!$F58</f>
        <v>7.3938543285377708E-4</v>
      </c>
      <c r="AX58">
        <f>Sex!AX58/Sex!$F58</f>
        <v>2.3810717329189432E-3</v>
      </c>
      <c r="AY58">
        <f>Sex!AY58/Sex!$F58</f>
        <v>1.4035791267732719E-3</v>
      </c>
      <c r="AZ58">
        <f>Sex!AZ58/Sex!$F58</f>
        <v>8.5217304125520077E-4</v>
      </c>
      <c r="BA58">
        <f>Sex!BA58/Sex!$F58</f>
        <v>5.7684595719083666E-2</v>
      </c>
      <c r="BB58">
        <f>Sex!BB58/Sex!$F58</f>
        <v>4.120507293598677E-2</v>
      </c>
      <c r="BC58">
        <f>Sex!BC58/Sex!$F58</f>
        <v>4.3861847711664745E-4</v>
      </c>
    </row>
    <row r="59" spans="1:55">
      <c r="A59" s="1">
        <v>1146</v>
      </c>
      <c r="B59" s="1" t="s">
        <v>32</v>
      </c>
      <c r="C59" t="s">
        <v>204</v>
      </c>
      <c r="D59">
        <v>120485</v>
      </c>
      <c r="E59">
        <v>116000</v>
      </c>
      <c r="F59">
        <v>110462</v>
      </c>
      <c r="G59">
        <f>Sex!G59/Sex!$F59</f>
        <v>0.62471257083884046</v>
      </c>
      <c r="H59">
        <f>Sex!H59/Sex!$F59</f>
        <v>1.4575148014701889E-3</v>
      </c>
      <c r="I59">
        <f>Sex!I59/Sex!$F59</f>
        <v>1.4213032536075755E-3</v>
      </c>
      <c r="J59">
        <f>Sex!J59/Sex!$F59</f>
        <v>1.385091705744962E-3</v>
      </c>
      <c r="K59">
        <f>Sex!K59/Sex!$F59</f>
        <v>1.385091705744962E-3</v>
      </c>
      <c r="L59">
        <f>Sex!L59/Sex!$F59</f>
        <v>1.385091705744962E-3</v>
      </c>
      <c r="M59">
        <f>Sex!M59/Sex!$F59</f>
        <v>9.0528869656533468E-4</v>
      </c>
      <c r="N59">
        <f>Sex!N59/Sex!$F59</f>
        <v>2.8063949593525375E-4</v>
      </c>
      <c r="O59">
        <f>Sex!O59/Sex!$F59</f>
        <v>9.0528869656533464E-6</v>
      </c>
      <c r="P59">
        <f>Sex!P59/Sex!$F59</f>
        <v>0</v>
      </c>
      <c r="Q59">
        <f>Sex!Q59/Sex!$F59</f>
        <v>0.41746482953413844</v>
      </c>
      <c r="R59">
        <f>Sex!R59/Sex!$F59</f>
        <v>2.5067444007894117E-2</v>
      </c>
      <c r="S59">
        <f>Sex!S59/Sex!$F59</f>
        <v>0.38516412884068729</v>
      </c>
      <c r="T59">
        <f>Sex!T59/Sex!$F59</f>
        <v>1.5724864659339862E-2</v>
      </c>
      <c r="U59">
        <f>Sex!U59/Sex!$F59</f>
        <v>1.3959551701037461E-2</v>
      </c>
      <c r="V59">
        <f>Sex!V59/Sex!$F59</f>
        <v>1.4149662327316181E-2</v>
      </c>
      <c r="W59">
        <f>Sex!W59/Sex!$F59</f>
        <v>0.2193514511777806</v>
      </c>
      <c r="X59">
        <f>Sex!X59/Sex!$F59</f>
        <v>9.4647933225905742E-2</v>
      </c>
      <c r="Y59">
        <f>Sex!Y59/Sex!$F59</f>
        <v>9.338052905071427E-2</v>
      </c>
      <c r="Z59">
        <f>Sex!Z59/Sex!$F59</f>
        <v>5.6308956926363819E-2</v>
      </c>
      <c r="AA59">
        <f>Sex!AA59/Sex!$F59</f>
        <v>5.6490014665676888E-3</v>
      </c>
      <c r="AB59">
        <f>Sex!AB59/Sex!$F59</f>
        <v>4.1163477032825767E-2</v>
      </c>
      <c r="AC59">
        <f>Sex!AC59/Sex!$F59</f>
        <v>1.3488801578823487E-3</v>
      </c>
      <c r="AD59">
        <f>Sex!AD59/Sex!$F59</f>
        <v>3.5134254313700639E-2</v>
      </c>
      <c r="AE59">
        <f>Sex!AE59/Sex!$F59</f>
        <v>7.0983686697687898E-2</v>
      </c>
      <c r="AF59">
        <f>Sex!AF59/Sex!$F59</f>
        <v>7.4233673118357442E-4</v>
      </c>
      <c r="AG59">
        <f>Sex!AG59/Sex!$F59</f>
        <v>0.19872897467002226</v>
      </c>
      <c r="AH59">
        <f>Sex!AH59/Sex!$F59</f>
        <v>0.18220745595770491</v>
      </c>
      <c r="AI59">
        <f>Sex!AI59/Sex!$F59</f>
        <v>2.3628034980355235E-3</v>
      </c>
      <c r="AJ59">
        <f>Sex!AJ59/Sex!$F59</f>
        <v>1.9192120367185095E-3</v>
      </c>
      <c r="AK59">
        <f>Sex!AK59/Sex!$F59</f>
        <v>0.16994984700621027</v>
      </c>
      <c r="AL59">
        <f>Sex!AL59/Sex!$F59</f>
        <v>6.2854194202531188E-2</v>
      </c>
      <c r="AM59">
        <f>Sex!AM59/Sex!$F59</f>
        <v>3.4400970469482717E-4</v>
      </c>
      <c r="AN59">
        <f>Sex!AN59/Sex!$F59</f>
        <v>3.2871032572287302E-2</v>
      </c>
      <c r="AO59">
        <f>Sex!AO59/Sex!$F59</f>
        <v>1.1660118411761511E-2</v>
      </c>
      <c r="AP59">
        <f>Sex!AP59/Sex!$F59</f>
        <v>1.8947692419112455E-2</v>
      </c>
      <c r="AQ59">
        <f>Sex!AQ59/Sex!$F59</f>
        <v>2.6733175209574335E-2</v>
      </c>
      <c r="AR59">
        <f>Sex!AR59/Sex!$F59</f>
        <v>2.6208107765566438E-2</v>
      </c>
      <c r="AS59">
        <f>Sex!AS59/Sex!$F59</f>
        <v>9.8223823577338817E-3</v>
      </c>
      <c r="AT59">
        <f>Sex!AT59/Sex!$F59</f>
        <v>4.6803425612427802E-3</v>
      </c>
      <c r="AU59">
        <f>Sex!AU59/Sex!$F59</f>
        <v>9.8667415038655823E-2</v>
      </c>
      <c r="AV59">
        <f>Sex!AV59/Sex!$F59</f>
        <v>2.3736669623943076E-2</v>
      </c>
      <c r="AW59">
        <f>Sex!AW59/Sex!$F59</f>
        <v>4.9790878311093412E-3</v>
      </c>
      <c r="AX59">
        <f>Sex!AX59/Sex!$F59</f>
        <v>3.0182325143488259E-2</v>
      </c>
      <c r="AY59">
        <f>Sex!AY59/Sex!$F59</f>
        <v>9.4874255400047083E-3</v>
      </c>
      <c r="AZ59">
        <f>Sex!AZ59/Sex!$F59</f>
        <v>1.9146855932356828E-2</v>
      </c>
      <c r="BA59">
        <f>Sex!BA59/Sex!$F59</f>
        <v>6.4203074360413531E-2</v>
      </c>
      <c r="BB59">
        <f>Sex!BB59/Sex!$F59</f>
        <v>3.4020749216925279E-2</v>
      </c>
      <c r="BC59">
        <f>Sex!BC59/Sex!$F59</f>
        <v>2.6253372200394704E-4</v>
      </c>
    </row>
    <row r="60" spans="1:55">
      <c r="A60" s="1">
        <v>1149</v>
      </c>
      <c r="B60" s="1" t="s">
        <v>32</v>
      </c>
      <c r="C60" t="s">
        <v>205</v>
      </c>
      <c r="D60">
        <v>26524</v>
      </c>
      <c r="E60">
        <v>24333</v>
      </c>
      <c r="F60">
        <v>22879</v>
      </c>
      <c r="G60">
        <f>Sex!G60/Sex!$F60</f>
        <v>0.6812360680099655</v>
      </c>
      <c r="H60">
        <f>Sex!H60/Sex!$F60</f>
        <v>2.4039512216443028E-3</v>
      </c>
      <c r="I60">
        <f>Sex!I60/Sex!$F60</f>
        <v>2.4039512216443028E-3</v>
      </c>
      <c r="J60">
        <f>Sex!J60/Sex!$F60</f>
        <v>2.4039512216443028E-3</v>
      </c>
      <c r="K60">
        <f>Sex!K60/Sex!$F60</f>
        <v>2.4039512216443028E-3</v>
      </c>
      <c r="L60">
        <f>Sex!L60/Sex!$F60</f>
        <v>2.4039512216443028E-3</v>
      </c>
      <c r="M60">
        <f>Sex!M60/Sex!$F60</f>
        <v>1.3112461208968924E-3</v>
      </c>
      <c r="N60">
        <f>Sex!N60/Sex!$F60</f>
        <v>9.6158048865772102E-4</v>
      </c>
      <c r="O60">
        <f>Sex!O60/Sex!$F60</f>
        <v>0</v>
      </c>
      <c r="P60">
        <f>Sex!P60/Sex!$F60</f>
        <v>0</v>
      </c>
      <c r="Q60">
        <f>Sex!Q60/Sex!$F60</f>
        <v>0.3436776082870755</v>
      </c>
      <c r="R60">
        <f>Sex!R60/Sex!$F60</f>
        <v>5.3804799160802483E-2</v>
      </c>
      <c r="S60">
        <f>Sex!S60/Sex!$F60</f>
        <v>0.27947025656715768</v>
      </c>
      <c r="T60">
        <f>Sex!T60/Sex!$F60</f>
        <v>2.3209056339874995E-2</v>
      </c>
      <c r="U60">
        <f>Sex!U60/Sex!$F60</f>
        <v>1.8881944140915249E-2</v>
      </c>
      <c r="V60">
        <f>Sex!V60/Sex!$F60</f>
        <v>3.1688447921674898E-2</v>
      </c>
      <c r="W60">
        <f>Sex!W60/Sex!$F60</f>
        <v>0.10319506971458543</v>
      </c>
      <c r="X60">
        <f>Sex!X60/Sex!$F60</f>
        <v>1.2282005332400892E-2</v>
      </c>
      <c r="Y60">
        <f>Sex!Y60/Sex!$F60</f>
        <v>1.1538965863892652E-2</v>
      </c>
      <c r="Z60">
        <f>Sex!Z60/Sex!$F60</f>
        <v>2.4214345032562611E-2</v>
      </c>
      <c r="AA60">
        <f>Sex!AA60/Sex!$F60</f>
        <v>3.0158660780628525E-3</v>
      </c>
      <c r="AB60">
        <f>Sex!AB60/Sex!$F60</f>
        <v>1.8007780060317322E-2</v>
      </c>
      <c r="AC60">
        <f>Sex!AC60/Sex!$F60</f>
        <v>3.5403645264216093E-3</v>
      </c>
      <c r="AD60">
        <f>Sex!AD60/Sex!$F60</f>
        <v>1.2544254556580271E-2</v>
      </c>
      <c r="AE60">
        <f>Sex!AE60/Sex!$F60</f>
        <v>0.14200795489313345</v>
      </c>
      <c r="AF60">
        <f>Sex!AF60/Sex!$F60</f>
        <v>1.3112461208968922E-4</v>
      </c>
      <c r="AG60">
        <f>Sex!AG60/Sex!$F60</f>
        <v>0.33073997989422615</v>
      </c>
      <c r="AH60">
        <f>Sex!AH60/Sex!$F60</f>
        <v>0.26391013593251456</v>
      </c>
      <c r="AI60">
        <f>Sex!AI60/Sex!$F60</f>
        <v>7.3429782770225976E-3</v>
      </c>
      <c r="AJ60">
        <f>Sex!AJ60/Sex!$F60</f>
        <v>4.9827352594081905E-3</v>
      </c>
      <c r="AK60">
        <f>Sex!AK60/Sex!$F60</f>
        <v>0.23580576074129114</v>
      </c>
      <c r="AL60">
        <f>Sex!AL60/Sex!$F60</f>
        <v>0.14113379081253552</v>
      </c>
      <c r="AM60">
        <f>Sex!AM60/Sex!$F60</f>
        <v>1.923160977315442E-3</v>
      </c>
      <c r="AN60">
        <f>Sex!AN60/Sex!$F60</f>
        <v>7.8499934437693958E-2</v>
      </c>
      <c r="AO60">
        <f>Sex!AO60/Sex!$F60</f>
        <v>2.8366624415402771E-2</v>
      </c>
      <c r="AP60">
        <f>Sex!AP60/Sex!$F60</f>
        <v>4.3664495825866512E-2</v>
      </c>
      <c r="AQ60">
        <f>Sex!AQ60/Sex!$F60</f>
        <v>5.4766379649460205E-2</v>
      </c>
      <c r="AR60">
        <f>Sex!AR60/Sex!$F60</f>
        <v>5.3673674548712795E-2</v>
      </c>
      <c r="AS60">
        <f>Sex!AS60/Sex!$F60</f>
        <v>1.8663403120765767E-2</v>
      </c>
      <c r="AT60">
        <f>Sex!AT60/Sex!$F60</f>
        <v>5.4635255037370515E-3</v>
      </c>
      <c r="AU60">
        <f>Sex!AU60/Sex!$F60</f>
        <v>6.3770269679618866E-2</v>
      </c>
      <c r="AV60">
        <f>Sex!AV60/Sex!$F60</f>
        <v>1.315616941299882E-2</v>
      </c>
      <c r="AW60">
        <f>Sex!AW60/Sex!$F60</f>
        <v>8.3045587656803183E-4</v>
      </c>
      <c r="AX60">
        <f>Sex!AX60/Sex!$F60</f>
        <v>4.414528607019538E-3</v>
      </c>
      <c r="AY60">
        <f>Sex!AY60/Sex!$F60</f>
        <v>2.666200445823681E-3</v>
      </c>
      <c r="AZ60">
        <f>Sex!AZ60/Sex!$F60</f>
        <v>1.4423707329865815E-3</v>
      </c>
      <c r="BA60">
        <f>Sex!BA60/Sex!$F60</f>
        <v>5.7738537523493158E-2</v>
      </c>
      <c r="BB60">
        <f>Sex!BB60/Sex!$F60</f>
        <v>3.9599632851086149E-2</v>
      </c>
      <c r="BC60">
        <f>Sex!BC60/Sex!$F60</f>
        <v>2.4039512216443028E-3</v>
      </c>
    </row>
    <row r="61" spans="1:55">
      <c r="A61" s="1">
        <v>1150</v>
      </c>
      <c r="B61" s="1" t="s">
        <v>32</v>
      </c>
      <c r="C61" t="s">
        <v>206</v>
      </c>
      <c r="D61">
        <v>130632</v>
      </c>
      <c r="E61">
        <v>125538</v>
      </c>
      <c r="F61">
        <v>119786</v>
      </c>
      <c r="G61">
        <f>Sex!G61/Sex!$F61</f>
        <v>0.55981500342277057</v>
      </c>
      <c r="H61">
        <f>Sex!H61/Sex!$F61</f>
        <v>3.7066101213831331E-3</v>
      </c>
      <c r="I61">
        <f>Sex!I61/Sex!$F61</f>
        <v>3.639824353430284E-3</v>
      </c>
      <c r="J61">
        <f>Sex!J61/Sex!$F61</f>
        <v>3.3392883976424625E-3</v>
      </c>
      <c r="K61">
        <f>Sex!K61/Sex!$F61</f>
        <v>3.3392883976424625E-3</v>
      </c>
      <c r="L61">
        <f>Sex!L61/Sex!$F61</f>
        <v>3.3142437346601441E-3</v>
      </c>
      <c r="M61">
        <f>Sex!M61/Sex!$F61</f>
        <v>9.767418563104203E-4</v>
      </c>
      <c r="N61">
        <f>Sex!N61/Sex!$F61</f>
        <v>1.9618319336149465E-3</v>
      </c>
      <c r="O61">
        <f>Sex!O61/Sex!$F61</f>
        <v>1.6696441988212313E-5</v>
      </c>
      <c r="P61">
        <f>Sex!P61/Sex!$F61</f>
        <v>8.3482209941061566E-6</v>
      </c>
      <c r="Q61">
        <f>Sex!Q61/Sex!$F61</f>
        <v>0.23170487369141635</v>
      </c>
      <c r="R61">
        <f>Sex!R61/Sex!$F61</f>
        <v>4.4245571268762628E-2</v>
      </c>
      <c r="S61">
        <f>Sex!S61/Sex!$F61</f>
        <v>0.17887733124071262</v>
      </c>
      <c r="T61">
        <f>Sex!T61/Sex!$F61</f>
        <v>7.5384435576778585E-3</v>
      </c>
      <c r="U61">
        <f>Sex!U61/Sex!$F61</f>
        <v>2.99701133688411E-3</v>
      </c>
      <c r="V61">
        <f>Sex!V61/Sex!$F61</f>
        <v>1.2822867446947056E-2</v>
      </c>
      <c r="W61">
        <f>Sex!W61/Sex!$F61</f>
        <v>6.8413671046699945E-2</v>
      </c>
      <c r="X61">
        <f>Sex!X61/Sex!$F61</f>
        <v>1.7314210341776166E-2</v>
      </c>
      <c r="Y61">
        <f>Sex!Y61/Sex!$F61</f>
        <v>1.6120414739618987E-2</v>
      </c>
      <c r="Z61">
        <f>Sex!Z61/Sex!$F61</f>
        <v>4.4262267710750841E-2</v>
      </c>
      <c r="AA61">
        <f>Sex!AA61/Sex!$F61</f>
        <v>1.0702419314444092E-2</v>
      </c>
      <c r="AB61">
        <f>Sex!AB61/Sex!$F61</f>
        <v>2.9869934716911826E-2</v>
      </c>
      <c r="AC61">
        <f>Sex!AC61/Sex!$F61</f>
        <v>2.0870552485265392E-3</v>
      </c>
      <c r="AD61">
        <f>Sex!AD61/Sex!$F61</f>
        <v>2.6864575159033611E-2</v>
      </c>
      <c r="AE61">
        <f>Sex!AE61/Sex!$F61</f>
        <v>4.9479905832067184E-2</v>
      </c>
      <c r="AF61">
        <f>Sex!AF61/Sex!$F61</f>
        <v>1.0936169502279065E-3</v>
      </c>
      <c r="AG61">
        <f>Sex!AG61/Sex!$F61</f>
        <v>0.31941963167648973</v>
      </c>
      <c r="AH61">
        <f>Sex!AH61/Sex!$F61</f>
        <v>0.28894027682700818</v>
      </c>
      <c r="AI61">
        <f>Sex!AI61/Sex!$F61</f>
        <v>1.5026797789391081E-3</v>
      </c>
      <c r="AJ61">
        <f>Sex!AJ61/Sex!$F61</f>
        <v>1.6779924198153373E-3</v>
      </c>
      <c r="AK61">
        <f>Sex!AK61/Sex!$F61</f>
        <v>0.28013290367822619</v>
      </c>
      <c r="AL61">
        <f>Sex!AL61/Sex!$F61</f>
        <v>0.11923764045881823</v>
      </c>
      <c r="AM61">
        <f>Sex!AM61/Sex!$F61</f>
        <v>2.4209840882907853E-4</v>
      </c>
      <c r="AN61">
        <f>Sex!AN61/Sex!$F61</f>
        <v>5.9489422804000471E-2</v>
      </c>
      <c r="AO61">
        <f>Sex!AO61/Sex!$F61</f>
        <v>1.5352378408161222E-2</v>
      </c>
      <c r="AP61">
        <f>Sex!AP61/Sex!$F61</f>
        <v>3.8385120130900105E-2</v>
      </c>
      <c r="AQ61">
        <f>Sex!AQ61/Sex!$F61</f>
        <v>5.2184729434157584E-2</v>
      </c>
      <c r="AR61">
        <f>Sex!AR61/Sex!$F61</f>
        <v>5.1708880837493532E-2</v>
      </c>
      <c r="AS61">
        <f>Sex!AS61/Sex!$F61</f>
        <v>1.2589117259112083E-2</v>
      </c>
      <c r="AT61">
        <f>Sex!AT61/Sex!$F61</f>
        <v>2.7716093700432438E-3</v>
      </c>
      <c r="AU61">
        <f>Sex!AU61/Sex!$F61</f>
        <v>0.14677007329738032</v>
      </c>
      <c r="AV61">
        <f>Sex!AV61/Sex!$F61</f>
        <v>4.80022707161104E-2</v>
      </c>
      <c r="AW61">
        <f>Sex!AW61/Sex!$F61</f>
        <v>5.1758970163458167E-3</v>
      </c>
      <c r="AX61">
        <f>Sex!AX61/Sex!$F61</f>
        <v>3.1873507755497306E-2</v>
      </c>
      <c r="AY61">
        <f>Sex!AY61/Sex!$F61</f>
        <v>1.0326749369709315E-2</v>
      </c>
      <c r="AZ61">
        <f>Sex!AZ61/Sex!$F61</f>
        <v>1.8733407910774214E-2</v>
      </c>
      <c r="BA61">
        <f>Sex!BA61/Sex!$F61</f>
        <v>0.11108977676857061</v>
      </c>
      <c r="BB61">
        <f>Sex!BB61/Sex!$F61</f>
        <v>9.264020837159602E-2</v>
      </c>
      <c r="BC61">
        <f>Sex!BC61/Sex!$F61</f>
        <v>6.1776835356385559E-4</v>
      </c>
    </row>
    <row r="62" spans="1:55">
      <c r="A62" s="1">
        <v>1154</v>
      </c>
      <c r="B62" s="1" t="s">
        <v>32</v>
      </c>
      <c r="C62" t="s">
        <v>208</v>
      </c>
      <c r="D62">
        <v>105939</v>
      </c>
      <c r="E62">
        <v>97892</v>
      </c>
      <c r="F62">
        <v>91684</v>
      </c>
      <c r="G62">
        <f>Sex!G62/Sex!$F62</f>
        <v>0.66018062039178049</v>
      </c>
      <c r="H62">
        <f>Sex!H62/Sex!$F62</f>
        <v>3.6538545438680684E-3</v>
      </c>
      <c r="I62">
        <f>Sex!I62/Sex!$F62</f>
        <v>3.5011561450198508E-3</v>
      </c>
      <c r="J62">
        <f>Sex!J62/Sex!$F62</f>
        <v>3.3593647746607913E-3</v>
      </c>
      <c r="K62">
        <f>Sex!K62/Sex!$F62</f>
        <v>3.3048296322149995E-3</v>
      </c>
      <c r="L62">
        <f>Sex!L62/Sex!$F62</f>
        <v>3.2939226037258409E-3</v>
      </c>
      <c r="M62">
        <f>Sex!M62/Sex!$F62</f>
        <v>1.1561450198507919E-3</v>
      </c>
      <c r="N62">
        <f>Sex!N62/Sex!$F62</f>
        <v>1.4615418175472274E-3</v>
      </c>
      <c r="O62">
        <f>Sex!O62/Sex!$F62</f>
        <v>2.1814056978316828E-5</v>
      </c>
      <c r="P62">
        <f>Sex!P62/Sex!$F62</f>
        <v>3.272108546747524E-5</v>
      </c>
      <c r="Q62">
        <f>Sex!Q62/Sex!$F62</f>
        <v>0.35116268923694427</v>
      </c>
      <c r="R62">
        <f>Sex!R62/Sex!$F62</f>
        <v>8.1628201212861573E-2</v>
      </c>
      <c r="S62">
        <f>Sex!S62/Sex!$F62</f>
        <v>0.2608306792897343</v>
      </c>
      <c r="T62">
        <f>Sex!T62/Sex!$F62</f>
        <v>1.5498887483094106E-2</v>
      </c>
      <c r="U62">
        <f>Sex!U62/Sex!$F62</f>
        <v>1.9021857685092274E-2</v>
      </c>
      <c r="V62">
        <f>Sex!V62/Sex!$F62</f>
        <v>4.1174032546573008E-2</v>
      </c>
      <c r="W62">
        <f>Sex!W62/Sex!$F62</f>
        <v>9.7487020636097904E-2</v>
      </c>
      <c r="X62">
        <f>Sex!X62/Sex!$F62</f>
        <v>2.0003490249116532E-2</v>
      </c>
      <c r="Y62">
        <f>Sex!Y62/Sex!$F62</f>
        <v>1.9643558308974303E-2</v>
      </c>
      <c r="Z62">
        <f>Sex!Z62/Sex!$F62</f>
        <v>4.7816412896470484E-2</v>
      </c>
      <c r="AA62">
        <f>Sex!AA62/Sex!$F62</f>
        <v>4.351904367174207E-3</v>
      </c>
      <c r="AB62">
        <f>Sex!AB62/Sex!$F62</f>
        <v>3.1128659308058113E-2</v>
      </c>
      <c r="AC62">
        <f>Sex!AC62/Sex!$F62</f>
        <v>6.1951921818419794E-3</v>
      </c>
      <c r="AD62">
        <f>Sex!AD62/Sex!$F62</f>
        <v>2.0745168186379302E-2</v>
      </c>
      <c r="AE62">
        <f>Sex!AE62/Sex!$F62</f>
        <v>9.5894594476680778E-2</v>
      </c>
      <c r="AF62">
        <f>Sex!AF62/Sex!$F62</f>
        <v>4.9081628201212864E-4</v>
      </c>
      <c r="AG62">
        <f>Sex!AG62/Sex!$F62</f>
        <v>0.29976877099602983</v>
      </c>
      <c r="AH62">
        <f>Sex!AH62/Sex!$F62</f>
        <v>0.2770712447100912</v>
      </c>
      <c r="AI62">
        <f>Sex!AI62/Sex!$F62</f>
        <v>4.3191832817067316E-3</v>
      </c>
      <c r="AJ62">
        <f>Sex!AJ62/Sex!$F62</f>
        <v>2.3668251821473757E-3</v>
      </c>
      <c r="AK62">
        <f>Sex!AK62/Sex!$F62</f>
        <v>0.25939095152916541</v>
      </c>
      <c r="AL62">
        <f>Sex!AL62/Sex!$F62</f>
        <v>0.18220191091139129</v>
      </c>
      <c r="AM62">
        <f>Sex!AM62/Sex!$F62</f>
        <v>2.4868024955281183E-3</v>
      </c>
      <c r="AN62">
        <f>Sex!AN62/Sex!$F62</f>
        <v>6.9597748789319833E-2</v>
      </c>
      <c r="AO62">
        <f>Sex!AO62/Sex!$F62</f>
        <v>1.6131495135465294E-2</v>
      </c>
      <c r="AP62">
        <f>Sex!AP62/Sex!$F62</f>
        <v>5.1306662013001179E-2</v>
      </c>
      <c r="AQ62">
        <f>Sex!AQ62/Sex!$F62</f>
        <v>9.909035382400419E-2</v>
      </c>
      <c r="AR62">
        <f>Sex!AR62/Sex!$F62</f>
        <v>9.0550150516993153E-2</v>
      </c>
      <c r="AS62">
        <f>Sex!AS62/Sex!$F62</f>
        <v>3.841455433881593E-2</v>
      </c>
      <c r="AT62">
        <f>Sex!AT62/Sex!$F62</f>
        <v>1.1245146372322325E-2</v>
      </c>
      <c r="AU62">
        <f>Sex!AU62/Sex!$F62</f>
        <v>6.9630469874787312E-2</v>
      </c>
      <c r="AV62">
        <f>Sex!AV62/Sex!$F62</f>
        <v>1.7353082326251035E-2</v>
      </c>
      <c r="AW62">
        <f>Sex!AW62/Sex!$F62</f>
        <v>2.4322673530823261E-3</v>
      </c>
      <c r="AX62">
        <f>Sex!AX62/Sex!$F62</f>
        <v>1.3088434186990097E-2</v>
      </c>
      <c r="AY62">
        <f>Sex!AY62/Sex!$F62</f>
        <v>4.5700449369573751E-3</v>
      </c>
      <c r="AZ62">
        <f>Sex!AZ62/Sex!$F62</f>
        <v>7.8312464552157419E-3</v>
      </c>
      <c r="BA62">
        <f>Sex!BA62/Sex!$F62</f>
        <v>5.3411718511408753E-2</v>
      </c>
      <c r="BB62">
        <f>Sex!BB62/Sex!$F62</f>
        <v>2.3886392391256926E-2</v>
      </c>
      <c r="BC62">
        <f>Sex!BC62/Sex!$F62</f>
        <v>9.4891147855678197E-4</v>
      </c>
    </row>
    <row r="63" spans="1:55">
      <c r="A63" s="1">
        <v>1155</v>
      </c>
      <c r="B63" s="1" t="s">
        <v>32</v>
      </c>
      <c r="C63" t="s">
        <v>209</v>
      </c>
      <c r="D63">
        <v>348111</v>
      </c>
      <c r="E63">
        <v>320999</v>
      </c>
      <c r="F63">
        <v>317961</v>
      </c>
      <c r="G63">
        <f>Sex!G63/Sex!$F63</f>
        <v>0.59715185195668652</v>
      </c>
      <c r="H63">
        <f>Sex!H63/Sex!$F63</f>
        <v>2.1417721041259779E-3</v>
      </c>
      <c r="I63">
        <f>Sex!I63/Sex!$F63</f>
        <v>2.0788713081164043E-3</v>
      </c>
      <c r="J63">
        <f>Sex!J63/Sex!$F63</f>
        <v>2.0159705121068306E-3</v>
      </c>
      <c r="K63">
        <f>Sex!K63/Sex!$F63</f>
        <v>1.9971002733039588E-3</v>
      </c>
      <c r="L63">
        <f>Sex!L63/Sex!$F63</f>
        <v>1.9876651539025227E-3</v>
      </c>
      <c r="M63">
        <f>Sex!M63/Sex!$F63</f>
        <v>7.0134387550674457E-4</v>
      </c>
      <c r="N63">
        <f>Sex!N63/Sex!$F63</f>
        <v>9.1835162173977314E-4</v>
      </c>
      <c r="O63">
        <f>Sex!O63/Sex!$F63</f>
        <v>3.1450398004786752E-6</v>
      </c>
      <c r="P63">
        <f>Sex!P63/Sex!$F63</f>
        <v>6.2900796009573503E-6</v>
      </c>
      <c r="Q63">
        <f>Sex!Q63/Sex!$F63</f>
        <v>0.23287132698664301</v>
      </c>
      <c r="R63">
        <f>Sex!R63/Sex!$F63</f>
        <v>4.3634282191841137E-2</v>
      </c>
      <c r="S63">
        <f>Sex!S63/Sex!$F63</f>
        <v>0.18649457008878448</v>
      </c>
      <c r="T63">
        <f>Sex!T63/Sex!$F63</f>
        <v>9.1269055009891142E-3</v>
      </c>
      <c r="U63">
        <f>Sex!U63/Sex!$F63</f>
        <v>1.1847364928403169E-2</v>
      </c>
      <c r="V63">
        <f>Sex!V63/Sex!$F63</f>
        <v>1.478797714185073E-2</v>
      </c>
      <c r="W63">
        <f>Sex!W63/Sex!$F63</f>
        <v>0.10988454558892442</v>
      </c>
      <c r="X63">
        <f>Sex!X63/Sex!$F63</f>
        <v>1.4995549768682323E-2</v>
      </c>
      <c r="Y63">
        <f>Sex!Y63/Sex!$F63</f>
        <v>2.1574973031283709E-3</v>
      </c>
      <c r="Z63">
        <f>Sex!Z63/Sex!$F63</f>
        <v>2.0930239872185584E-2</v>
      </c>
      <c r="AA63">
        <f>Sex!AA63/Sex!$F63</f>
        <v>7.0889197102789337E-3</v>
      </c>
      <c r="AB63">
        <f>Sex!AB63/Sex!$F63</f>
        <v>1.1089410336487809E-2</v>
      </c>
      <c r="AC63">
        <f>Sex!AC63/Sex!$F63</f>
        <v>1.1353593679728016E-3</v>
      </c>
      <c r="AD63">
        <f>Sex!AD63/Sex!$F63</f>
        <v>9.0294092671742762E-3</v>
      </c>
      <c r="AE63">
        <f>Sex!AE63/Sex!$F63</f>
        <v>4.8285796056749097E-2</v>
      </c>
      <c r="AF63">
        <f>Sex!AF63/Sex!$F63</f>
        <v>3.931299750598344E-4</v>
      </c>
      <c r="AG63">
        <f>Sex!AG63/Sex!$F63</f>
        <v>0.35823890351332394</v>
      </c>
      <c r="AH63">
        <f>Sex!AH63/Sex!$F63</f>
        <v>0.32849940715999759</v>
      </c>
      <c r="AI63">
        <f>Sex!AI63/Sex!$F63</f>
        <v>2.9657725318513904E-3</v>
      </c>
      <c r="AJ63">
        <f>Sex!AJ63/Sex!$F63</f>
        <v>4.5099870738864204E-3</v>
      </c>
      <c r="AK63">
        <f>Sex!AK63/Sex!$F63</f>
        <v>0.30997512273517819</v>
      </c>
      <c r="AL63">
        <f>Sex!AL63/Sex!$F63</f>
        <v>0.2233041159135869</v>
      </c>
      <c r="AM63">
        <f>Sex!AM63/Sex!$F63</f>
        <v>5.1264148747802408E-4</v>
      </c>
      <c r="AN63">
        <f>Sex!AN63/Sex!$F63</f>
        <v>0.13157274005302538</v>
      </c>
      <c r="AO63">
        <f>Sex!AO63/Sex!$F63</f>
        <v>3.3416047880085925E-2</v>
      </c>
      <c r="AP63">
        <f>Sex!AP63/Sex!$F63</f>
        <v>8.6183525652517134E-2</v>
      </c>
      <c r="AQ63">
        <f>Sex!AQ63/Sex!$F63</f>
        <v>7.0926937580395075E-2</v>
      </c>
      <c r="AR63">
        <f>Sex!AR63/Sex!$F63</f>
        <v>6.7146599740219706E-2</v>
      </c>
      <c r="AS63">
        <f>Sex!AS63/Sex!$F63</f>
        <v>9.8534096948996886E-3</v>
      </c>
      <c r="AT63">
        <f>Sex!AT63/Sex!$F63</f>
        <v>1.4247030296168398E-3</v>
      </c>
      <c r="AU63">
        <f>Sex!AU63/Sex!$F63</f>
        <v>7.6547123703850473E-2</v>
      </c>
      <c r="AV63">
        <f>Sex!AV63/Sex!$F63</f>
        <v>8.1016225260330671E-3</v>
      </c>
      <c r="AW63">
        <f>Sex!AW63/Sex!$F63</f>
        <v>4.4974069146845055E-4</v>
      </c>
      <c r="AX63">
        <f>Sex!AX63/Sex!$F63</f>
        <v>9.1803711775972525E-3</v>
      </c>
      <c r="AY63">
        <f>Sex!AY63/Sex!$F63</f>
        <v>2.7487647856183619E-3</v>
      </c>
      <c r="AZ63">
        <f>Sex!AZ63/Sex!$F63</f>
        <v>5.6862319592654448E-3</v>
      </c>
      <c r="BA63">
        <f>Sex!BA63/Sex!$F63</f>
        <v>6.4630567899836774E-2</v>
      </c>
      <c r="BB63">
        <f>Sex!BB63/Sex!$F63</f>
        <v>3.0019404895568952E-2</v>
      </c>
      <c r="BC63">
        <f>Sex!BC63/Sex!$F63</f>
        <v>1.6825962932560912E-3</v>
      </c>
    </row>
    <row r="64" spans="1:55">
      <c r="A64" s="1">
        <v>1158</v>
      </c>
      <c r="B64" s="1" t="s">
        <v>32</v>
      </c>
      <c r="C64" t="s">
        <v>212</v>
      </c>
      <c r="D64">
        <v>214097</v>
      </c>
      <c r="E64">
        <v>190556</v>
      </c>
      <c r="F64">
        <v>189560</v>
      </c>
      <c r="G64">
        <f>Sex!G64/Sex!$F64</f>
        <v>0.65764401772525849</v>
      </c>
      <c r="H64">
        <f>Sex!H64/Sex!$F64</f>
        <v>1.2713652669339524E-3</v>
      </c>
      <c r="I64">
        <f>Sex!I64/Sex!$F64</f>
        <v>1.2397130196243934E-3</v>
      </c>
      <c r="J64">
        <f>Sex!J64/Sex!$F64</f>
        <v>1.1711331504536823E-3</v>
      </c>
      <c r="K64">
        <f>Sex!K64/Sex!$F64</f>
        <v>1.1447562776957165E-3</v>
      </c>
      <c r="L64">
        <f>Sex!L64/Sex!$F64</f>
        <v>1.0972779067313779E-3</v>
      </c>
      <c r="M64">
        <f>Sex!M64/Sex!$F64</f>
        <v>2.9542097488921711E-4</v>
      </c>
      <c r="N64">
        <f>Sex!N64/Sex!$F64</f>
        <v>4.0092846592108041E-4</v>
      </c>
      <c r="O64">
        <f>Sex!O64/Sex!$F64</f>
        <v>5.2753745515931628E-6</v>
      </c>
      <c r="P64">
        <f>Sex!P64/Sex!$F64</f>
        <v>5.2753745515931628E-6</v>
      </c>
      <c r="Q64">
        <f>Sex!Q64/Sex!$F64</f>
        <v>0.25556552015193079</v>
      </c>
      <c r="R64">
        <f>Sex!R64/Sex!$F64</f>
        <v>3.6737708377294787E-2</v>
      </c>
      <c r="S64">
        <f>Sex!S64/Sex!$F64</f>
        <v>0.2137265245832454</v>
      </c>
      <c r="T64">
        <f>Sex!T64/Sex!$F64</f>
        <v>1.2270521207005697E-2</v>
      </c>
      <c r="U64">
        <f>Sex!U64/Sex!$F64</f>
        <v>1.2439333192656679E-2</v>
      </c>
      <c r="V64">
        <f>Sex!V64/Sex!$F64</f>
        <v>1.9634944081029754E-2</v>
      </c>
      <c r="W64">
        <f>Sex!W64/Sex!$F64</f>
        <v>8.2559611732433008E-2</v>
      </c>
      <c r="X64">
        <f>Sex!X64/Sex!$F64</f>
        <v>2.4045157206161637E-2</v>
      </c>
      <c r="Y64">
        <f>Sex!Y64/Sex!$F64</f>
        <v>2.2504747837096432E-2</v>
      </c>
      <c r="Z64">
        <f>Sex!Z64/Sex!$F64</f>
        <v>2.1613209537877189E-2</v>
      </c>
      <c r="AA64">
        <f>Sex!AA64/Sex!$F64</f>
        <v>3.2127031019202365E-3</v>
      </c>
      <c r="AB64">
        <f>Sex!AB64/Sex!$F64</f>
        <v>1.6812618695927411E-2</v>
      </c>
      <c r="AC64">
        <f>Sex!AC64/Sex!$F64</f>
        <v>1.2449883941759866E-3</v>
      </c>
      <c r="AD64">
        <f>Sex!AD64/Sex!$F64</f>
        <v>1.4254062038404727E-2</v>
      </c>
      <c r="AE64">
        <f>Sex!AE64/Sex!$F64</f>
        <v>8.9855454737286344E-2</v>
      </c>
      <c r="AF64">
        <f>Sex!AF64/Sex!$F64</f>
        <v>9.231905465288035E-4</v>
      </c>
      <c r="AG64">
        <f>Sex!AG64/Sex!$F64</f>
        <v>0.3846381093057607</v>
      </c>
      <c r="AH64">
        <f>Sex!AH64/Sex!$F64</f>
        <v>0.34819582190335513</v>
      </c>
      <c r="AI64">
        <f>Sex!AI64/Sex!$F64</f>
        <v>5.8873179995779703E-3</v>
      </c>
      <c r="AJ64">
        <f>Sex!AJ64/Sex!$F64</f>
        <v>1.4502004642329605E-2</v>
      </c>
      <c r="AK64">
        <f>Sex!AK64/Sex!$F64</f>
        <v>0.3028539776324119</v>
      </c>
      <c r="AL64">
        <f>Sex!AL64/Sex!$F64</f>
        <v>0.19222409791095169</v>
      </c>
      <c r="AM64">
        <f>Sex!AM64/Sex!$F64</f>
        <v>1.4929309981008651E-3</v>
      </c>
      <c r="AN64">
        <f>Sex!AN64/Sex!$F64</f>
        <v>0.12937328550327074</v>
      </c>
      <c r="AO64">
        <f>Sex!AO64/Sex!$F64</f>
        <v>5.8809875501160583E-2</v>
      </c>
      <c r="AP64">
        <f>Sex!AP64/Sex!$F64</f>
        <v>6.3394175986495035E-2</v>
      </c>
      <c r="AQ64">
        <f>Sex!AQ64/Sex!$F64</f>
        <v>4.6075121333614688E-2</v>
      </c>
      <c r="AR64">
        <f>Sex!AR64/Sex!$F64</f>
        <v>4.5231061405359783E-2</v>
      </c>
      <c r="AS64">
        <f>Sex!AS64/Sex!$F64</f>
        <v>4.3247520573960752E-2</v>
      </c>
      <c r="AT64">
        <f>Sex!AT64/Sex!$F64</f>
        <v>2.850284870225786E-2</v>
      </c>
      <c r="AU64">
        <f>Sex!AU64/Sex!$F64</f>
        <v>9.3126186959274104E-2</v>
      </c>
      <c r="AV64">
        <f>Sex!AV64/Sex!$F64</f>
        <v>3.0175142435112892E-2</v>
      </c>
      <c r="AW64">
        <f>Sex!AW64/Sex!$F64</f>
        <v>1.9872335935851446E-2</v>
      </c>
      <c r="AX64">
        <f>Sex!AX64/Sex!$F64</f>
        <v>6.4844903988183156E-2</v>
      </c>
      <c r="AY64">
        <f>Sex!AY64/Sex!$F64</f>
        <v>7.4857564887106983E-3</v>
      </c>
      <c r="AZ64">
        <f>Sex!AZ64/Sex!$F64</f>
        <v>5.6198565098121968E-2</v>
      </c>
      <c r="BA64">
        <f>Sex!BA64/Sex!$F64</f>
        <v>2.1296687064781598E-2</v>
      </c>
      <c r="BB64">
        <f>Sex!BB64/Sex!$F64</f>
        <v>1.6580502215657312E-2</v>
      </c>
      <c r="BC64">
        <f>Sex!BC64/Sex!$F64</f>
        <v>2.5321797847647186E-4</v>
      </c>
    </row>
    <row r="65" spans="1:55">
      <c r="A65" s="1">
        <v>1160</v>
      </c>
      <c r="B65" s="1" t="s">
        <v>32</v>
      </c>
      <c r="C65" t="s">
        <v>214</v>
      </c>
      <c r="D65">
        <v>99510</v>
      </c>
      <c r="E65">
        <v>93685</v>
      </c>
      <c r="F65">
        <v>90392</v>
      </c>
      <c r="G65">
        <f>Sex!G65/Sex!$F65</f>
        <v>0.61284184441100986</v>
      </c>
      <c r="H65">
        <f>Sex!H65/Sex!$F65</f>
        <v>3.1197451101867423E-3</v>
      </c>
      <c r="I65">
        <f>Sex!I65/Sex!$F65</f>
        <v>3.0644304805735019E-3</v>
      </c>
      <c r="J65">
        <f>Sex!J65/Sex!$F65</f>
        <v>2.998052925037614E-3</v>
      </c>
      <c r="K65">
        <f>Sex!K65/Sex!$F65</f>
        <v>2.998052925037614E-3</v>
      </c>
      <c r="L65">
        <f>Sex!L65/Sex!$F65</f>
        <v>2.998052925037614E-3</v>
      </c>
      <c r="M65">
        <f>Sex!M65/Sex!$F65</f>
        <v>1.5709354810160192E-3</v>
      </c>
      <c r="N65">
        <f>Sex!N65/Sex!$F65</f>
        <v>1.2058589255686343E-3</v>
      </c>
      <c r="O65">
        <f>Sex!O65/Sex!$F65</f>
        <v>0</v>
      </c>
      <c r="P65">
        <f>Sex!P65/Sex!$F65</f>
        <v>2.2125851845296046E-5</v>
      </c>
      <c r="Q65">
        <f>Sex!Q65/Sex!$F65</f>
        <v>0.35721081511638197</v>
      </c>
      <c r="R65">
        <f>Sex!R65/Sex!$F65</f>
        <v>3.6076201433755201E-2</v>
      </c>
      <c r="S65">
        <f>Sex!S65/Sex!$F65</f>
        <v>0.31545933268430837</v>
      </c>
      <c r="T65">
        <f>Sex!T65/Sex!$F65</f>
        <v>2.4050800955836799E-2</v>
      </c>
      <c r="U65">
        <f>Sex!U65/Sex!$F65</f>
        <v>6.7284715461545269E-2</v>
      </c>
      <c r="V65">
        <f>Sex!V65/Sex!$F65</f>
        <v>6.2870608018408713E-2</v>
      </c>
      <c r="W65">
        <f>Sex!W65/Sex!$F65</f>
        <v>9.9245508452075401E-2</v>
      </c>
      <c r="X65">
        <f>Sex!X65/Sex!$F65</f>
        <v>3.0434109213204708E-2</v>
      </c>
      <c r="Y65">
        <f>Sex!Y65/Sex!$F65</f>
        <v>2.9117621028409594E-2</v>
      </c>
      <c r="Z65">
        <f>Sex!Z65/Sex!$F65</f>
        <v>3.6098327285600494E-2</v>
      </c>
      <c r="AA65">
        <f>Sex!AA65/Sex!$F65</f>
        <v>3.0423046287282062E-3</v>
      </c>
      <c r="AB65">
        <f>Sex!AB65/Sex!$F65</f>
        <v>2.9349942472785204E-2</v>
      </c>
      <c r="AC65">
        <f>Sex!AC65/Sex!$F65</f>
        <v>4.6685547393574651E-3</v>
      </c>
      <c r="AD65">
        <f>Sex!AD65/Sex!$F65</f>
        <v>2.2435613771130188E-2</v>
      </c>
      <c r="AE65">
        <f>Sex!AE65/Sex!$F65</f>
        <v>0.16365386317373218</v>
      </c>
      <c r="AF65">
        <f>Sex!AF65/Sex!$F65</f>
        <v>7.6334188866271347E-4</v>
      </c>
      <c r="AG65">
        <f>Sex!AG65/Sex!$F65</f>
        <v>0.24724533144526065</v>
      </c>
      <c r="AH65">
        <f>Sex!AH65/Sex!$F65</f>
        <v>0.23128152933887955</v>
      </c>
      <c r="AI65">
        <f>Sex!AI65/Sex!$F65</f>
        <v>2.8652978139658376E-3</v>
      </c>
      <c r="AJ65">
        <f>Sex!AJ65/Sex!$F65</f>
        <v>2.8210461102752458E-3</v>
      </c>
      <c r="AK65">
        <f>Sex!AK65/Sex!$F65</f>
        <v>0.21255199575183645</v>
      </c>
      <c r="AL65">
        <f>Sex!AL65/Sex!$F65</f>
        <v>0.1252323214443756</v>
      </c>
      <c r="AM65">
        <f>Sex!AM65/Sex!$F65</f>
        <v>1.4492432958668909E-3</v>
      </c>
      <c r="AN65">
        <f>Sex!AN65/Sex!$F65</f>
        <v>5.8257367908664481E-2</v>
      </c>
      <c r="AO65">
        <f>Sex!AO65/Sex!$F65</f>
        <v>2.3210018585715551E-2</v>
      </c>
      <c r="AP65">
        <f>Sex!AP65/Sex!$F65</f>
        <v>3.0799185768652093E-2</v>
      </c>
      <c r="AQ65">
        <f>Sex!AQ65/Sex!$F65</f>
        <v>5.7095760686786443E-2</v>
      </c>
      <c r="AR65">
        <f>Sex!AR65/Sex!$F65</f>
        <v>5.588990176121781E-2</v>
      </c>
      <c r="AS65">
        <f>Sex!AS65/Sex!$F65</f>
        <v>1.4226922736525356E-2</v>
      </c>
      <c r="AT65">
        <f>Sex!AT65/Sex!$F65</f>
        <v>3.2082485175679264E-3</v>
      </c>
      <c r="AU65">
        <f>Sex!AU65/Sex!$F65</f>
        <v>7.3745464200371716E-2</v>
      </c>
      <c r="AV65">
        <f>Sex!AV65/Sex!$F65</f>
        <v>2.0577042216125319E-2</v>
      </c>
      <c r="AW65">
        <f>Sex!AW65/Sex!$F65</f>
        <v>1.8032569253916275E-3</v>
      </c>
      <c r="AX65">
        <f>Sex!AX65/Sex!$F65</f>
        <v>2.0344720771749713E-2</v>
      </c>
      <c r="AY65">
        <f>Sex!AY65/Sex!$F65</f>
        <v>3.6728914063191434E-3</v>
      </c>
      <c r="AZ65">
        <f>Sex!AZ65/Sex!$F65</f>
        <v>1.6273564032215242E-2</v>
      </c>
      <c r="BA65">
        <f>Sex!BA65/Sex!$F65</f>
        <v>5.1287724577396228E-2</v>
      </c>
      <c r="BB65">
        <f>Sex!BB65/Sex!$F65</f>
        <v>4.3986193468448537E-2</v>
      </c>
      <c r="BC65">
        <f>Sex!BC65/Sex!$F65</f>
        <v>8.8503407381184182E-5</v>
      </c>
    </row>
    <row r="66" spans="1:55">
      <c r="A66" s="1">
        <v>1162</v>
      </c>
      <c r="B66" s="1" t="s">
        <v>32</v>
      </c>
      <c r="C66" t="s">
        <v>215</v>
      </c>
      <c r="D66">
        <v>135286</v>
      </c>
      <c r="E66">
        <v>129503</v>
      </c>
      <c r="F66">
        <v>117499</v>
      </c>
      <c r="G66">
        <f>Sex!G66/Sex!$F66</f>
        <v>0.60777538532242825</v>
      </c>
      <c r="H66">
        <f>Sex!H66/Sex!$F66</f>
        <v>5.4468548668499305E-3</v>
      </c>
      <c r="I66">
        <f>Sex!I66/Sex!$F66</f>
        <v>5.3787691810143062E-3</v>
      </c>
      <c r="J66">
        <f>Sex!J66/Sex!$F66</f>
        <v>5.1149371484012626E-3</v>
      </c>
      <c r="K66">
        <f>Sex!K66/Sex!$F66</f>
        <v>5.1064264376718101E-3</v>
      </c>
      <c r="L66">
        <f>Sex!L66/Sex!$F66</f>
        <v>5.0979157269423567E-3</v>
      </c>
      <c r="M66">
        <f>Sex!M66/Sex!$F66</f>
        <v>2.2127847896577842E-3</v>
      </c>
      <c r="N66">
        <f>Sex!N66/Sex!$F66</f>
        <v>2.1702312360105192E-3</v>
      </c>
      <c r="O66">
        <f>Sex!O66/Sex!$F66</f>
        <v>4.2553553647265082E-5</v>
      </c>
      <c r="P66">
        <f>Sex!P66/Sex!$F66</f>
        <v>1.7021421458906032E-5</v>
      </c>
      <c r="Q66">
        <f>Sex!Q66/Sex!$F66</f>
        <v>0.36552651511927758</v>
      </c>
      <c r="R66">
        <f>Sex!R66/Sex!$F66</f>
        <v>4.3234410505621323E-2</v>
      </c>
      <c r="S66">
        <f>Sex!S66/Sex!$F66</f>
        <v>0.3103685988816926</v>
      </c>
      <c r="T66">
        <f>Sex!T66/Sex!$F66</f>
        <v>8.3575179363228631E-3</v>
      </c>
      <c r="U66">
        <f>Sex!U66/Sex!$F66</f>
        <v>7.4128290453535778E-3</v>
      </c>
      <c r="V66">
        <f>Sex!V66/Sex!$F66</f>
        <v>1.8902288530115149E-2</v>
      </c>
      <c r="W66">
        <f>Sex!W66/Sex!$F66</f>
        <v>0.13749053183431348</v>
      </c>
      <c r="X66">
        <f>Sex!X66/Sex!$F66</f>
        <v>5.4289823743180796E-2</v>
      </c>
      <c r="Y66">
        <f>Sex!Y66/Sex!$F66</f>
        <v>5.2664277993855264E-2</v>
      </c>
      <c r="Z66">
        <f>Sex!Z66/Sex!$F66</f>
        <v>5.3991948867649936E-2</v>
      </c>
      <c r="AA66">
        <f>Sex!AA66/Sex!$F66</f>
        <v>7.0553791947165507E-3</v>
      </c>
      <c r="AB66">
        <f>Sex!AB66/Sex!$F66</f>
        <v>3.8740755240470132E-2</v>
      </c>
      <c r="AC66">
        <f>Sex!AC66/Sex!$F66</f>
        <v>1.7021421458906033E-4</v>
      </c>
      <c r="AD66">
        <f>Sex!AD66/Sex!$F66</f>
        <v>3.6723716797589769E-2</v>
      </c>
      <c r="AE66">
        <f>Sex!AE66/Sex!$F66</f>
        <v>9.3796542949301689E-2</v>
      </c>
      <c r="AF66">
        <f>Sex!AF66/Sex!$F66</f>
        <v>1.2595851879590465E-3</v>
      </c>
      <c r="AG66">
        <f>Sex!AG66/Sex!$F66</f>
        <v>0.2289296079115567</v>
      </c>
      <c r="AH66">
        <f>Sex!AH66/Sex!$F66</f>
        <v>0.2101805121745717</v>
      </c>
      <c r="AI66">
        <f>Sex!AI66/Sex!$F66</f>
        <v>3.6085413492880792E-3</v>
      </c>
      <c r="AJ66">
        <f>Sex!AJ66/Sex!$F66</f>
        <v>1.2000102128528754E-3</v>
      </c>
      <c r="AK66">
        <f>Sex!AK66/Sex!$F66</f>
        <v>0.19518463986927548</v>
      </c>
      <c r="AL66">
        <f>Sex!AL66/Sex!$F66</f>
        <v>0.10023915097149763</v>
      </c>
      <c r="AM66">
        <f>Sex!AM66/Sex!$F66</f>
        <v>9.7873173388709697E-4</v>
      </c>
      <c r="AN66">
        <f>Sex!AN66/Sex!$F66</f>
        <v>4.7753597902960875E-2</v>
      </c>
      <c r="AO66">
        <f>Sex!AO66/Sex!$F66</f>
        <v>1.3753308538796074E-2</v>
      </c>
      <c r="AP66">
        <f>Sex!AP66/Sex!$F66</f>
        <v>3.1974740210554985E-2</v>
      </c>
      <c r="AQ66">
        <f>Sex!AQ66/Sex!$F66</f>
        <v>4.5174852551936609E-2</v>
      </c>
      <c r="AR66">
        <f>Sex!AR66/Sex!$F66</f>
        <v>4.4936552651511925E-2</v>
      </c>
      <c r="AS66">
        <f>Sex!AS66/Sex!$F66</f>
        <v>1.154052374913829E-2</v>
      </c>
      <c r="AT66">
        <f>Sex!AT66/Sex!$F66</f>
        <v>5.8894118247814877E-3</v>
      </c>
      <c r="AU66">
        <f>Sex!AU66/Sex!$F66</f>
        <v>7.9209184759019224E-2</v>
      </c>
      <c r="AV66">
        <f>Sex!AV66/Sex!$F66</f>
        <v>2.5744899956595374E-2</v>
      </c>
      <c r="AW66">
        <f>Sex!AW66/Sex!$F66</f>
        <v>3.4553485561579248E-3</v>
      </c>
      <c r="AX66">
        <f>Sex!AX66/Sex!$F66</f>
        <v>1.8195899539570549E-2</v>
      </c>
      <c r="AY66">
        <f>Sex!AY66/Sex!$F66</f>
        <v>6.8000578728329604E-3</v>
      </c>
      <c r="AZ66">
        <f>Sex!AZ66/Sex!$F66</f>
        <v>1.1063923948288921E-2</v>
      </c>
      <c r="BA66">
        <f>Sex!BA66/Sex!$F66</f>
        <v>5.8017515042681211E-2</v>
      </c>
      <c r="BB66">
        <f>Sex!BB66/Sex!$F66</f>
        <v>4.9889786296053583E-2</v>
      </c>
      <c r="BC66">
        <f>Sex!BC66/Sex!$F66</f>
        <v>1.7021421458906033E-4</v>
      </c>
    </row>
    <row r="67" spans="1:55">
      <c r="A67" s="1">
        <v>1165</v>
      </c>
      <c r="B67" s="1" t="s">
        <v>32</v>
      </c>
      <c r="C67" t="s">
        <v>217</v>
      </c>
      <c r="D67">
        <v>232949</v>
      </c>
      <c r="E67">
        <v>206715</v>
      </c>
      <c r="F67">
        <v>194926</v>
      </c>
      <c r="G67">
        <f>Sex!G67/Sex!$F67</f>
        <v>0.56577367821634872</v>
      </c>
      <c r="H67">
        <f>Sex!H67/Sex!$F67</f>
        <v>8.5160522454675106E-4</v>
      </c>
      <c r="I67">
        <f>Sex!I67/Sex!$F67</f>
        <v>8.2082431281614565E-4</v>
      </c>
      <c r="J67">
        <f>Sex!J67/Sex!$F67</f>
        <v>7.2848157762432923E-4</v>
      </c>
      <c r="K67">
        <f>Sex!K67/Sex!$F67</f>
        <v>7.2848157762432923E-4</v>
      </c>
      <c r="L67">
        <f>Sex!L67/Sex!$F67</f>
        <v>7.2335142566922828E-4</v>
      </c>
      <c r="M67">
        <f>Sex!M67/Sex!$F67</f>
        <v>2.462472938448437E-4</v>
      </c>
      <c r="N67">
        <f>Sex!N67/Sex!$F67</f>
        <v>4.0528200445297187E-4</v>
      </c>
      <c r="O67">
        <f>Sex!O67/Sex!$F67</f>
        <v>0</v>
      </c>
      <c r="P67">
        <f>Sex!P67/Sex!$F67</f>
        <v>1.5390455865302731E-5</v>
      </c>
      <c r="Q67">
        <f>Sex!Q67/Sex!$F67</f>
        <v>0.27196474559576456</v>
      </c>
      <c r="R67">
        <f>Sex!R67/Sex!$F67</f>
        <v>2.8421041831259042E-2</v>
      </c>
      <c r="S67">
        <f>Sex!S67/Sex!$F67</f>
        <v>0.24172762997239977</v>
      </c>
      <c r="T67">
        <f>Sex!T67/Sex!$F67</f>
        <v>7.5618439818187413E-3</v>
      </c>
      <c r="U67">
        <f>Sex!U67/Sex!$F67</f>
        <v>1.1819870104552497E-2</v>
      </c>
      <c r="V67">
        <f>Sex!V67/Sex!$F67</f>
        <v>3.6131660219775708E-2</v>
      </c>
      <c r="W67">
        <f>Sex!W67/Sex!$F67</f>
        <v>0.14731231339072262</v>
      </c>
      <c r="X67">
        <f>Sex!X67/Sex!$F67</f>
        <v>1.6144588202702564E-2</v>
      </c>
      <c r="Y67">
        <f>Sex!Y67/Sex!$F67</f>
        <v>1.5857299693216913E-2</v>
      </c>
      <c r="Z67">
        <f>Sex!Z67/Sex!$F67</f>
        <v>1.8725054636118323E-2</v>
      </c>
      <c r="AA67">
        <f>Sex!AA67/Sex!$F67</f>
        <v>2.5958568892810604E-3</v>
      </c>
      <c r="AB67">
        <f>Sex!AB67/Sex!$F67</f>
        <v>1.1917342991699414E-2</v>
      </c>
      <c r="AC67">
        <f>Sex!AC67/Sex!$F67</f>
        <v>2.0777115418158685E-3</v>
      </c>
      <c r="AD67">
        <f>Sex!AD67/Sex!$F67</f>
        <v>8.4134492063654923E-3</v>
      </c>
      <c r="AE67">
        <f>Sex!AE67/Sex!$F67</f>
        <v>6.785138975816464E-2</v>
      </c>
      <c r="AF67">
        <f>Sex!AF67/Sex!$F67</f>
        <v>8.054338569508429E-4</v>
      </c>
      <c r="AG67">
        <f>Sex!AG67/Sex!$F67</f>
        <v>0.2902280865559238</v>
      </c>
      <c r="AH67">
        <f>Sex!AH67/Sex!$F67</f>
        <v>0.2774334875799021</v>
      </c>
      <c r="AI67">
        <f>Sex!AI67/Sex!$F67</f>
        <v>5.6944686701620106E-4</v>
      </c>
      <c r="AJ67">
        <f>Sex!AJ67/Sex!$F67</f>
        <v>1.2158460133589158E-3</v>
      </c>
      <c r="AK67">
        <f>Sex!AK67/Sex!$F67</f>
        <v>0.26938940931430388</v>
      </c>
      <c r="AL67">
        <f>Sex!AL67/Sex!$F67</f>
        <v>0.13503072961021106</v>
      </c>
      <c r="AM67">
        <f>Sex!AM67/Sex!$F67</f>
        <v>8.1056400890594375E-4</v>
      </c>
      <c r="AN67">
        <f>Sex!AN67/Sex!$F67</f>
        <v>5.2363461005714991E-2</v>
      </c>
      <c r="AO67">
        <f>Sex!AO67/Sex!$F67</f>
        <v>1.2532961226311524E-2</v>
      </c>
      <c r="AP67">
        <f>Sex!AP67/Sex!$F67</f>
        <v>3.7280814257718314E-2</v>
      </c>
      <c r="AQ67">
        <f>Sex!AQ67/Sex!$F67</f>
        <v>6.7892430973805443E-2</v>
      </c>
      <c r="AR67">
        <f>Sex!AR67/Sex!$F67</f>
        <v>6.7620532920185092E-2</v>
      </c>
      <c r="AS67">
        <f>Sex!AS67/Sex!$F67</f>
        <v>8.9213342499204831E-3</v>
      </c>
      <c r="AT67">
        <f>Sex!AT67/Sex!$F67</f>
        <v>1.9186768312077405E-3</v>
      </c>
      <c r="AU67">
        <f>Sex!AU67/Sex!$F67</f>
        <v>0.11771646676174548</v>
      </c>
      <c r="AV67">
        <f>Sex!AV67/Sex!$F67</f>
        <v>1.3589772529062311E-2</v>
      </c>
      <c r="AW67">
        <f>Sex!AW67/Sex!$F67</f>
        <v>1.4774837630690621E-3</v>
      </c>
      <c r="AX67">
        <f>Sex!AX67/Sex!$F67</f>
        <v>2.2044262951068611E-2</v>
      </c>
      <c r="AY67">
        <f>Sex!AY67/Sex!$F67</f>
        <v>1.2045596790576938E-2</v>
      </c>
      <c r="AZ67">
        <f>Sex!AZ67/Sex!$F67</f>
        <v>9.2855750387326481E-3</v>
      </c>
      <c r="BA67">
        <f>Sex!BA67/Sex!$F67</f>
        <v>8.6350717708258515E-2</v>
      </c>
      <c r="BB67">
        <f>Sex!BB67/Sex!$F67</f>
        <v>3.4525922657829125E-2</v>
      </c>
      <c r="BC67">
        <f>Sex!BC67/Sex!$F67</f>
        <v>2.513774457999446E-4</v>
      </c>
    </row>
    <row r="68" spans="1:55">
      <c r="A68" s="1">
        <v>1168</v>
      </c>
      <c r="B68" s="1" t="s">
        <v>32</v>
      </c>
      <c r="C68" t="s">
        <v>219</v>
      </c>
      <c r="D68">
        <v>85258</v>
      </c>
      <c r="E68">
        <v>80830</v>
      </c>
      <c r="F68">
        <v>71821</v>
      </c>
      <c r="G68">
        <f>Sex!G68/Sex!$F68</f>
        <v>0.27177287979838766</v>
      </c>
      <c r="H68">
        <f>Sex!H68/Sex!$F68</f>
        <v>4.3859038442795283E-3</v>
      </c>
      <c r="I68">
        <f>Sex!I68/Sex!$F68</f>
        <v>4.3162863229417583E-3</v>
      </c>
      <c r="J68">
        <f>Sex!J68/Sex!$F68</f>
        <v>3.9542752119853522E-3</v>
      </c>
      <c r="K68">
        <f>Sex!K68/Sex!$F68</f>
        <v>3.9403517077177984E-3</v>
      </c>
      <c r="L68">
        <f>Sex!L68/Sex!$F68</f>
        <v>3.9403517077177984E-3</v>
      </c>
      <c r="M68">
        <f>Sex!M68/Sex!$F68</f>
        <v>7.3794572618036502E-4</v>
      </c>
      <c r="N68">
        <f>Sex!N68/Sex!$F68</f>
        <v>2.5062307681597306E-3</v>
      </c>
      <c r="O68">
        <f>Sex!O68/Sex!$F68</f>
        <v>1.3923504267554058E-5</v>
      </c>
      <c r="P68">
        <f>Sex!P68/Sex!$F68</f>
        <v>5.5694017070216232E-5</v>
      </c>
      <c r="Q68">
        <f>Sex!Q68/Sex!$F68</f>
        <v>0.16780607343256151</v>
      </c>
      <c r="R68">
        <f>Sex!R68/Sex!$F68</f>
        <v>5.2909316216705419E-3</v>
      </c>
      <c r="S68">
        <f>Sex!S68/Sex!$F68</f>
        <v>0.15641664694170229</v>
      </c>
      <c r="T68">
        <f>Sex!T68/Sex!$F68</f>
        <v>4.274515810139096E-3</v>
      </c>
      <c r="U68">
        <f>Sex!U68/Sex!$F68</f>
        <v>7.2541457233956646E-3</v>
      </c>
      <c r="V68">
        <f>Sex!V68/Sex!$F68</f>
        <v>1.2545077345066206E-2</v>
      </c>
      <c r="W68">
        <f>Sex!W68/Sex!$F68</f>
        <v>4.7312067501148691E-2</v>
      </c>
      <c r="X68">
        <f>Sex!X68/Sex!$F68</f>
        <v>2.1595355118976343E-2</v>
      </c>
      <c r="Y68">
        <f>Sex!Y68/Sex!$F68</f>
        <v>2.0244775205023602E-2</v>
      </c>
      <c r="Z68">
        <f>Sex!Z68/Sex!$F68</f>
        <v>3.4042967934169673E-2</v>
      </c>
      <c r="AA68">
        <f>Sex!AA68/Sex!$F68</f>
        <v>2.923935896186352E-3</v>
      </c>
      <c r="AB68">
        <f>Sex!AB68/Sex!$F68</f>
        <v>2.0133387170883168E-2</v>
      </c>
      <c r="AC68">
        <f>Sex!AC68/Sex!$F68</f>
        <v>9.0502777739101374E-4</v>
      </c>
      <c r="AD68">
        <f>Sex!AD68/Sex!$F68</f>
        <v>1.6819593155205301E-2</v>
      </c>
      <c r="AE68">
        <f>Sex!AE68/Sex!$F68</f>
        <v>5.680789741162056E-2</v>
      </c>
      <c r="AF68">
        <f>Sex!AF68/Sex!$F68</f>
        <v>7.2402222191281099E-4</v>
      </c>
      <c r="AG68">
        <f>Sex!AG68/Sex!$F68</f>
        <v>9.1616658080505703E-2</v>
      </c>
      <c r="AH68">
        <f>Sex!AH68/Sex!$F68</f>
        <v>8.2134751674301384E-2</v>
      </c>
      <c r="AI68">
        <f>Sex!AI68/Sex!$F68</f>
        <v>7.1009871764525696E-4</v>
      </c>
      <c r="AJ68">
        <f>Sex!AJ68/Sex!$F68</f>
        <v>1.3227329054176355E-3</v>
      </c>
      <c r="AK68">
        <f>Sex!AK68/Sex!$F68</f>
        <v>7.7734924325754309E-2</v>
      </c>
      <c r="AL68">
        <f>Sex!AL68/Sex!$F68</f>
        <v>1.7404380334442571E-2</v>
      </c>
      <c r="AM68">
        <f>Sex!AM68/Sex!$F68</f>
        <v>3.3416410242129738E-4</v>
      </c>
      <c r="AN68">
        <f>Sex!AN68/Sex!$F68</f>
        <v>4.9428440149816904E-3</v>
      </c>
      <c r="AO68">
        <f>Sex!AO68/Sex!$F68</f>
        <v>1.1138803414043246E-4</v>
      </c>
      <c r="AP68">
        <f>Sex!AP68/Sex!$F68</f>
        <v>4.7339914509683797E-3</v>
      </c>
      <c r="AQ68">
        <f>Sex!AQ68/Sex!$F68</f>
        <v>1.1138803414043247E-2</v>
      </c>
      <c r="AR68">
        <f>Sex!AR68/Sex!$F68</f>
        <v>1.1138803414043247E-2</v>
      </c>
      <c r="AS68">
        <f>Sex!AS68/Sex!$F68</f>
        <v>3.6618816223667173E-3</v>
      </c>
      <c r="AT68">
        <f>Sex!AT68/Sex!$F68</f>
        <v>4.4555213656172985E-4</v>
      </c>
      <c r="AU68">
        <f>Sex!AU68/Sex!$F68</f>
        <v>5.4496595703206585E-2</v>
      </c>
      <c r="AV68">
        <f>Sex!AV68/Sex!$F68</f>
        <v>1.5329778198577018E-2</v>
      </c>
      <c r="AW68">
        <f>Sex!AW68/Sex!$F68</f>
        <v>8.3541025605324347E-4</v>
      </c>
      <c r="AX68">
        <f>Sex!AX68/Sex!$F68</f>
        <v>3.3277175199454201E-3</v>
      </c>
      <c r="AY68">
        <f>Sex!AY68/Sex!$F68</f>
        <v>3.0910179473970009E-3</v>
      </c>
      <c r="AZ68">
        <f>Sex!AZ68/Sex!$F68</f>
        <v>1.8100555547820275E-4</v>
      </c>
      <c r="BA68">
        <f>Sex!BA68/Sex!$F68</f>
        <v>4.981829826930842E-2</v>
      </c>
      <c r="BB68">
        <f>Sex!BB68/Sex!$F68</f>
        <v>4.6448810236560341E-2</v>
      </c>
      <c r="BC68">
        <f>Sex!BC68/Sex!$F68</f>
        <v>4.7339914509683797E-4</v>
      </c>
    </row>
    <row r="69" spans="1:55">
      <c r="A69" s="1">
        <v>1172</v>
      </c>
      <c r="B69" s="1" t="s">
        <v>32</v>
      </c>
      <c r="C69" t="s">
        <v>221</v>
      </c>
      <c r="D69">
        <v>166329</v>
      </c>
      <c r="E69">
        <v>161188</v>
      </c>
      <c r="F69">
        <v>150664</v>
      </c>
      <c r="G69">
        <f>Sex!G69/Sex!$F69</f>
        <v>0.40688552009770085</v>
      </c>
      <c r="H69">
        <f>Sex!H69/Sex!$F69</f>
        <v>1.9248128285456379E-4</v>
      </c>
      <c r="I69">
        <f>Sex!I69/Sex!$F69</f>
        <v>1.8584399723888919E-4</v>
      </c>
      <c r="J69">
        <f>Sex!J69/Sex!$F69</f>
        <v>1.7256942600753995E-4</v>
      </c>
      <c r="K69">
        <f>Sex!K69/Sex!$F69</f>
        <v>1.5929485477619073E-4</v>
      </c>
      <c r="L69">
        <f>Sex!L69/Sex!$F69</f>
        <v>1.5929485477619073E-4</v>
      </c>
      <c r="M69">
        <f>Sex!M69/Sex!$F69</f>
        <v>5.3098284925396908E-5</v>
      </c>
      <c r="N69">
        <f>Sex!N69/Sex!$F69</f>
        <v>8.6284713003769974E-5</v>
      </c>
      <c r="O69">
        <f>Sex!O69/Sex!$F69</f>
        <v>0</v>
      </c>
      <c r="P69">
        <f>Sex!P69/Sex!$F69</f>
        <v>0</v>
      </c>
      <c r="Q69">
        <f>Sex!Q69/Sex!$F69</f>
        <v>0.19493707853236342</v>
      </c>
      <c r="R69">
        <f>Sex!R69/Sex!$F69</f>
        <v>2.6987203313332979E-2</v>
      </c>
      <c r="S69">
        <f>Sex!S69/Sex!$F69</f>
        <v>0.16377502256677109</v>
      </c>
      <c r="T69">
        <f>Sex!T69/Sex!$F69</f>
        <v>8.7612170126904892E-3</v>
      </c>
      <c r="U69">
        <f>Sex!U69/Sex!$F69</f>
        <v>1.0082036850209738E-2</v>
      </c>
      <c r="V69">
        <f>Sex!V69/Sex!$F69</f>
        <v>1.707773588913078E-2</v>
      </c>
      <c r="W69">
        <f>Sex!W69/Sex!$F69</f>
        <v>8.4147507035522748E-2</v>
      </c>
      <c r="X69">
        <f>Sex!X69/Sex!$F69</f>
        <v>5.7133754579727074E-2</v>
      </c>
      <c r="Y69">
        <f>Sex!Y69/Sex!$F69</f>
        <v>5.3191206924016354E-2</v>
      </c>
      <c r="Z69">
        <f>Sex!Z69/Sex!$F69</f>
        <v>9.3054744331758088E-3</v>
      </c>
      <c r="AA69">
        <f>Sex!AA69/Sex!$F69</f>
        <v>1.3540062655976212E-3</v>
      </c>
      <c r="AB69">
        <f>Sex!AB69/Sex!$F69</f>
        <v>6.8430414697605267E-3</v>
      </c>
      <c r="AC69">
        <f>Sex!AC69/Sex!$F69</f>
        <v>1.8584399723888919E-4</v>
      </c>
      <c r="AD69">
        <f>Sex!AD69/Sex!$F69</f>
        <v>6.3518823342006052E-3</v>
      </c>
      <c r="AE69">
        <f>Sex!AE69/Sex!$F69</f>
        <v>6.1912600223012794E-2</v>
      </c>
      <c r="AF69">
        <f>Sex!AF69/Sex!$F69</f>
        <v>5.2434556363829452E-4</v>
      </c>
      <c r="AG69">
        <f>Sex!AG69/Sex!$F69</f>
        <v>0.20960547974300431</v>
      </c>
      <c r="AH69">
        <f>Sex!AH69/Sex!$F69</f>
        <v>0.19420697711463919</v>
      </c>
      <c r="AI69">
        <f>Sex!AI69/Sex!$F69</f>
        <v>3.1792598099081399E-3</v>
      </c>
      <c r="AJ69">
        <f>Sex!AJ69/Sex!$F69</f>
        <v>2.1372059682472255E-3</v>
      </c>
      <c r="AK69">
        <f>Sex!AK69/Sex!$F69</f>
        <v>0.17704959379812032</v>
      </c>
      <c r="AL69">
        <f>Sex!AL69/Sex!$F69</f>
        <v>7.3468114479902299E-2</v>
      </c>
      <c r="AM69">
        <f>Sex!AM69/Sex!$F69</f>
        <v>5.1770827802261987E-4</v>
      </c>
      <c r="AN69">
        <f>Sex!AN69/Sex!$F69</f>
        <v>3.7049328306695696E-2</v>
      </c>
      <c r="AO69">
        <f>Sex!AO69/Sex!$F69</f>
        <v>2.8075718154303617E-3</v>
      </c>
      <c r="AP69">
        <f>Sex!AP69/Sex!$F69</f>
        <v>3.2575797801731005E-2</v>
      </c>
      <c r="AQ69">
        <f>Sex!AQ69/Sex!$F69</f>
        <v>2.9874422556151435E-2</v>
      </c>
      <c r="AR69">
        <f>Sex!AR69/Sex!$F69</f>
        <v>2.96222057027558E-2</v>
      </c>
      <c r="AS69">
        <f>Sex!AS69/Sex!$F69</f>
        <v>8.6682950140710459E-3</v>
      </c>
      <c r="AT69">
        <f>Sex!AT69/Sex!$F69</f>
        <v>4.2677746508787764E-3</v>
      </c>
      <c r="AU69">
        <f>Sex!AU69/Sex!$F69</f>
        <v>9.2264907343492811E-2</v>
      </c>
      <c r="AV69">
        <f>Sex!AV69/Sex!$F69</f>
        <v>2.6675250889396273E-2</v>
      </c>
      <c r="AW69">
        <f>Sex!AW69/Sex!$F69</f>
        <v>4.7456592152073486E-3</v>
      </c>
      <c r="AX69">
        <f>Sex!AX69/Sex!$F69</f>
        <v>1.4469282642170659E-2</v>
      </c>
      <c r="AY69">
        <f>Sex!AY69/Sex!$F69</f>
        <v>1.1190463548027399E-2</v>
      </c>
      <c r="AZ69">
        <f>Sex!AZ69/Sex!$F69</f>
        <v>2.4425211065682577E-3</v>
      </c>
      <c r="BA69">
        <f>Sex!BA69/Sex!$F69</f>
        <v>7.3687144905219562E-2</v>
      </c>
      <c r="BB69">
        <f>Sex!BB69/Sex!$F69</f>
        <v>6.3259969202994745E-2</v>
      </c>
      <c r="BC69">
        <f>Sex!BC69/Sex!$F69</f>
        <v>1.8584399723888919E-4</v>
      </c>
    </row>
    <row r="70" spans="1:55">
      <c r="A70" s="1">
        <v>1178</v>
      </c>
      <c r="B70" s="1" t="s">
        <v>32</v>
      </c>
      <c r="C70" t="s">
        <v>222</v>
      </c>
      <c r="D70">
        <v>89352</v>
      </c>
      <c r="E70">
        <v>81651</v>
      </c>
      <c r="F70">
        <v>80568</v>
      </c>
      <c r="G70">
        <f>Sex!G70/Sex!$F70</f>
        <v>0.50063300565981528</v>
      </c>
      <c r="H70">
        <f>Sex!H70/Sex!$F70</f>
        <v>1.1543044384867441E-2</v>
      </c>
      <c r="I70">
        <f>Sex!I70/Sex!$F70</f>
        <v>1.0711448714129679E-2</v>
      </c>
      <c r="J70">
        <f>Sex!J70/Sex!$F70</f>
        <v>1.0165326184092939E-2</v>
      </c>
      <c r="K70">
        <f>Sex!K70/Sex!$F70</f>
        <v>1.0103266805679674E-2</v>
      </c>
      <c r="L70">
        <f>Sex!L70/Sex!$F70</f>
        <v>9.8053817892959985E-3</v>
      </c>
      <c r="M70">
        <f>Sex!M70/Sex!$F70</f>
        <v>2.4823751365306325E-3</v>
      </c>
      <c r="N70">
        <f>Sex!N70/Sex!$F70</f>
        <v>5.126104656935756E-3</v>
      </c>
      <c r="O70">
        <f>Sex!O70/Sex!$F70</f>
        <v>1.7376625955714428E-4</v>
      </c>
      <c r="P70">
        <f>Sex!P70/Sex!$F70</f>
        <v>1.4894250819183795E-4</v>
      </c>
      <c r="Q70">
        <f>Sex!Q70/Sex!$F70</f>
        <v>0.19614487141296794</v>
      </c>
      <c r="R70">
        <f>Sex!R70/Sex!$F70</f>
        <v>2.4972693873498163E-2</v>
      </c>
      <c r="S70">
        <f>Sex!S70/Sex!$F70</f>
        <v>0.1604607288253401</v>
      </c>
      <c r="T70">
        <f>Sex!T70/Sex!$F70</f>
        <v>9.5447323999602821E-3</v>
      </c>
      <c r="U70">
        <f>Sex!U70/Sex!$F70</f>
        <v>1.2784231953132757E-2</v>
      </c>
      <c r="V70">
        <f>Sex!V70/Sex!$F70</f>
        <v>1.9362526064938934E-2</v>
      </c>
      <c r="W70">
        <f>Sex!W70/Sex!$F70</f>
        <v>4.3205739251315656E-2</v>
      </c>
      <c r="X70">
        <f>Sex!X70/Sex!$F70</f>
        <v>7.2485353986694468E-3</v>
      </c>
      <c r="Y70">
        <f>Sex!Y70/Sex!$F70</f>
        <v>6.9754741336510769E-3</v>
      </c>
      <c r="Z70">
        <f>Sex!Z70/Sex!$F70</f>
        <v>5.3420712938139214E-2</v>
      </c>
      <c r="AA70">
        <f>Sex!AA70/Sex!$F70</f>
        <v>1.0550094330255189E-2</v>
      </c>
      <c r="AB70">
        <f>Sex!AB70/Sex!$F70</f>
        <v>3.686327077747989E-2</v>
      </c>
      <c r="AC70">
        <f>Sex!AC70/Sex!$F70</f>
        <v>4.8902790189653458E-3</v>
      </c>
      <c r="AD70">
        <f>Sex!AD70/Sex!$F70</f>
        <v>2.9329262238109423E-2</v>
      </c>
      <c r="AE70">
        <f>Sex!AE70/Sex!$F70</f>
        <v>5.2080230364412672E-2</v>
      </c>
      <c r="AF70">
        <f>Sex!AF70/Sex!$F70</f>
        <v>8.8124317346837452E-4</v>
      </c>
      <c r="AG70">
        <f>Sex!AG70/Sex!$F70</f>
        <v>0.26004120742726639</v>
      </c>
      <c r="AH70">
        <f>Sex!AH70/Sex!$F70</f>
        <v>0.23374044285572435</v>
      </c>
      <c r="AI70">
        <f>Sex!AI70/Sex!$F70</f>
        <v>4.4186277430245261E-3</v>
      </c>
      <c r="AJ70">
        <f>Sex!AJ70/Sex!$F70</f>
        <v>7.5588322907357763E-3</v>
      </c>
      <c r="AK70">
        <f>Sex!AK70/Sex!$F70</f>
        <v>0.20498212689901699</v>
      </c>
      <c r="AL70">
        <f>Sex!AL70/Sex!$F70</f>
        <v>9.94811835964651E-2</v>
      </c>
      <c r="AM70">
        <f>Sex!AM70/Sex!$F70</f>
        <v>1.2287756925826632E-3</v>
      </c>
      <c r="AN70">
        <f>Sex!AN70/Sex!$F70</f>
        <v>4.6941713831794261E-2</v>
      </c>
      <c r="AO70">
        <f>Sex!AO70/Sex!$F70</f>
        <v>2.4004567570251215E-2</v>
      </c>
      <c r="AP70">
        <f>Sex!AP70/Sex!$F70</f>
        <v>2.0206533611359347E-2</v>
      </c>
      <c r="AQ70">
        <f>Sex!AQ70/Sex!$F70</f>
        <v>4.2597557342865654E-2</v>
      </c>
      <c r="AR70">
        <f>Sex!AR70/Sex!$F70</f>
        <v>3.7943103961870721E-2</v>
      </c>
      <c r="AS70">
        <f>Sex!AS70/Sex!$F70</f>
        <v>2.739300963161553E-2</v>
      </c>
      <c r="AT70">
        <f>Sex!AT70/Sex!$F70</f>
        <v>2.0318240492503227E-2</v>
      </c>
      <c r="AU70">
        <f>Sex!AU70/Sex!$F70</f>
        <v>9.8165524774103868E-2</v>
      </c>
      <c r="AV70">
        <f>Sex!AV70/Sex!$F70</f>
        <v>3.3834773110912521E-2</v>
      </c>
      <c r="AW70">
        <f>Sex!AW70/Sex!$F70</f>
        <v>2.5729818290140007E-2</v>
      </c>
      <c r="AX70">
        <f>Sex!AX70/Sex!$F70</f>
        <v>8.5393704696653753E-3</v>
      </c>
      <c r="AY70">
        <f>Sex!AY70/Sex!$F70</f>
        <v>2.6189057690398174E-3</v>
      </c>
      <c r="AZ70">
        <f>Sex!AZ70/Sex!$F70</f>
        <v>5.5481084301459635E-3</v>
      </c>
      <c r="BA70">
        <f>Sex!BA70/Sex!$F70</f>
        <v>7.8256876179128187E-2</v>
      </c>
      <c r="BB70">
        <f>Sex!BB70/Sex!$F70</f>
        <v>2.5667758911726742E-2</v>
      </c>
      <c r="BC70">
        <f>Sex!BC70/Sex!$F70</f>
        <v>3.1029689206632906E-4</v>
      </c>
    </row>
    <row r="71" spans="1:55">
      <c r="A71" s="1">
        <v>1181</v>
      </c>
      <c r="B71" s="1" t="s">
        <v>32</v>
      </c>
      <c r="C71" t="s">
        <v>223</v>
      </c>
      <c r="D71">
        <v>103950</v>
      </c>
      <c r="E71">
        <v>100965</v>
      </c>
      <c r="F71">
        <v>93340</v>
      </c>
      <c r="G71">
        <f>Sex!G71/Sex!$F71</f>
        <v>0.43163702592671954</v>
      </c>
      <c r="H71">
        <f>Sex!H71/Sex!$F71</f>
        <v>1.7141632740518535E-4</v>
      </c>
      <c r="I71">
        <f>Sex!I71/Sex!$F71</f>
        <v>1.6070280694236127E-4</v>
      </c>
      <c r="J71">
        <f>Sex!J71/Sex!$F71</f>
        <v>1.6070280694236127E-4</v>
      </c>
      <c r="K71">
        <f>Sex!K71/Sex!$F71</f>
        <v>1.392757660167131E-4</v>
      </c>
      <c r="L71">
        <f>Sex!L71/Sex!$F71</f>
        <v>1.392757660167131E-4</v>
      </c>
      <c r="M71">
        <f>Sex!M71/Sex!$F71</f>
        <v>8.5708163702592673E-5</v>
      </c>
      <c r="N71">
        <f>Sex!N71/Sex!$F71</f>
        <v>3.2140561388472249E-5</v>
      </c>
      <c r="O71">
        <f>Sex!O71/Sex!$F71</f>
        <v>0</v>
      </c>
      <c r="P71">
        <f>Sex!P71/Sex!$F71</f>
        <v>0</v>
      </c>
      <c r="Q71">
        <f>Sex!Q71/Sex!$F71</f>
        <v>0.25094278980072854</v>
      </c>
      <c r="R71">
        <f>Sex!R71/Sex!$F71</f>
        <v>1.6916648810799229E-2</v>
      </c>
      <c r="S71">
        <f>Sex!S71/Sex!$F71</f>
        <v>0.23065138204413971</v>
      </c>
      <c r="T71">
        <f>Sex!T71/Sex!$F71</f>
        <v>3.1604885365331048E-3</v>
      </c>
      <c r="U71">
        <f>Sex!U71/Sex!$F71</f>
        <v>2.9355046068137991E-3</v>
      </c>
      <c r="V71">
        <f>Sex!V71/Sex!$F71</f>
        <v>7.2176987358045855E-2</v>
      </c>
      <c r="W71">
        <f>Sex!W71/Sex!$F71</f>
        <v>1.7570173559031496E-2</v>
      </c>
      <c r="X71">
        <f>Sex!X71/Sex!$F71</f>
        <v>6.5673880437111636E-3</v>
      </c>
      <c r="Y71">
        <f>Sex!Y71/Sex!$F71</f>
        <v>6.2031283479751448E-3</v>
      </c>
      <c r="Z71">
        <f>Sex!Z71/Sex!$F71</f>
        <v>4.8328690807799446E-2</v>
      </c>
      <c r="AA71">
        <f>Sex!AA71/Sex!$F71</f>
        <v>6.9637883008356546E-4</v>
      </c>
      <c r="AB71">
        <f>Sex!AB71/Sex!$F71</f>
        <v>4.318620098564388E-2</v>
      </c>
      <c r="AC71">
        <f>Sex!AC71/Sex!$F71</f>
        <v>1.7988000857081635E-2</v>
      </c>
      <c r="AD71">
        <f>Sex!AD71/Sex!$F71</f>
        <v>6.3424041139918579E-3</v>
      </c>
      <c r="AE71">
        <f>Sex!AE71/Sex!$F71</f>
        <v>0.10781015641739876</v>
      </c>
      <c r="AF71">
        <f>Sex!AF71/Sex!$F71</f>
        <v>3.4283265481037069E-4</v>
      </c>
      <c r="AG71">
        <f>Sex!AG71/Sex!$F71</f>
        <v>0.17428755088922221</v>
      </c>
      <c r="AH71">
        <f>Sex!AH71/Sex!$F71</f>
        <v>9.7525176773087641E-2</v>
      </c>
      <c r="AI71">
        <f>Sex!AI71/Sex!$F71</f>
        <v>4.2854081851296337E-5</v>
      </c>
      <c r="AJ71">
        <f>Sex!AJ71/Sex!$F71</f>
        <v>1.1784872509106492E-4</v>
      </c>
      <c r="AK71">
        <f>Sex!AK71/Sex!$F71</f>
        <v>9.7053781872723371E-2</v>
      </c>
      <c r="AL71">
        <f>Sex!AL71/Sex!$F71</f>
        <v>5.6470966359545745E-2</v>
      </c>
      <c r="AM71">
        <f>Sex!AM71/Sex!$F71</f>
        <v>6.4281122776944498E-5</v>
      </c>
      <c r="AN71">
        <f>Sex!AN71/Sex!$F71</f>
        <v>1.6745232483394042E-2</v>
      </c>
      <c r="AO71">
        <f>Sex!AO71/Sex!$F71</f>
        <v>2.5712449110777804E-3</v>
      </c>
      <c r="AP71">
        <f>Sex!AP71/Sex!$F71</f>
        <v>1.3166916648810799E-2</v>
      </c>
      <c r="AQ71">
        <f>Sex!AQ71/Sex!$F71</f>
        <v>3.5268909363616888E-2</v>
      </c>
      <c r="AR71">
        <f>Sex!AR71/Sex!$F71</f>
        <v>3.5129633597600171E-2</v>
      </c>
      <c r="AS71">
        <f>Sex!AS71/Sex!$F71</f>
        <v>6.5352474823226917E-4</v>
      </c>
      <c r="AT71">
        <f>Sex!AT71/Sex!$F71</f>
        <v>5.3567602314120418E-5</v>
      </c>
      <c r="AU71">
        <f>Sex!AU71/Sex!$F71</f>
        <v>2.977287336618813E-2</v>
      </c>
      <c r="AV71">
        <f>Sex!AV71/Sex!$F71</f>
        <v>6.7495178915791731E-4</v>
      </c>
      <c r="AW71">
        <f>Sex!AW71/Sex!$F71</f>
        <v>2.1427040925648168E-5</v>
      </c>
      <c r="AX71">
        <f>Sex!AX71/Sex!$F71</f>
        <v>5.4103278337261623E-3</v>
      </c>
      <c r="AY71">
        <f>Sex!AY71/Sex!$F71</f>
        <v>3.1176344546818085E-3</v>
      </c>
      <c r="AZ71">
        <f>Sex!AZ71/Sex!$F71</f>
        <v>1.8105849582172701E-3</v>
      </c>
      <c r="BA71">
        <f>Sex!BA71/Sex!$F71</f>
        <v>2.2251982001285621E-2</v>
      </c>
      <c r="BB71">
        <f>Sex!BB71/Sex!$F71</f>
        <v>2.1352046282408398E-2</v>
      </c>
      <c r="BC71">
        <f>Sex!BC71/Sex!$F71</f>
        <v>9.6421684165416761E-5</v>
      </c>
    </row>
    <row r="72" spans="1:55">
      <c r="A72" s="1">
        <v>1186</v>
      </c>
      <c r="B72" s="1" t="s">
        <v>32</v>
      </c>
      <c r="C72" t="s">
        <v>224</v>
      </c>
      <c r="D72">
        <v>130376</v>
      </c>
      <c r="E72">
        <v>126147</v>
      </c>
      <c r="F72">
        <v>120112</v>
      </c>
      <c r="G72">
        <f>Sex!G72/Sex!$F72</f>
        <v>0.78937158651924866</v>
      </c>
      <c r="H72">
        <f>Sex!H72/Sex!$F72</f>
        <v>9.9906753696549889E-5</v>
      </c>
      <c r="I72">
        <f>Sex!I72/Sex!$F72</f>
        <v>9.9906753696549889E-5</v>
      </c>
      <c r="J72">
        <f>Sex!J72/Sex!$F72</f>
        <v>8.3255628080458236E-5</v>
      </c>
      <c r="K72">
        <f>Sex!K72/Sex!$F72</f>
        <v>8.3255628080458236E-5</v>
      </c>
      <c r="L72">
        <f>Sex!L72/Sex!$F72</f>
        <v>8.3255628080458236E-5</v>
      </c>
      <c r="M72">
        <f>Sex!M72/Sex!$F72</f>
        <v>4.1627814040229118E-5</v>
      </c>
      <c r="N72">
        <f>Sex!N72/Sex!$F72</f>
        <v>2.4976688424137472E-5</v>
      </c>
      <c r="O72">
        <f>Sex!O72/Sex!$F72</f>
        <v>0</v>
      </c>
      <c r="P72">
        <f>Sex!P72/Sex!$F72</f>
        <v>0</v>
      </c>
      <c r="Q72">
        <f>Sex!Q72/Sex!$F72</f>
        <v>0.19956374050885839</v>
      </c>
      <c r="R72">
        <f>Sex!R72/Sex!$F72</f>
        <v>4.0462235247102706E-2</v>
      </c>
      <c r="S72">
        <f>Sex!S72/Sex!$F72</f>
        <v>0.15692020780604768</v>
      </c>
      <c r="T72">
        <f>Sex!T72/Sex!$F72</f>
        <v>1.7317170640735315E-2</v>
      </c>
      <c r="U72">
        <f>Sex!U72/Sex!$F72</f>
        <v>9.3079792193952304E-3</v>
      </c>
      <c r="V72">
        <f>Sex!V72/Sex!$F72</f>
        <v>9.7658851738377517E-3</v>
      </c>
      <c r="W72">
        <f>Sex!W72/Sex!$F72</f>
        <v>1.9706607166644467E-2</v>
      </c>
      <c r="X72">
        <f>Sex!X72/Sex!$F72</f>
        <v>5.0119888104435857E-3</v>
      </c>
      <c r="Y72">
        <f>Sex!Y72/Sex!$F72</f>
        <v>4.5957106700412944E-3</v>
      </c>
      <c r="Z72">
        <f>Sex!Z72/Sex!$F72</f>
        <v>1.0823231650459571E-2</v>
      </c>
      <c r="AA72">
        <f>Sex!AA72/Sex!$F72</f>
        <v>1.656786998801119E-3</v>
      </c>
      <c r="AB72">
        <f>Sex!AB72/Sex!$F72</f>
        <v>8.1340748634607697E-3</v>
      </c>
      <c r="AC72">
        <f>Sex!AC72/Sex!$F72</f>
        <v>3.7465032636206208E-4</v>
      </c>
      <c r="AD72">
        <f>Sex!AD72/Sex!$F72</f>
        <v>6.5605434927401094E-3</v>
      </c>
      <c r="AE72">
        <f>Sex!AE72/Sex!$F72</f>
        <v>0.11953843079792194</v>
      </c>
      <c r="AF72">
        <f>Sex!AF72/Sex!$F72</f>
        <v>2.8306913547355801E-3</v>
      </c>
      <c r="AG72">
        <f>Sex!AG72/Sex!$F72</f>
        <v>0.58152391101638468</v>
      </c>
      <c r="AH72">
        <f>Sex!AH72/Sex!$F72</f>
        <v>0.51212201944851476</v>
      </c>
      <c r="AI72">
        <f>Sex!AI72/Sex!$F72</f>
        <v>4.2460370321033706E-3</v>
      </c>
      <c r="AJ72">
        <f>Sex!AJ72/Sex!$F72</f>
        <v>4.8038497402424401E-3</v>
      </c>
      <c r="AK72">
        <f>Sex!AK72/Sex!$F72</f>
        <v>0.49382243239642998</v>
      </c>
      <c r="AL72">
        <f>Sex!AL72/Sex!$F72</f>
        <v>0.28663247635540162</v>
      </c>
      <c r="AM72">
        <f>Sex!AM72/Sex!$F72</f>
        <v>1.3320900492873318E-3</v>
      </c>
      <c r="AN72">
        <f>Sex!AN72/Sex!$F72</f>
        <v>0.13640602104702279</v>
      </c>
      <c r="AO72">
        <f>Sex!AO72/Sex!$F72</f>
        <v>9.2072399094178761E-2</v>
      </c>
      <c r="AP72">
        <f>Sex!AP72/Sex!$F72</f>
        <v>3.3701878246969498E-2</v>
      </c>
      <c r="AQ72">
        <f>Sex!AQ72/Sex!$F72</f>
        <v>0.11999633675236446</v>
      </c>
      <c r="AR72">
        <f>Sex!AR72/Sex!$F72</f>
        <v>0.10509357932596243</v>
      </c>
      <c r="AS72">
        <f>Sex!AS72/Sex!$F72</f>
        <v>1.2738111096310111E-2</v>
      </c>
      <c r="AT72">
        <f>Sex!AT72/Sex!$F72</f>
        <v>3.172039429865459E-3</v>
      </c>
      <c r="AU72">
        <f>Sex!AU72/Sex!$F72</f>
        <v>0.18396163580658054</v>
      </c>
      <c r="AV72">
        <f>Sex!AV72/Sex!$F72</f>
        <v>1.0298721193552685E-2</v>
      </c>
      <c r="AW72">
        <f>Sex!AW72/Sex!$F72</f>
        <v>1.8899027574264019E-3</v>
      </c>
      <c r="AX72">
        <f>Sex!AX72/Sex!$F72</f>
        <v>7.0392633542027447E-2</v>
      </c>
      <c r="AY72">
        <f>Sex!AY72/Sex!$F72</f>
        <v>4.3292926601838288E-3</v>
      </c>
      <c r="AZ72">
        <f>Sex!AZ72/Sex!$F72</f>
        <v>6.3324230717996532E-2</v>
      </c>
      <c r="BA72">
        <f>Sex!BA72/Sex!$F72</f>
        <v>0.10514353270281071</v>
      </c>
      <c r="BB72">
        <f>Sex!BB72/Sex!$F72</f>
        <v>6.4056880245104572E-2</v>
      </c>
      <c r="BC72">
        <f>Sex!BC72/Sex!$F72</f>
        <v>1.7317170640735314E-3</v>
      </c>
    </row>
    <row r="73" spans="1:55">
      <c r="A73" s="1">
        <v>1210</v>
      </c>
      <c r="B73" s="1" t="s">
        <v>32</v>
      </c>
      <c r="C73" t="s">
        <v>228</v>
      </c>
      <c r="D73">
        <v>66184</v>
      </c>
      <c r="E73">
        <v>59940</v>
      </c>
      <c r="F73">
        <v>58794</v>
      </c>
      <c r="G73">
        <f>Sex!G73/Sex!$F73</f>
        <v>0.35297819505391709</v>
      </c>
      <c r="H73">
        <f>Sex!H73/Sex!$F73</f>
        <v>7.3476885396469025E-3</v>
      </c>
      <c r="I73">
        <f>Sex!I73/Sex!$F73</f>
        <v>7.1776031567847062E-3</v>
      </c>
      <c r="J73">
        <f>Sex!J73/Sex!$F73</f>
        <v>6.735381161342994E-3</v>
      </c>
      <c r="K73">
        <f>Sex!K73/Sex!$F73</f>
        <v>6.7183726230567748E-3</v>
      </c>
      <c r="L73">
        <f>Sex!L73/Sex!$F73</f>
        <v>6.6843555464843355E-3</v>
      </c>
      <c r="M73">
        <f>Sex!M73/Sex!$F73</f>
        <v>2.5002551280742932E-3</v>
      </c>
      <c r="N73">
        <f>Sex!N73/Sex!$F73</f>
        <v>3.163588121236861E-3</v>
      </c>
      <c r="O73">
        <f>Sex!O73/Sex!$F73</f>
        <v>3.4017076572439365E-5</v>
      </c>
      <c r="P73">
        <f>Sex!P73/Sex!$F73</f>
        <v>6.8034153144878729E-5</v>
      </c>
      <c r="Q73">
        <f>Sex!Q73/Sex!$F73</f>
        <v>0.17464367112290369</v>
      </c>
      <c r="R73">
        <f>Sex!R73/Sex!$F73</f>
        <v>7.4140218389631599E-2</v>
      </c>
      <c r="S73">
        <f>Sex!S73/Sex!$F73</f>
        <v>9.1301833520427256E-2</v>
      </c>
      <c r="T73">
        <f>Sex!T73/Sex!$F73</f>
        <v>3.4527332721025956E-3</v>
      </c>
      <c r="U73">
        <f>Sex!U73/Sex!$F73</f>
        <v>5.1025614858659046E-4</v>
      </c>
      <c r="V73">
        <f>Sex!V73/Sex!$F73</f>
        <v>2.0920502092050207E-3</v>
      </c>
      <c r="W73">
        <f>Sex!W73/Sex!$F73</f>
        <v>3.2571350818110689E-2</v>
      </c>
      <c r="X73">
        <f>Sex!X73/Sex!$F73</f>
        <v>1.0290165663162907E-2</v>
      </c>
      <c r="Y73">
        <f>Sex!Y73/Sex!$F73</f>
        <v>9.5247814402830214E-3</v>
      </c>
      <c r="Z73">
        <f>Sex!Z73/Sex!$F73</f>
        <v>2.0937510630336428E-2</v>
      </c>
      <c r="AA73">
        <f>Sex!AA73/Sex!$F73</f>
        <v>4.7453821818552915E-3</v>
      </c>
      <c r="AB73">
        <f>Sex!AB73/Sex!$F73</f>
        <v>1.124264380719121E-2</v>
      </c>
      <c r="AC73">
        <f>Sex!AC73/Sex!$F73</f>
        <v>6.8034153144878732E-4</v>
      </c>
      <c r="AD73">
        <f>Sex!AD73/Sex!$F73</f>
        <v>1.0103071742014491E-2</v>
      </c>
      <c r="AE73">
        <f>Sex!AE73/Sex!$F73</f>
        <v>2.4407252440725245E-2</v>
      </c>
      <c r="AF73">
        <f>Sex!AF73/Sex!$F73</f>
        <v>3.4017076572439366E-4</v>
      </c>
      <c r="AG73">
        <f>Sex!AG73/Sex!$F73</f>
        <v>0.16437051399802702</v>
      </c>
      <c r="AH73">
        <f>Sex!AH73/Sex!$F73</f>
        <v>0.15624043269721399</v>
      </c>
      <c r="AI73">
        <f>Sex!AI73/Sex!$F73</f>
        <v>5.1025614858659046E-4</v>
      </c>
      <c r="AJ73">
        <f>Sex!AJ73/Sex!$F73</f>
        <v>7.6538422287988569E-4</v>
      </c>
      <c r="AK73">
        <f>Sex!AK73/Sex!$F73</f>
        <v>0.15183522128108309</v>
      </c>
      <c r="AL73">
        <f>Sex!AL73/Sex!$F73</f>
        <v>9.7748069530904508E-2</v>
      </c>
      <c r="AM73">
        <f>Sex!AM73/Sex!$F73</f>
        <v>5.1025614858659046E-4</v>
      </c>
      <c r="AN73">
        <f>Sex!AN73/Sex!$F73</f>
        <v>6.1298771983535734E-2</v>
      </c>
      <c r="AO73">
        <f>Sex!AO73/Sex!$F73</f>
        <v>1.1922985338639997E-2</v>
      </c>
      <c r="AP73">
        <f>Sex!AP73/Sex!$F73</f>
        <v>4.3303738476715314E-2</v>
      </c>
      <c r="AQ73">
        <f>Sex!AQ73/Sex!$F73</f>
        <v>2.8115113787121136E-2</v>
      </c>
      <c r="AR73">
        <f>Sex!AR73/Sex!$F73</f>
        <v>2.7111610028234173E-2</v>
      </c>
      <c r="AS73">
        <f>Sex!AS73/Sex!$F73</f>
        <v>7.0755519270673875E-3</v>
      </c>
      <c r="AT73">
        <f>Sex!AT73/Sex!$F73</f>
        <v>1.7518794434806272E-3</v>
      </c>
      <c r="AU73">
        <f>Sex!AU73/Sex!$F73</f>
        <v>4.641630098309351E-2</v>
      </c>
      <c r="AV73">
        <f>Sex!AV73/Sex!$F73</f>
        <v>1.709358097765078E-2</v>
      </c>
      <c r="AW73">
        <f>Sex!AW73/Sex!$F73</f>
        <v>1.343674524611355E-3</v>
      </c>
      <c r="AX73">
        <f>Sex!AX73/Sex!$F73</f>
        <v>1.3011531788958057E-2</v>
      </c>
      <c r="AY73">
        <f>Sex!AY73/Sex!$F73</f>
        <v>4.405211416130898E-3</v>
      </c>
      <c r="AZ73">
        <f>Sex!AZ73/Sex!$F73</f>
        <v>7.2626458482158048E-3</v>
      </c>
      <c r="BA73">
        <f>Sex!BA73/Sex!$F73</f>
        <v>3.2027077592951661E-2</v>
      </c>
      <c r="BB73">
        <f>Sex!BB73/Sex!$F73</f>
        <v>2.6822464877368439E-2</v>
      </c>
      <c r="BC73">
        <f>Sex!BC73/Sex!$F73</f>
        <v>8.5042691431098415E-5</v>
      </c>
    </row>
    <row r="74" spans="1:55">
      <c r="A74" s="1">
        <v>1226</v>
      </c>
      <c r="B74" s="1" t="s">
        <v>32</v>
      </c>
      <c r="C74" t="s">
        <v>229</v>
      </c>
      <c r="D74">
        <v>38823</v>
      </c>
      <c r="E74">
        <v>36155</v>
      </c>
      <c r="F74">
        <v>35289</v>
      </c>
      <c r="G74">
        <f>Sex!G74/Sex!$F74</f>
        <v>0.53554932131825783</v>
      </c>
      <c r="H74">
        <f>Sex!H74/Sex!$F74</f>
        <v>3.2304684179205985E-3</v>
      </c>
      <c r="I74">
        <f>Sex!I74/Sex!$F74</f>
        <v>3.1454560911332143E-3</v>
      </c>
      <c r="J74">
        <f>Sex!J74/Sex!$F74</f>
        <v>2.9187565530335233E-3</v>
      </c>
      <c r="K74">
        <f>Sex!K74/Sex!$F74</f>
        <v>2.9187565530335233E-3</v>
      </c>
      <c r="L74">
        <f>Sex!L74/Sex!$F74</f>
        <v>2.890419110771062E-3</v>
      </c>
      <c r="M74">
        <f>Sex!M74/Sex!$F74</f>
        <v>7.6511094108645751E-4</v>
      </c>
      <c r="N74">
        <f>Sex!N74/Sex!$F74</f>
        <v>1.898608631584913E-3</v>
      </c>
      <c r="O74">
        <f>Sex!O74/Sex!$F74</f>
        <v>2.8337442262461391E-5</v>
      </c>
      <c r="P74">
        <f>Sex!P74/Sex!$F74</f>
        <v>5.6674884524922782E-5</v>
      </c>
      <c r="Q74">
        <f>Sex!Q74/Sex!$F74</f>
        <v>0.16815438238544589</v>
      </c>
      <c r="R74">
        <f>Sex!R74/Sex!$F74</f>
        <v>4.1004278953781628E-2</v>
      </c>
      <c r="S74">
        <f>Sex!S74/Sex!$F74</f>
        <v>0.10847572898070221</v>
      </c>
      <c r="T74">
        <f>Sex!T74/Sex!$F74</f>
        <v>3.6470288191787811E-2</v>
      </c>
      <c r="U74">
        <f>Sex!U74/Sex!$F74</f>
        <v>1.671909093485222E-3</v>
      </c>
      <c r="V74">
        <f>Sex!V74/Sex!$F74</f>
        <v>1.5868967666978378E-3</v>
      </c>
      <c r="W74">
        <f>Sex!W74/Sex!$F74</f>
        <v>8.9262943126753383E-3</v>
      </c>
      <c r="X74">
        <f>Sex!X74/Sex!$F74</f>
        <v>1.8419337470599903E-3</v>
      </c>
      <c r="Y74">
        <f>Sex!Y74/Sex!$F74</f>
        <v>1.6152342089602993E-3</v>
      </c>
      <c r="Z74">
        <f>Sex!Z74/Sex!$F74</f>
        <v>2.5758735016577404E-2</v>
      </c>
      <c r="AA74">
        <f>Sex!AA74/Sex!$F74</f>
        <v>7.6511094108645756E-3</v>
      </c>
      <c r="AB74">
        <f>Sex!AB74/Sex!$F74</f>
        <v>9.1529938507750284E-3</v>
      </c>
      <c r="AC74">
        <f>Sex!AC74/Sex!$F74</f>
        <v>2.8337442262461388E-4</v>
      </c>
      <c r="AD74">
        <f>Sex!AD74/Sex!$F74</f>
        <v>8.3595454674261094E-3</v>
      </c>
      <c r="AE74">
        <f>Sex!AE74/Sex!$F74</f>
        <v>6.5856215817960265E-2</v>
      </c>
      <c r="AF74">
        <f>Sex!AF74/Sex!$F74</f>
        <v>8.2178582561138027E-4</v>
      </c>
      <c r="AG74">
        <f>Sex!AG74/Sex!$F74</f>
        <v>0.35532318852900335</v>
      </c>
      <c r="AH74">
        <f>Sex!AH74/Sex!$F74</f>
        <v>0.33160474935532319</v>
      </c>
      <c r="AI74">
        <f>Sex!AI74/Sex!$F74</f>
        <v>2.0119584006347588E-3</v>
      </c>
      <c r="AJ74">
        <f>Sex!AJ74/Sex!$F74</f>
        <v>9.0679815239876451E-4</v>
      </c>
      <c r="AK74">
        <f>Sex!AK74/Sex!$F74</f>
        <v>0.32009974779676387</v>
      </c>
      <c r="AL74">
        <f>Sex!AL74/Sex!$F74</f>
        <v>0.25228824846269376</v>
      </c>
      <c r="AM74">
        <f>Sex!AM74/Sex!$F74</f>
        <v>7.6511094108645751E-4</v>
      </c>
      <c r="AN74">
        <f>Sex!AN74/Sex!$F74</f>
        <v>0.10833404176938989</v>
      </c>
      <c r="AO74">
        <f>Sex!AO74/Sex!$F74</f>
        <v>3.547847771260166E-2</v>
      </c>
      <c r="AP74">
        <f>Sex!AP74/Sex!$F74</f>
        <v>6.1492249709541216E-2</v>
      </c>
      <c r="AQ74">
        <f>Sex!AQ74/Sex!$F74</f>
        <v>0.11230128368613448</v>
      </c>
      <c r="AR74">
        <f>Sex!AR74/Sex!$F74</f>
        <v>0.10096630678114993</v>
      </c>
      <c r="AS74">
        <f>Sex!AS74/Sex!$F74</f>
        <v>1.4707132534217461E-2</v>
      </c>
      <c r="AT74">
        <f>Sex!AT74/Sex!$F74</f>
        <v>6.3475870667913511E-3</v>
      </c>
      <c r="AU74">
        <f>Sex!AU74/Sex!$F74</f>
        <v>5.7298308254696929E-2</v>
      </c>
      <c r="AV74">
        <f>Sex!AV74/Sex!$F74</f>
        <v>8.2745331406387252E-3</v>
      </c>
      <c r="AW74">
        <f>Sex!AW74/Sex!$F74</f>
        <v>2.0686332851596813E-3</v>
      </c>
      <c r="AX74">
        <f>Sex!AX74/Sex!$F74</f>
        <v>1.7597551644988524E-2</v>
      </c>
      <c r="AY74">
        <f>Sex!AY74/Sex!$F74</f>
        <v>2.7770693417212161E-3</v>
      </c>
      <c r="AZ74">
        <f>Sex!AZ74/Sex!$F74</f>
        <v>1.3800334381818697E-2</v>
      </c>
      <c r="BA74">
        <f>Sex!BA74/Sex!$F74</f>
        <v>3.5648502366176428E-2</v>
      </c>
      <c r="BB74">
        <f>Sex!BB74/Sex!$F74</f>
        <v>2.1111394485533737E-2</v>
      </c>
      <c r="BC74">
        <f>Sex!BC74/Sex!$F74</f>
        <v>1.1334976904984556E-4</v>
      </c>
    </row>
    <row r="75" spans="1:55">
      <c r="A75" s="1">
        <v>1235</v>
      </c>
      <c r="B75" s="1" t="s">
        <v>32</v>
      </c>
      <c r="C75" t="s">
        <v>231</v>
      </c>
      <c r="D75">
        <v>36749</v>
      </c>
      <c r="E75">
        <v>35528</v>
      </c>
      <c r="F75">
        <v>35018</v>
      </c>
      <c r="G75">
        <f>Sex!G75/Sex!$F75</f>
        <v>0.86901022331372435</v>
      </c>
      <c r="H75">
        <f>Sex!H75/Sex!$F75</f>
        <v>8.8525900965217891E-4</v>
      </c>
      <c r="I75">
        <f>Sex!I75/Sex!$F75</f>
        <v>8.8525900965217891E-4</v>
      </c>
      <c r="J75">
        <f>Sex!J75/Sex!$F75</f>
        <v>7.995887829116454E-4</v>
      </c>
      <c r="K75">
        <f>Sex!K75/Sex!$F75</f>
        <v>7.995887829116454E-4</v>
      </c>
      <c r="L75">
        <f>Sex!L75/Sex!$F75</f>
        <v>7.995887829116454E-4</v>
      </c>
      <c r="M75">
        <f>Sex!M75/Sex!$F75</f>
        <v>2.855674224684448E-4</v>
      </c>
      <c r="N75">
        <f>Sex!N75/Sex!$F75</f>
        <v>3.7123764920897825E-4</v>
      </c>
      <c r="O75">
        <f>Sex!O75/Sex!$F75</f>
        <v>0</v>
      </c>
      <c r="P75">
        <f>Sex!P75/Sex!$F75</f>
        <v>0</v>
      </c>
      <c r="Q75">
        <f>Sex!Q75/Sex!$F75</f>
        <v>0.43788908561311324</v>
      </c>
      <c r="R75">
        <f>Sex!R75/Sex!$F75</f>
        <v>5.7998743503341138E-2</v>
      </c>
      <c r="S75">
        <f>Sex!S75/Sex!$F75</f>
        <v>0.37132331943571878</v>
      </c>
      <c r="T75">
        <f>Sex!T75/Sex!$F75</f>
        <v>2.5329830372951053E-2</v>
      </c>
      <c r="U75">
        <f>Sex!U75/Sex!$F75</f>
        <v>6.4481123993374842E-2</v>
      </c>
      <c r="V75">
        <f>Sex!V75/Sex!$F75</f>
        <v>9.1752812839111311E-2</v>
      </c>
      <c r="W75">
        <f>Sex!W75/Sex!$F75</f>
        <v>5.4172140042263978E-2</v>
      </c>
      <c r="X75">
        <f>Sex!X75/Sex!$F75</f>
        <v>7.795990633388543E-3</v>
      </c>
      <c r="Y75">
        <f>Sex!Y75/Sex!$F75</f>
        <v>7.253412530698498E-3</v>
      </c>
      <c r="Z75">
        <f>Sex!Z75/Sex!$F75</f>
        <v>2.1046319035924382E-2</v>
      </c>
      <c r="AA75">
        <f>Sex!AA75/Sex!$F75</f>
        <v>4.5976355017419614E-3</v>
      </c>
      <c r="AB75">
        <f>Sex!AB75/Sex!$F75</f>
        <v>1.396424695870695E-2</v>
      </c>
      <c r="AC75">
        <f>Sex!AC75/Sex!$F75</f>
        <v>3.9122736878176934E-3</v>
      </c>
      <c r="AD75">
        <f>Sex!AD75/Sex!$F75</f>
        <v>6.4538237477868524E-3</v>
      </c>
      <c r="AE75">
        <f>Sex!AE75/Sex!$F75</f>
        <v>0.2713176080872694</v>
      </c>
      <c r="AF75">
        <f>Sex!AF75/Sex!$F75</f>
        <v>1.313610143354846E-3</v>
      </c>
      <c r="AG75">
        <f>Sex!AG75/Sex!$F75</f>
        <v>0.42461020046833059</v>
      </c>
      <c r="AH75">
        <f>Sex!AH75/Sex!$F75</f>
        <v>0.36923867725169912</v>
      </c>
      <c r="AI75">
        <f>Sex!AI75/Sex!$F75</f>
        <v>5.9969158718373411E-4</v>
      </c>
      <c r="AJ75">
        <f>Sex!AJ75/Sex!$F75</f>
        <v>1.2850534011080016E-3</v>
      </c>
      <c r="AK75">
        <f>Sex!AK75/Sex!$F75</f>
        <v>0.36209949168998801</v>
      </c>
      <c r="AL75">
        <f>Sex!AL75/Sex!$F75</f>
        <v>0.18387686332743161</v>
      </c>
      <c r="AM75">
        <f>Sex!AM75/Sex!$F75</f>
        <v>1.2564966588611572E-3</v>
      </c>
      <c r="AN75">
        <f>Sex!AN75/Sex!$F75</f>
        <v>6.3053286881032608E-2</v>
      </c>
      <c r="AO75">
        <f>Sex!AO75/Sex!$F75</f>
        <v>2.530127363070421E-2</v>
      </c>
      <c r="AP75">
        <f>Sex!AP75/Sex!$F75</f>
        <v>3.1155405791307329E-2</v>
      </c>
      <c r="AQ75">
        <f>Sex!AQ75/Sex!$F75</f>
        <v>0.10140499171854475</v>
      </c>
      <c r="AR75">
        <f>Sex!AR75/Sex!$F75</f>
        <v>9.4894054486264201E-2</v>
      </c>
      <c r="AS75">
        <f>Sex!AS75/Sex!$F75</f>
        <v>1.1165686218516192E-2</v>
      </c>
      <c r="AT75">
        <f>Sex!AT75/Sex!$F75</f>
        <v>2.3702096064880918E-3</v>
      </c>
      <c r="AU75">
        <f>Sex!AU75/Sex!$F75</f>
        <v>0.16348734936318465</v>
      </c>
      <c r="AV75">
        <f>Sex!AV75/Sex!$F75</f>
        <v>1.4735278999371751E-2</v>
      </c>
      <c r="AW75">
        <f>Sex!AW75/Sex!$F75</f>
        <v>2.7985607401907592E-3</v>
      </c>
      <c r="AX75">
        <f>Sex!AX75/Sex!$F75</f>
        <v>6.1568336284196702E-2</v>
      </c>
      <c r="AY75">
        <f>Sex!AY75/Sex!$F75</f>
        <v>3.398252327374493E-3</v>
      </c>
      <c r="AZ75">
        <f>Sex!AZ75/Sex!$F75</f>
        <v>5.6028328288308872E-2</v>
      </c>
      <c r="BA75">
        <f>Sex!BA75/Sex!$F75</f>
        <v>8.4042492432463298E-2</v>
      </c>
      <c r="BB75">
        <f>Sex!BB75/Sex!$F75</f>
        <v>5.1973270889256955E-2</v>
      </c>
      <c r="BC75">
        <f>Sex!BC75/Sex!$F75</f>
        <v>3.997943914558227E-4</v>
      </c>
    </row>
    <row r="76" spans="1:55">
      <c r="A76" s="1">
        <v>1315</v>
      </c>
      <c r="B76" s="1" t="s">
        <v>32</v>
      </c>
      <c r="C76" t="s">
        <v>237</v>
      </c>
      <c r="D76">
        <v>150567</v>
      </c>
      <c r="E76">
        <v>146792</v>
      </c>
      <c r="F76">
        <v>145799</v>
      </c>
      <c r="G76">
        <f>Sex!G76/Sex!$F76</f>
        <v>0.81231009814882127</v>
      </c>
      <c r="H76">
        <f>Sex!H76/Sex!$F76</f>
        <v>8.6420345818558422E-4</v>
      </c>
      <c r="I76">
        <f>Sex!I76/Sex!$F76</f>
        <v>8.5734470058093681E-4</v>
      </c>
      <c r="J76">
        <f>Sex!J76/Sex!$F76</f>
        <v>8.0933339734840426E-4</v>
      </c>
      <c r="K76">
        <f>Sex!K76/Sex!$F76</f>
        <v>8.0933339734840426E-4</v>
      </c>
      <c r="L76">
        <f>Sex!L76/Sex!$F76</f>
        <v>8.0933339734840426E-4</v>
      </c>
      <c r="M76">
        <f>Sex!M76/Sex!$F76</f>
        <v>3.7037291065096468E-4</v>
      </c>
      <c r="N76">
        <f>Sex!N76/Sex!$F76</f>
        <v>2.8120906179054727E-4</v>
      </c>
      <c r="O76">
        <f>Sex!O76/Sex!$F76</f>
        <v>0</v>
      </c>
      <c r="P76">
        <f>Sex!P76/Sex!$F76</f>
        <v>6.8587576046474943E-6</v>
      </c>
      <c r="Q76">
        <f>Sex!Q76/Sex!$F76</f>
        <v>0.35702576835232064</v>
      </c>
      <c r="R76">
        <f>Sex!R76/Sex!$F76</f>
        <v>3.8806850527095524E-2</v>
      </c>
      <c r="S76">
        <f>Sex!S76/Sex!$F76</f>
        <v>0.31377444289741357</v>
      </c>
      <c r="T76">
        <f>Sex!T76/Sex!$F76</f>
        <v>7.4074582130192936E-3</v>
      </c>
      <c r="U76">
        <f>Sex!U76/Sex!$F76</f>
        <v>3.5939889848352869E-3</v>
      </c>
      <c r="V76">
        <f>Sex!V76/Sex!$F76</f>
        <v>1.3264837207388254E-2</v>
      </c>
      <c r="W76">
        <f>Sex!W76/Sex!$F76</f>
        <v>0.17344426230632584</v>
      </c>
      <c r="X76">
        <f>Sex!X76/Sex!$F76</f>
        <v>2.8991968394844959E-2</v>
      </c>
      <c r="Y76">
        <f>Sex!Y76/Sex!$F76</f>
        <v>2.7496759237031803E-2</v>
      </c>
      <c r="Z76">
        <f>Sex!Z76/Sex!$F76</f>
        <v>2.7688804449961933E-2</v>
      </c>
      <c r="AA76">
        <f>Sex!AA76/Sex!$F76</f>
        <v>3.4362375599283944E-3</v>
      </c>
      <c r="AB76">
        <f>Sex!AB76/Sex!$F76</f>
        <v>2.2098917002174225E-2</v>
      </c>
      <c r="AC76">
        <f>Sex!AC76/Sex!$F76</f>
        <v>1.0013786102785341E-3</v>
      </c>
      <c r="AD76">
        <f>Sex!AD76/Sex!$F76</f>
        <v>2.0144171084849689E-2</v>
      </c>
      <c r="AE76">
        <f>Sex!AE76/Sex!$F76</f>
        <v>0.1004396463624579</v>
      </c>
      <c r="AF76">
        <f>Sex!AF76/Sex!$F76</f>
        <v>1.8930170988827083E-3</v>
      </c>
      <c r="AG76">
        <f>Sex!AG76/Sex!$F76</f>
        <v>0.44818551567569048</v>
      </c>
      <c r="AH76">
        <f>Sex!AH76/Sex!$F76</f>
        <v>0.42203993168677428</v>
      </c>
      <c r="AI76">
        <f>Sex!AI76/Sex!$F76</f>
        <v>1.6598193403246937E-3</v>
      </c>
      <c r="AJ76">
        <f>Sex!AJ76/Sex!$F76</f>
        <v>1.289446429673729E-3</v>
      </c>
      <c r="AK76">
        <f>Sex!AK76/Sex!$F76</f>
        <v>0.41137456361154739</v>
      </c>
      <c r="AL76">
        <f>Sex!AL76/Sex!$F76</f>
        <v>0.28283458734284872</v>
      </c>
      <c r="AM76">
        <f>Sex!AM76/Sex!$F76</f>
        <v>1.3717515209294988E-3</v>
      </c>
      <c r="AN76">
        <f>Sex!AN76/Sex!$F76</f>
        <v>0.17550188958772009</v>
      </c>
      <c r="AO76">
        <f>Sex!AO76/Sex!$F76</f>
        <v>8.4582198780512902E-2</v>
      </c>
      <c r="AP76">
        <f>Sex!AP76/Sex!$F76</f>
        <v>7.3059486004705104E-2</v>
      </c>
      <c r="AQ76">
        <f>Sex!AQ76/Sex!$F76</f>
        <v>7.8923723756678721E-2</v>
      </c>
      <c r="AR76">
        <f>Sex!AR76/Sex!$F76</f>
        <v>7.4637000253774025E-2</v>
      </c>
      <c r="AS76">
        <f>Sex!AS76/Sex!$F76</f>
        <v>1.2716136599016454E-2</v>
      </c>
      <c r="AT76">
        <f>Sex!AT76/Sex!$F76</f>
        <v>6.8107463014149619E-3</v>
      </c>
      <c r="AU76">
        <f>Sex!AU76/Sex!$F76</f>
        <v>0.104698934834944</v>
      </c>
      <c r="AV76">
        <f>Sex!AV76/Sex!$F76</f>
        <v>8.5803057634140159E-3</v>
      </c>
      <c r="AW76">
        <f>Sex!AW76/Sex!$F76</f>
        <v>2.8463844059287099E-3</v>
      </c>
      <c r="AX76">
        <f>Sex!AX76/Sex!$F76</f>
        <v>5.2833009828599647E-2</v>
      </c>
      <c r="AY76">
        <f>Sex!AY76/Sex!$F76</f>
        <v>4.1358308356024389E-3</v>
      </c>
      <c r="AZ76">
        <f>Sex!AZ76/Sex!$F76</f>
        <v>4.5850794587068498E-2</v>
      </c>
      <c r="BA76">
        <f>Sex!BA76/Sex!$F76</f>
        <v>4.6214308740114812E-2</v>
      </c>
      <c r="BB76">
        <f>Sex!BB76/Sex!$F76</f>
        <v>2.4677809861521682E-2</v>
      </c>
      <c r="BC76">
        <f>Sex!BC76/Sex!$F76</f>
        <v>6.8587576046474937E-5</v>
      </c>
    </row>
    <row r="77" spans="1:55">
      <c r="A77" s="1">
        <v>1321</v>
      </c>
      <c r="B77" s="1" t="s">
        <v>32</v>
      </c>
      <c r="C77" t="s">
        <v>238</v>
      </c>
      <c r="D77">
        <v>202436</v>
      </c>
      <c r="E77">
        <v>196874</v>
      </c>
      <c r="F77">
        <v>194481</v>
      </c>
      <c r="G77">
        <f>Sex!G77/Sex!$F77</f>
        <v>0.9045253778004021</v>
      </c>
      <c r="H77">
        <f>Sex!H77/Sex!$F77</f>
        <v>7.4557411778014299E-4</v>
      </c>
      <c r="I77">
        <f>Sex!I77/Sex!$F77</f>
        <v>7.352903368452445E-4</v>
      </c>
      <c r="J77">
        <f>Sex!J77/Sex!$F77</f>
        <v>6.8901332263820113E-4</v>
      </c>
      <c r="K77">
        <f>Sex!K77/Sex!$F77</f>
        <v>6.8387143217075194E-4</v>
      </c>
      <c r="L77">
        <f>Sex!L77/Sex!$F77</f>
        <v>6.8387143217075194E-4</v>
      </c>
      <c r="M77">
        <f>Sex!M77/Sex!$F77</f>
        <v>1.6968238542582566E-4</v>
      </c>
      <c r="N77">
        <f>Sex!N77/Sex!$F77</f>
        <v>3.5479044225399911E-4</v>
      </c>
      <c r="O77">
        <f>Sex!O77/Sex!$F77</f>
        <v>0</v>
      </c>
      <c r="P77">
        <f>Sex!P77/Sex!$F77</f>
        <v>1.5425671402347786E-5</v>
      </c>
      <c r="Q77">
        <f>Sex!Q77/Sex!$F77</f>
        <v>0.42390773391745207</v>
      </c>
      <c r="R77">
        <f>Sex!R77/Sex!$F77</f>
        <v>9.2086116381548844E-2</v>
      </c>
      <c r="S77">
        <f>Sex!S77/Sex!$F77</f>
        <v>0.31993870866562801</v>
      </c>
      <c r="T77">
        <f>Sex!T77/Sex!$F77</f>
        <v>2.9802397149335923E-2</v>
      </c>
      <c r="U77">
        <f>Sex!U77/Sex!$F77</f>
        <v>8.3504301191376015E-3</v>
      </c>
      <c r="V77">
        <f>Sex!V77/Sex!$F77</f>
        <v>1.2988415320776837E-2</v>
      </c>
      <c r="W77">
        <f>Sex!W77/Sex!$F77</f>
        <v>0.14034790030902761</v>
      </c>
      <c r="X77">
        <f>Sex!X77/Sex!$F77</f>
        <v>3.5160247016418053E-2</v>
      </c>
      <c r="Y77">
        <f>Sex!Y77/Sex!$F77</f>
        <v>1.5425671402347786E-5</v>
      </c>
      <c r="Z77">
        <f>Sex!Z77/Sex!$F77</f>
        <v>2.6984641173173729E-2</v>
      </c>
      <c r="AA77">
        <f>Sex!AA77/Sex!$F77</f>
        <v>4.859086491739553E-3</v>
      </c>
      <c r="AB77">
        <f>Sex!AB77/Sex!$F77</f>
        <v>2.0588129431666848E-2</v>
      </c>
      <c r="AC77">
        <f>Sex!AC77/Sex!$F77</f>
        <v>2.4166885197011534E-3</v>
      </c>
      <c r="AD77">
        <f>Sex!AD77/Sex!$F77</f>
        <v>1.7071076351931551E-2</v>
      </c>
      <c r="AE77">
        <f>Sex!AE77/Sex!$F77</f>
        <v>0.13989027205742463</v>
      </c>
      <c r="AF77">
        <f>Sex!AF77/Sex!$F77</f>
        <v>1.5219995783649816E-3</v>
      </c>
      <c r="AG77">
        <f>Sex!AG77/Sex!$F77</f>
        <v>0.47744509746453379</v>
      </c>
      <c r="AH77">
        <f>Sex!AH77/Sex!$F77</f>
        <v>0.44175009383950103</v>
      </c>
      <c r="AI77">
        <f>Sex!AI77/Sex!$F77</f>
        <v>2.5349520004524862E-3</v>
      </c>
      <c r="AJ77">
        <f>Sex!AJ77/Sex!$F77</f>
        <v>1.0695132172294465E-3</v>
      </c>
      <c r="AK77">
        <f>Sex!AK77/Sex!$F77</f>
        <v>0.42963579989819056</v>
      </c>
      <c r="AL77">
        <f>Sex!AL77/Sex!$F77</f>
        <v>0.31680215548048396</v>
      </c>
      <c r="AM77">
        <f>Sex!AM77/Sex!$F77</f>
        <v>7.7642546058483857E-4</v>
      </c>
      <c r="AN77">
        <f>Sex!AN77/Sex!$F77</f>
        <v>0.21863832456641008</v>
      </c>
      <c r="AO77">
        <f>Sex!AO77/Sex!$F77</f>
        <v>8.321635532519886E-2</v>
      </c>
      <c r="AP77">
        <f>Sex!AP77/Sex!$F77</f>
        <v>0.11272566471789018</v>
      </c>
      <c r="AQ77">
        <f>Sex!AQ77/Sex!$F77</f>
        <v>7.5328695348131691E-2</v>
      </c>
      <c r="AR77">
        <f>Sex!AR77/Sex!$F77</f>
        <v>7.4655107696895845E-2</v>
      </c>
      <c r="AS77">
        <f>Sex!AS77/Sex!$F77</f>
        <v>1.8356548968793868E-2</v>
      </c>
      <c r="AT77">
        <f>Sex!AT77/Sex!$F77</f>
        <v>7.3426195875175466E-3</v>
      </c>
      <c r="AU77">
        <f>Sex!AU77/Sex!$F77</f>
        <v>9.9459587311871087E-2</v>
      </c>
      <c r="AV77">
        <f>Sex!AV77/Sex!$F77</f>
        <v>7.106092626014881E-3</v>
      </c>
      <c r="AW77">
        <f>Sex!AW77/Sex!$F77</f>
        <v>2.7869046333575003E-3</v>
      </c>
      <c r="AX77">
        <f>Sex!AX77/Sex!$F77</f>
        <v>4.8117810994390199E-2</v>
      </c>
      <c r="AY77">
        <f>Sex!AY77/Sex!$F77</f>
        <v>8.8440516040127308E-3</v>
      </c>
      <c r="AZ77">
        <f>Sex!AZ77/Sex!$F77</f>
        <v>3.5437909101660316E-2</v>
      </c>
      <c r="BA77">
        <f>Sex!BA77/Sex!$F77</f>
        <v>4.5197217208879016E-2</v>
      </c>
      <c r="BB77">
        <f>Sex!BB77/Sex!$F77</f>
        <v>3.3160051624580293E-2</v>
      </c>
      <c r="BC77">
        <f>Sex!BC77/Sex!$F77</f>
        <v>5.1933093721237555E-4</v>
      </c>
    </row>
    <row r="78" spans="1:55">
      <c r="A78" s="17" t="s">
        <v>240</v>
      </c>
      <c r="G78" s="17">
        <f>TTEST(G2:G36,G38:G77,2,2)</f>
        <v>0.13892874755038273</v>
      </c>
      <c r="H78" s="17">
        <f t="shared" ref="H78:BC78" si="0">TTEST(H2:H36,H38:H77,2,2)</f>
        <v>0.91528094698891516</v>
      </c>
      <c r="I78" s="17">
        <f t="shared" si="0"/>
        <v>0.88774445927634482</v>
      </c>
      <c r="J78" s="17">
        <f t="shared" si="0"/>
        <v>0.81590664325021478</v>
      </c>
      <c r="K78" s="17">
        <f t="shared" si="0"/>
        <v>0.81137790772559826</v>
      </c>
      <c r="L78" s="17">
        <f t="shared" si="0"/>
        <v>0.80717142263717767</v>
      </c>
      <c r="M78" s="17">
        <f t="shared" si="0"/>
        <v>0.1943972215656653</v>
      </c>
      <c r="N78" s="17">
        <f t="shared" si="0"/>
        <v>0.21646046633187618</v>
      </c>
      <c r="O78" s="17">
        <f t="shared" si="0"/>
        <v>2.6874234757455141E-2</v>
      </c>
      <c r="P78" s="17">
        <f t="shared" si="0"/>
        <v>0.19121528036280599</v>
      </c>
      <c r="Q78" s="17">
        <f t="shared" si="0"/>
        <v>0.22023899793631529</v>
      </c>
      <c r="R78" s="17">
        <f t="shared" si="0"/>
        <v>1.8239944502916117E-3</v>
      </c>
      <c r="S78" s="17">
        <f t="shared" si="0"/>
        <v>0.97359659919771313</v>
      </c>
      <c r="T78" s="17">
        <f t="shared" si="0"/>
        <v>0.17748240607049004</v>
      </c>
      <c r="U78" s="17">
        <f t="shared" si="0"/>
        <v>0.57134631233131172</v>
      </c>
      <c r="V78" s="17">
        <f t="shared" si="0"/>
        <v>0.97721370237478167</v>
      </c>
      <c r="W78" s="17">
        <f t="shared" si="0"/>
        <v>0.65252791675916277</v>
      </c>
      <c r="X78" s="17">
        <f t="shared" si="0"/>
        <v>0.77445833482501658</v>
      </c>
      <c r="Y78" s="17">
        <f t="shared" si="0"/>
        <v>0.66227494756226335</v>
      </c>
      <c r="Z78" s="17">
        <f t="shared" si="0"/>
        <v>0.28044147232933186</v>
      </c>
      <c r="AA78" s="17">
        <f t="shared" si="0"/>
        <v>0.15119091993645109</v>
      </c>
      <c r="AB78" s="17">
        <f t="shared" si="0"/>
        <v>0.45462799980883628</v>
      </c>
      <c r="AC78" s="17">
        <f t="shared" si="0"/>
        <v>0.68052472576319833</v>
      </c>
      <c r="AD78" s="17">
        <f t="shared" si="0"/>
        <v>0.47428387314275877</v>
      </c>
      <c r="AE78" s="17">
        <f t="shared" si="0"/>
        <v>0.37154851386238674</v>
      </c>
      <c r="AF78" s="17">
        <f t="shared" si="0"/>
        <v>0.47200985999534839</v>
      </c>
      <c r="AG78" s="17">
        <f t="shared" si="0"/>
        <v>0.36487558346251836</v>
      </c>
      <c r="AH78" s="17">
        <f t="shared" si="0"/>
        <v>0.38933902125318465</v>
      </c>
      <c r="AI78" s="17">
        <f t="shared" si="0"/>
        <v>0.98559225573037224</v>
      </c>
      <c r="AJ78" s="17">
        <f t="shared" si="0"/>
        <v>4.0415491614345309E-2</v>
      </c>
      <c r="AK78" s="17">
        <f t="shared" si="0"/>
        <v>0.35141775594253222</v>
      </c>
      <c r="AL78" s="17">
        <f t="shared" si="0"/>
        <v>7.8617618189624996E-2</v>
      </c>
      <c r="AM78" s="17">
        <f t="shared" si="0"/>
        <v>0.32182082140834695</v>
      </c>
      <c r="AN78" s="17">
        <f t="shared" si="0"/>
        <v>0.30108936525769953</v>
      </c>
      <c r="AO78" s="17">
        <f t="shared" si="0"/>
        <v>0.14001501934462804</v>
      </c>
      <c r="AP78" s="17">
        <f t="shared" si="0"/>
        <v>0.69928799999686264</v>
      </c>
      <c r="AQ78" s="17">
        <f t="shared" si="0"/>
        <v>5.1401394710540796E-2</v>
      </c>
      <c r="AR78" s="17">
        <f t="shared" si="0"/>
        <v>4.583212150948561E-2</v>
      </c>
      <c r="AS78" s="17">
        <f t="shared" si="0"/>
        <v>0.48628385013837905</v>
      </c>
      <c r="AT78" s="17">
        <f t="shared" si="0"/>
        <v>0.49974565712392749</v>
      </c>
      <c r="AU78" s="17">
        <f t="shared" si="0"/>
        <v>0.39403518126105863</v>
      </c>
      <c r="AV78" s="17">
        <f t="shared" si="0"/>
        <v>0.15731192181359016</v>
      </c>
      <c r="AW78" s="17">
        <f t="shared" si="0"/>
        <v>0.72192091913662404</v>
      </c>
      <c r="AX78" s="17">
        <f t="shared" si="0"/>
        <v>0.53112972017362625</v>
      </c>
      <c r="AY78" s="17">
        <f t="shared" si="0"/>
        <v>0.51770949231153207</v>
      </c>
      <c r="AZ78" s="17">
        <f t="shared" si="0"/>
        <v>0.42158368639856081</v>
      </c>
      <c r="BA78" s="17">
        <f t="shared" si="0"/>
        <v>0.2149945538696067</v>
      </c>
      <c r="BB78" s="17">
        <f t="shared" si="0"/>
        <v>0.1743855289404887</v>
      </c>
      <c r="BC78" s="17">
        <f t="shared" si="0"/>
        <v>0.66386753896242923</v>
      </c>
    </row>
    <row r="80" spans="1:55">
      <c r="N80" t="s">
        <v>241</v>
      </c>
      <c r="O80">
        <f>AVERAGE(O38:O77)</f>
        <v>3.2125090812734606E-5</v>
      </c>
      <c r="Q80" t="s">
        <v>241</v>
      </c>
      <c r="R80">
        <f>AVERAGE(R38:R77)</f>
        <v>4.6112374767007448E-2</v>
      </c>
      <c r="AI80" t="s">
        <v>242</v>
      </c>
      <c r="AJ80">
        <f>AVERAGE(AJ38:AJ77)</f>
        <v>3.4954943371869316E-3</v>
      </c>
    </row>
    <row r="81" spans="1:55">
      <c r="N81" t="s">
        <v>243</v>
      </c>
      <c r="O81">
        <f>AVERAGE(O2:O36)</f>
        <v>1.0931292511171275E-4</v>
      </c>
      <c r="Q81" t="s">
        <v>243</v>
      </c>
      <c r="R81">
        <f>AVERAGE(R2:R36)</f>
        <v>7.2130177215359761E-2</v>
      </c>
      <c r="AI81" t="s">
        <v>244</v>
      </c>
      <c r="AJ81">
        <f>AVERAGE(AJ2:AJ36)</f>
        <v>2.0283775970397198E-3</v>
      </c>
    </row>
    <row r="83" spans="1:55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6"/>
    </row>
    <row r="87" spans="1:55">
      <c r="A87" s="1"/>
      <c r="B87" s="1"/>
    </row>
  </sheetData>
  <sortState xmlns:xlrd2="http://schemas.microsoft.com/office/spreadsheetml/2017/richdata2" ref="A2:BC77">
    <sortCondition ref="B2:B77"/>
  </sortState>
  <conditionalFormatting sqref="G78:BC78">
    <cfRule type="colorScale" priority="1">
      <colorScale>
        <cfvo type="num" val="0"/>
        <cfvo type="num" val="0.05"/>
        <color rgb="FFFB7073"/>
        <color theme="0"/>
      </colorScale>
    </cfRule>
    <cfRule type="colorScale" priority="2">
      <colorScale>
        <cfvo type="num" val="0"/>
        <cfvo type="num" val="0.05"/>
        <color theme="0"/>
        <color rgb="FFFF0000"/>
      </colorScale>
    </cfRule>
    <cfRule type="colorScale" priority="3">
      <colorScale>
        <cfvo type="num" val="0"/>
        <cfvo type="num" val="0.05"/>
        <color rgb="FFF8696B"/>
        <color rgb="FFFCFCF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4537-4FC0-BC4F-A8BB-AB3EE6095CFD}">
  <dimension ref="A1:BC77"/>
  <sheetViews>
    <sheetView topLeftCell="A59" zoomScale="89" workbookViewId="0">
      <selection activeCell="D84" sqref="D84"/>
    </sheetView>
  </sheetViews>
  <sheetFormatPr defaultColWidth="11" defaultRowHeight="15.95"/>
  <sheetData>
    <row r="1" spans="1:55" ht="288.95">
      <c r="A1" s="1" t="s">
        <v>0</v>
      </c>
      <c r="B1" s="1" t="s">
        <v>7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  <c r="U1" s="2" t="s">
        <v>130</v>
      </c>
      <c r="V1" s="2" t="s">
        <v>131</v>
      </c>
      <c r="W1" s="2" t="s">
        <v>132</v>
      </c>
      <c r="X1" s="2" t="s">
        <v>133</v>
      </c>
      <c r="Y1" s="2" t="s">
        <v>134</v>
      </c>
      <c r="Z1" s="2" t="s">
        <v>135</v>
      </c>
      <c r="AA1" s="2" t="s">
        <v>136</v>
      </c>
      <c r="AB1" s="2" t="s">
        <v>137</v>
      </c>
      <c r="AC1" s="2" t="s">
        <v>138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150</v>
      </c>
      <c r="AP1" s="2" t="s">
        <v>151</v>
      </c>
      <c r="AQ1" s="2" t="s">
        <v>152</v>
      </c>
      <c r="AR1" s="2" t="s">
        <v>153</v>
      </c>
      <c r="AS1" s="2" t="s">
        <v>154</v>
      </c>
      <c r="AT1" s="2" t="s">
        <v>155</v>
      </c>
      <c r="AU1" s="2" t="s">
        <v>156</v>
      </c>
      <c r="AV1" s="2" t="s">
        <v>157</v>
      </c>
      <c r="AW1" s="2" t="s">
        <v>158</v>
      </c>
      <c r="AX1" s="2" t="s">
        <v>159</v>
      </c>
      <c r="AY1" s="2" t="s">
        <v>160</v>
      </c>
      <c r="AZ1" s="2" t="s">
        <v>161</v>
      </c>
      <c r="BA1" s="2" t="s">
        <v>162</v>
      </c>
      <c r="BB1" s="2" t="s">
        <v>163</v>
      </c>
      <c r="BC1" s="2" t="s">
        <v>164</v>
      </c>
    </row>
    <row r="2" spans="1:55">
      <c r="A2" s="1">
        <v>1048</v>
      </c>
      <c r="B2" s="1">
        <v>24</v>
      </c>
      <c r="C2" t="s">
        <v>186</v>
      </c>
      <c r="D2">
        <v>148761</v>
      </c>
      <c r="E2">
        <v>144702</v>
      </c>
      <c r="F2">
        <v>136700</v>
      </c>
      <c r="G2">
        <v>94801</v>
      </c>
      <c r="H2">
        <v>74</v>
      </c>
      <c r="I2">
        <v>67</v>
      </c>
      <c r="J2">
        <v>59</v>
      </c>
      <c r="K2">
        <v>59</v>
      </c>
      <c r="L2">
        <v>59</v>
      </c>
      <c r="M2">
        <v>12</v>
      </c>
      <c r="N2">
        <v>40</v>
      </c>
      <c r="O2">
        <v>0</v>
      </c>
      <c r="P2">
        <v>0</v>
      </c>
      <c r="Q2">
        <v>32910</v>
      </c>
      <c r="R2">
        <v>7765</v>
      </c>
      <c r="S2">
        <v>24615</v>
      </c>
      <c r="T2">
        <v>1384</v>
      </c>
      <c r="U2">
        <v>2647</v>
      </c>
      <c r="V2">
        <v>4320</v>
      </c>
      <c r="W2">
        <v>9659</v>
      </c>
      <c r="X2">
        <v>4074</v>
      </c>
      <c r="Y2">
        <v>3993</v>
      </c>
      <c r="Z2">
        <v>1735</v>
      </c>
      <c r="AA2">
        <v>365</v>
      </c>
      <c r="AB2">
        <v>1149</v>
      </c>
      <c r="AC2">
        <v>95</v>
      </c>
      <c r="AD2">
        <v>1023</v>
      </c>
      <c r="AE2">
        <v>12211</v>
      </c>
      <c r="AF2">
        <v>176</v>
      </c>
      <c r="AG2">
        <v>61337</v>
      </c>
      <c r="AH2">
        <v>55718</v>
      </c>
      <c r="AI2">
        <v>535</v>
      </c>
      <c r="AJ2">
        <v>373</v>
      </c>
      <c r="AK2">
        <v>53500</v>
      </c>
      <c r="AL2">
        <v>30299</v>
      </c>
      <c r="AM2">
        <v>64</v>
      </c>
      <c r="AN2">
        <v>19538</v>
      </c>
      <c r="AO2">
        <v>7660</v>
      </c>
      <c r="AP2">
        <v>10219</v>
      </c>
      <c r="AQ2">
        <v>8767</v>
      </c>
      <c r="AR2">
        <v>8712</v>
      </c>
      <c r="AS2">
        <v>2332</v>
      </c>
      <c r="AT2">
        <v>695</v>
      </c>
      <c r="AU2">
        <v>20453</v>
      </c>
      <c r="AV2">
        <v>3134</v>
      </c>
      <c r="AW2">
        <v>466</v>
      </c>
      <c r="AX2">
        <v>11251</v>
      </c>
      <c r="AY2">
        <v>1902</v>
      </c>
      <c r="AZ2">
        <v>8800</v>
      </c>
      <c r="BA2">
        <v>8324</v>
      </c>
      <c r="BB2">
        <v>6821</v>
      </c>
      <c r="BC2">
        <v>163</v>
      </c>
    </row>
    <row r="3" spans="1:55">
      <c r="A3" s="1">
        <v>1235</v>
      </c>
      <c r="B3" s="1">
        <v>25</v>
      </c>
      <c r="C3" t="s">
        <v>231</v>
      </c>
      <c r="D3">
        <v>36749</v>
      </c>
      <c r="E3">
        <v>35528</v>
      </c>
      <c r="F3">
        <v>35018</v>
      </c>
      <c r="G3">
        <v>30431</v>
      </c>
      <c r="H3">
        <v>31</v>
      </c>
      <c r="I3">
        <v>31</v>
      </c>
      <c r="J3">
        <v>28</v>
      </c>
      <c r="K3">
        <v>28</v>
      </c>
      <c r="L3">
        <v>28</v>
      </c>
      <c r="M3">
        <v>10</v>
      </c>
      <c r="N3">
        <v>13</v>
      </c>
      <c r="O3">
        <v>0</v>
      </c>
      <c r="P3">
        <v>0</v>
      </c>
      <c r="Q3">
        <v>15334</v>
      </c>
      <c r="R3">
        <v>2031</v>
      </c>
      <c r="S3">
        <v>13003</v>
      </c>
      <c r="T3">
        <v>887</v>
      </c>
      <c r="U3">
        <v>2258</v>
      </c>
      <c r="V3">
        <v>3213</v>
      </c>
      <c r="W3">
        <v>1897</v>
      </c>
      <c r="X3">
        <v>273</v>
      </c>
      <c r="Y3">
        <v>254</v>
      </c>
      <c r="Z3">
        <v>737</v>
      </c>
      <c r="AA3">
        <v>161</v>
      </c>
      <c r="AB3">
        <v>489</v>
      </c>
      <c r="AC3">
        <v>137</v>
      </c>
      <c r="AD3">
        <v>226</v>
      </c>
      <c r="AE3">
        <v>9501</v>
      </c>
      <c r="AF3">
        <v>46</v>
      </c>
      <c r="AG3">
        <v>14869</v>
      </c>
      <c r="AH3">
        <v>12930</v>
      </c>
      <c r="AI3">
        <v>21</v>
      </c>
      <c r="AJ3">
        <v>45</v>
      </c>
      <c r="AK3">
        <v>12680</v>
      </c>
      <c r="AL3">
        <v>6439</v>
      </c>
      <c r="AM3">
        <v>44</v>
      </c>
      <c r="AN3">
        <v>2208</v>
      </c>
      <c r="AO3">
        <v>886</v>
      </c>
      <c r="AP3">
        <v>1091</v>
      </c>
      <c r="AQ3">
        <v>3551</v>
      </c>
      <c r="AR3">
        <v>3323</v>
      </c>
      <c r="AS3">
        <v>391</v>
      </c>
      <c r="AT3">
        <v>83</v>
      </c>
      <c r="AU3">
        <v>5725</v>
      </c>
      <c r="AV3">
        <v>516</v>
      </c>
      <c r="AW3">
        <v>98</v>
      </c>
      <c r="AX3">
        <v>2156</v>
      </c>
      <c r="AY3">
        <v>119</v>
      </c>
      <c r="AZ3">
        <v>1962</v>
      </c>
      <c r="BA3">
        <v>2943</v>
      </c>
      <c r="BB3">
        <v>1820</v>
      </c>
      <c r="BC3">
        <v>14</v>
      </c>
    </row>
    <row r="4" spans="1:55">
      <c r="A4" s="1">
        <v>1090</v>
      </c>
      <c r="B4" s="1">
        <v>29</v>
      </c>
      <c r="C4" t="s">
        <v>194</v>
      </c>
      <c r="D4">
        <v>41092</v>
      </c>
      <c r="E4">
        <v>39807</v>
      </c>
      <c r="F4">
        <v>35649</v>
      </c>
      <c r="G4">
        <v>19175</v>
      </c>
      <c r="H4">
        <v>41</v>
      </c>
      <c r="I4">
        <v>41</v>
      </c>
      <c r="J4">
        <v>38</v>
      </c>
      <c r="K4">
        <v>38</v>
      </c>
      <c r="L4">
        <v>38</v>
      </c>
      <c r="M4">
        <v>10</v>
      </c>
      <c r="N4">
        <v>21</v>
      </c>
      <c r="O4">
        <v>0</v>
      </c>
      <c r="P4">
        <v>0</v>
      </c>
      <c r="Q4">
        <v>7660</v>
      </c>
      <c r="R4">
        <v>1324</v>
      </c>
      <c r="S4">
        <v>5952</v>
      </c>
      <c r="T4">
        <v>440</v>
      </c>
      <c r="U4">
        <v>438</v>
      </c>
      <c r="V4">
        <v>1323</v>
      </c>
      <c r="W4">
        <v>1408</v>
      </c>
      <c r="X4">
        <v>181</v>
      </c>
      <c r="Y4">
        <v>164</v>
      </c>
      <c r="Z4">
        <v>498</v>
      </c>
      <c r="AA4">
        <v>64</v>
      </c>
      <c r="AB4">
        <v>354</v>
      </c>
      <c r="AC4">
        <v>26</v>
      </c>
      <c r="AD4">
        <v>323</v>
      </c>
      <c r="AE4">
        <v>3864</v>
      </c>
      <c r="AF4">
        <v>61</v>
      </c>
      <c r="AG4">
        <v>11359</v>
      </c>
      <c r="AH4">
        <v>10572</v>
      </c>
      <c r="AI4">
        <v>87</v>
      </c>
      <c r="AJ4">
        <v>33</v>
      </c>
      <c r="AK4">
        <v>10151</v>
      </c>
      <c r="AL4">
        <v>6357</v>
      </c>
      <c r="AM4">
        <v>11</v>
      </c>
      <c r="AN4">
        <v>3529</v>
      </c>
      <c r="AO4">
        <v>1224</v>
      </c>
      <c r="AP4">
        <v>1968</v>
      </c>
      <c r="AQ4">
        <v>2414</v>
      </c>
      <c r="AR4">
        <v>2321</v>
      </c>
      <c r="AS4">
        <v>627</v>
      </c>
      <c r="AT4">
        <v>252</v>
      </c>
      <c r="AU4">
        <v>3091</v>
      </c>
      <c r="AV4">
        <v>438</v>
      </c>
      <c r="AW4">
        <v>110</v>
      </c>
      <c r="AX4">
        <v>1389</v>
      </c>
      <c r="AY4">
        <v>296</v>
      </c>
      <c r="AZ4">
        <v>953</v>
      </c>
      <c r="BA4">
        <v>1594</v>
      </c>
      <c r="BB4">
        <v>1191</v>
      </c>
      <c r="BC4">
        <v>75</v>
      </c>
    </row>
    <row r="5" spans="1:55">
      <c r="A5" s="1">
        <v>1012</v>
      </c>
      <c r="B5" s="1">
        <v>31</v>
      </c>
      <c r="C5" t="s">
        <v>170</v>
      </c>
      <c r="D5">
        <v>270926</v>
      </c>
      <c r="E5">
        <v>265202</v>
      </c>
      <c r="F5">
        <v>261135</v>
      </c>
      <c r="G5">
        <v>167832</v>
      </c>
      <c r="H5">
        <v>1547</v>
      </c>
      <c r="I5">
        <v>1516</v>
      </c>
      <c r="J5">
        <v>1454</v>
      </c>
      <c r="K5">
        <v>1439</v>
      </c>
      <c r="L5">
        <v>1432</v>
      </c>
      <c r="M5">
        <v>639</v>
      </c>
      <c r="N5">
        <v>612</v>
      </c>
      <c r="O5">
        <v>16</v>
      </c>
      <c r="P5">
        <v>20</v>
      </c>
      <c r="Q5">
        <v>100530</v>
      </c>
      <c r="R5">
        <v>24253</v>
      </c>
      <c r="S5">
        <v>71034</v>
      </c>
      <c r="T5">
        <v>2153</v>
      </c>
      <c r="U5">
        <v>2647</v>
      </c>
      <c r="V5">
        <v>4370</v>
      </c>
      <c r="W5">
        <v>27309</v>
      </c>
      <c r="X5">
        <v>9535</v>
      </c>
      <c r="Y5">
        <v>9282</v>
      </c>
      <c r="Z5">
        <v>21634</v>
      </c>
      <c r="AA5">
        <v>4506</v>
      </c>
      <c r="AB5">
        <v>13647</v>
      </c>
      <c r="AC5">
        <v>155</v>
      </c>
      <c r="AD5">
        <v>12386</v>
      </c>
      <c r="AE5">
        <v>15506</v>
      </c>
      <c r="AF5">
        <v>214</v>
      </c>
      <c r="AG5">
        <v>63098</v>
      </c>
      <c r="AH5">
        <v>60720</v>
      </c>
      <c r="AI5">
        <v>522</v>
      </c>
      <c r="AJ5">
        <v>519</v>
      </c>
      <c r="AK5">
        <v>57375</v>
      </c>
      <c r="AL5">
        <v>25309</v>
      </c>
      <c r="AM5">
        <v>208</v>
      </c>
      <c r="AN5">
        <v>12451</v>
      </c>
      <c r="AO5">
        <v>7555</v>
      </c>
      <c r="AP5">
        <v>3972</v>
      </c>
      <c r="AQ5">
        <v>10943</v>
      </c>
      <c r="AR5">
        <v>10584</v>
      </c>
      <c r="AS5">
        <v>2019</v>
      </c>
      <c r="AT5">
        <v>434</v>
      </c>
      <c r="AU5">
        <v>29360</v>
      </c>
      <c r="AV5">
        <v>5302</v>
      </c>
      <c r="AW5">
        <v>760</v>
      </c>
      <c r="AX5">
        <v>12353</v>
      </c>
      <c r="AY5">
        <v>888</v>
      </c>
      <c r="AZ5">
        <v>11077</v>
      </c>
      <c r="BA5">
        <v>15587</v>
      </c>
      <c r="BB5">
        <v>10183</v>
      </c>
      <c r="BC5">
        <v>21</v>
      </c>
    </row>
    <row r="6" spans="1:55">
      <c r="A6" s="1">
        <v>1001</v>
      </c>
      <c r="B6" s="1">
        <v>34</v>
      </c>
      <c r="C6" t="s">
        <v>165</v>
      </c>
      <c r="D6">
        <v>277764</v>
      </c>
      <c r="E6">
        <v>265500</v>
      </c>
      <c r="F6">
        <v>262632</v>
      </c>
      <c r="G6">
        <v>102216</v>
      </c>
      <c r="H6">
        <v>2698</v>
      </c>
      <c r="I6">
        <v>2649</v>
      </c>
      <c r="J6">
        <v>2482</v>
      </c>
      <c r="K6">
        <v>2472</v>
      </c>
      <c r="L6">
        <v>2463</v>
      </c>
      <c r="M6">
        <v>547</v>
      </c>
      <c r="N6">
        <v>1517</v>
      </c>
      <c r="O6">
        <v>53</v>
      </c>
      <c r="P6">
        <v>86</v>
      </c>
      <c r="Q6">
        <v>38541</v>
      </c>
      <c r="R6">
        <v>7265</v>
      </c>
      <c r="S6">
        <v>29957</v>
      </c>
      <c r="T6">
        <v>1300</v>
      </c>
      <c r="U6">
        <v>889</v>
      </c>
      <c r="V6">
        <v>1026</v>
      </c>
      <c r="W6">
        <v>13380</v>
      </c>
      <c r="X6">
        <v>5675</v>
      </c>
      <c r="Y6">
        <v>5624</v>
      </c>
      <c r="Z6">
        <v>8258</v>
      </c>
      <c r="AA6">
        <v>2276</v>
      </c>
      <c r="AB6">
        <v>5095</v>
      </c>
      <c r="AC6">
        <v>42</v>
      </c>
      <c r="AD6">
        <v>4884</v>
      </c>
      <c r="AE6">
        <v>5749</v>
      </c>
      <c r="AF6">
        <v>106</v>
      </c>
      <c r="AG6">
        <v>58069</v>
      </c>
      <c r="AH6">
        <v>55511</v>
      </c>
      <c r="AI6">
        <v>301</v>
      </c>
      <c r="AJ6">
        <v>176</v>
      </c>
      <c r="AK6">
        <v>53861</v>
      </c>
      <c r="AL6">
        <v>32786</v>
      </c>
      <c r="AM6">
        <v>130</v>
      </c>
      <c r="AN6">
        <v>19853</v>
      </c>
      <c r="AO6">
        <v>15656</v>
      </c>
      <c r="AP6">
        <v>3132</v>
      </c>
      <c r="AQ6">
        <v>7645</v>
      </c>
      <c r="AR6">
        <v>6090</v>
      </c>
      <c r="AS6">
        <v>1144</v>
      </c>
      <c r="AT6">
        <v>201</v>
      </c>
      <c r="AU6">
        <v>19694</v>
      </c>
      <c r="AV6">
        <v>1655</v>
      </c>
      <c r="AW6">
        <v>130</v>
      </c>
      <c r="AX6">
        <v>7234</v>
      </c>
      <c r="AY6">
        <v>298</v>
      </c>
      <c r="AZ6">
        <v>6835</v>
      </c>
      <c r="BA6">
        <v>11340</v>
      </c>
      <c r="BB6">
        <v>5716</v>
      </c>
      <c r="BC6">
        <v>154</v>
      </c>
    </row>
    <row r="7" spans="1:55">
      <c r="A7" s="1">
        <v>1015</v>
      </c>
      <c r="B7" s="1">
        <v>34</v>
      </c>
      <c r="C7" t="s">
        <v>173</v>
      </c>
      <c r="D7">
        <v>34385</v>
      </c>
      <c r="E7">
        <v>33666</v>
      </c>
      <c r="F7">
        <v>33296</v>
      </c>
      <c r="G7">
        <v>27707</v>
      </c>
      <c r="H7">
        <v>21</v>
      </c>
      <c r="I7">
        <v>21</v>
      </c>
      <c r="J7">
        <v>18</v>
      </c>
      <c r="K7">
        <v>18</v>
      </c>
      <c r="L7">
        <v>17</v>
      </c>
      <c r="M7">
        <v>7</v>
      </c>
      <c r="N7">
        <v>9</v>
      </c>
      <c r="O7">
        <v>0</v>
      </c>
      <c r="P7">
        <v>0</v>
      </c>
      <c r="Q7">
        <v>9378</v>
      </c>
      <c r="R7">
        <v>650</v>
      </c>
      <c r="S7">
        <v>8646</v>
      </c>
      <c r="T7">
        <v>486</v>
      </c>
      <c r="U7">
        <v>957</v>
      </c>
      <c r="V7">
        <v>1716</v>
      </c>
      <c r="W7">
        <v>4430</v>
      </c>
      <c r="X7">
        <v>2388</v>
      </c>
      <c r="Y7">
        <v>2368</v>
      </c>
      <c r="Z7">
        <v>585</v>
      </c>
      <c r="AA7">
        <v>193</v>
      </c>
      <c r="AB7">
        <v>357</v>
      </c>
      <c r="AC7">
        <v>160</v>
      </c>
      <c r="AD7">
        <v>166</v>
      </c>
      <c r="AE7">
        <v>3158</v>
      </c>
      <c r="AF7">
        <v>14</v>
      </c>
      <c r="AG7">
        <v>18081</v>
      </c>
      <c r="AH7">
        <v>17641</v>
      </c>
      <c r="AI7">
        <v>104</v>
      </c>
      <c r="AJ7">
        <v>15</v>
      </c>
      <c r="AK7">
        <v>17232</v>
      </c>
      <c r="AL7">
        <v>12711</v>
      </c>
      <c r="AM7">
        <v>47</v>
      </c>
      <c r="AN7">
        <v>8536</v>
      </c>
      <c r="AO7">
        <v>4280</v>
      </c>
      <c r="AP7">
        <v>3552</v>
      </c>
      <c r="AQ7">
        <v>3064</v>
      </c>
      <c r="AR7">
        <v>2988</v>
      </c>
      <c r="AS7">
        <v>669</v>
      </c>
      <c r="AT7">
        <v>502</v>
      </c>
      <c r="AU7">
        <v>4126</v>
      </c>
      <c r="AV7">
        <v>165</v>
      </c>
      <c r="AW7">
        <v>136</v>
      </c>
      <c r="AX7">
        <v>3792</v>
      </c>
      <c r="AY7">
        <v>67</v>
      </c>
      <c r="AZ7">
        <v>3653</v>
      </c>
      <c r="BA7">
        <v>200</v>
      </c>
      <c r="BB7">
        <v>146</v>
      </c>
      <c r="BC7">
        <v>2</v>
      </c>
    </row>
    <row r="8" spans="1:55">
      <c r="A8" s="1">
        <v>1337</v>
      </c>
      <c r="B8" s="1">
        <v>34</v>
      </c>
      <c r="C8" t="s">
        <v>239</v>
      </c>
      <c r="D8">
        <v>50067</v>
      </c>
      <c r="E8">
        <v>47421</v>
      </c>
      <c r="F8">
        <v>43820</v>
      </c>
      <c r="G8">
        <v>22368</v>
      </c>
      <c r="H8">
        <v>361</v>
      </c>
      <c r="I8">
        <v>358</v>
      </c>
      <c r="J8">
        <v>335</v>
      </c>
      <c r="K8">
        <v>335</v>
      </c>
      <c r="L8">
        <v>332</v>
      </c>
      <c r="M8">
        <v>190</v>
      </c>
      <c r="N8">
        <v>75</v>
      </c>
      <c r="O8">
        <v>0</v>
      </c>
      <c r="P8">
        <v>2</v>
      </c>
      <c r="Q8">
        <v>11444</v>
      </c>
      <c r="R8">
        <v>1689</v>
      </c>
      <c r="S8">
        <v>9435</v>
      </c>
      <c r="T8">
        <v>314</v>
      </c>
      <c r="U8">
        <v>58</v>
      </c>
      <c r="V8">
        <v>203</v>
      </c>
      <c r="W8">
        <v>3044</v>
      </c>
      <c r="X8">
        <v>537</v>
      </c>
      <c r="Y8">
        <v>424</v>
      </c>
      <c r="Z8">
        <v>3699</v>
      </c>
      <c r="AA8">
        <v>365</v>
      </c>
      <c r="AB8">
        <v>2831</v>
      </c>
      <c r="AC8">
        <v>45</v>
      </c>
      <c r="AD8">
        <v>2686</v>
      </c>
      <c r="AE8">
        <v>1665</v>
      </c>
      <c r="AF8">
        <v>54</v>
      </c>
      <c r="AG8">
        <v>10116</v>
      </c>
      <c r="AH8">
        <v>9168</v>
      </c>
      <c r="AI8">
        <v>86</v>
      </c>
      <c r="AJ8">
        <v>28</v>
      </c>
      <c r="AK8">
        <v>8623</v>
      </c>
      <c r="AL8">
        <v>4259</v>
      </c>
      <c r="AM8">
        <v>11</v>
      </c>
      <c r="AN8">
        <v>1376</v>
      </c>
      <c r="AO8">
        <v>475</v>
      </c>
      <c r="AP8">
        <v>770</v>
      </c>
      <c r="AQ8">
        <v>2608</v>
      </c>
      <c r="AR8">
        <v>2580</v>
      </c>
      <c r="AS8">
        <v>261</v>
      </c>
      <c r="AT8">
        <v>107</v>
      </c>
      <c r="AU8">
        <v>3537</v>
      </c>
      <c r="AV8">
        <v>1024</v>
      </c>
      <c r="AW8">
        <v>148</v>
      </c>
      <c r="AX8">
        <v>1250</v>
      </c>
      <c r="AY8">
        <v>215</v>
      </c>
      <c r="AZ8">
        <v>947</v>
      </c>
      <c r="BA8">
        <v>2143</v>
      </c>
      <c r="BB8">
        <v>1339</v>
      </c>
      <c r="BC8">
        <v>2</v>
      </c>
    </row>
    <row r="9" spans="1:55">
      <c r="A9" s="1">
        <v>1003</v>
      </c>
      <c r="B9" s="1">
        <v>35</v>
      </c>
      <c r="C9" t="s">
        <v>166</v>
      </c>
      <c r="D9">
        <v>321845</v>
      </c>
      <c r="E9">
        <v>314310</v>
      </c>
      <c r="F9">
        <v>309191</v>
      </c>
      <c r="G9">
        <v>181785</v>
      </c>
      <c r="H9">
        <v>3329</v>
      </c>
      <c r="I9">
        <v>3197</v>
      </c>
      <c r="J9">
        <v>2976</v>
      </c>
      <c r="K9">
        <v>2935</v>
      </c>
      <c r="L9">
        <v>2904</v>
      </c>
      <c r="M9">
        <v>1162</v>
      </c>
      <c r="N9">
        <v>407</v>
      </c>
      <c r="O9">
        <v>9</v>
      </c>
      <c r="P9">
        <v>20</v>
      </c>
      <c r="Q9">
        <v>90578</v>
      </c>
      <c r="R9">
        <v>35124</v>
      </c>
      <c r="S9">
        <v>51872</v>
      </c>
      <c r="T9">
        <v>1659</v>
      </c>
      <c r="U9">
        <v>927</v>
      </c>
      <c r="V9">
        <v>2509</v>
      </c>
      <c r="W9">
        <v>21579</v>
      </c>
      <c r="X9">
        <v>11303</v>
      </c>
      <c r="Y9">
        <v>10861</v>
      </c>
      <c r="Z9">
        <v>13356</v>
      </c>
      <c r="AA9">
        <v>2863</v>
      </c>
      <c r="AB9">
        <v>8637</v>
      </c>
      <c r="AC9">
        <v>317</v>
      </c>
      <c r="AD9">
        <v>6310</v>
      </c>
      <c r="AE9">
        <v>9556</v>
      </c>
      <c r="AF9">
        <v>122</v>
      </c>
      <c r="AG9">
        <v>82123</v>
      </c>
      <c r="AH9">
        <v>75753</v>
      </c>
      <c r="AI9">
        <v>618</v>
      </c>
      <c r="AJ9">
        <v>651</v>
      </c>
      <c r="AK9">
        <v>72429</v>
      </c>
      <c r="AL9">
        <v>46060</v>
      </c>
      <c r="AM9">
        <v>125</v>
      </c>
      <c r="AN9">
        <v>38228</v>
      </c>
      <c r="AO9">
        <v>36081</v>
      </c>
      <c r="AP9">
        <v>1486</v>
      </c>
      <c r="AQ9">
        <v>5701</v>
      </c>
      <c r="AR9">
        <v>2403</v>
      </c>
      <c r="AS9">
        <v>5549</v>
      </c>
      <c r="AT9">
        <v>3054</v>
      </c>
      <c r="AU9">
        <v>24060</v>
      </c>
      <c r="AV9">
        <v>3824</v>
      </c>
      <c r="AW9">
        <v>736</v>
      </c>
      <c r="AX9">
        <v>8187</v>
      </c>
      <c r="AY9">
        <v>89</v>
      </c>
      <c r="AZ9">
        <v>7976</v>
      </c>
      <c r="BA9">
        <v>15216</v>
      </c>
      <c r="BB9">
        <v>788</v>
      </c>
      <c r="BC9">
        <v>165</v>
      </c>
    </row>
    <row r="10" spans="1:55">
      <c r="A10" s="1">
        <v>1118</v>
      </c>
      <c r="B10" s="1">
        <v>41</v>
      </c>
      <c r="C10" t="s">
        <v>201</v>
      </c>
      <c r="D10">
        <v>122549</v>
      </c>
      <c r="E10">
        <v>120601</v>
      </c>
      <c r="F10">
        <v>112566</v>
      </c>
      <c r="G10">
        <v>82654</v>
      </c>
      <c r="H10">
        <v>337</v>
      </c>
      <c r="I10">
        <v>336</v>
      </c>
      <c r="J10">
        <v>313</v>
      </c>
      <c r="K10">
        <v>310</v>
      </c>
      <c r="L10">
        <v>310</v>
      </c>
      <c r="M10">
        <v>92</v>
      </c>
      <c r="N10">
        <v>146</v>
      </c>
      <c r="O10">
        <v>4</v>
      </c>
      <c r="P10">
        <v>1</v>
      </c>
      <c r="Q10">
        <v>24810</v>
      </c>
      <c r="R10">
        <v>4293</v>
      </c>
      <c r="S10">
        <v>19820</v>
      </c>
      <c r="T10">
        <v>700</v>
      </c>
      <c r="U10">
        <v>529</v>
      </c>
      <c r="V10">
        <v>2170</v>
      </c>
      <c r="W10">
        <v>6115</v>
      </c>
      <c r="X10">
        <v>1966</v>
      </c>
      <c r="Y10">
        <v>1867</v>
      </c>
      <c r="Z10">
        <v>3728</v>
      </c>
      <c r="AA10">
        <v>572</v>
      </c>
      <c r="AB10">
        <v>2838</v>
      </c>
      <c r="AC10">
        <v>278</v>
      </c>
      <c r="AD10">
        <v>2252</v>
      </c>
      <c r="AE10">
        <v>8684</v>
      </c>
      <c r="AF10">
        <v>441</v>
      </c>
      <c r="AG10">
        <v>56435</v>
      </c>
      <c r="AH10">
        <v>53241</v>
      </c>
      <c r="AI10">
        <v>104</v>
      </c>
      <c r="AJ10">
        <v>56</v>
      </c>
      <c r="AK10">
        <v>52619</v>
      </c>
      <c r="AL10">
        <v>32913</v>
      </c>
      <c r="AM10">
        <v>163</v>
      </c>
      <c r="AN10">
        <v>15351</v>
      </c>
      <c r="AO10">
        <v>6801</v>
      </c>
      <c r="AP10">
        <v>7526</v>
      </c>
      <c r="AQ10">
        <v>14811</v>
      </c>
      <c r="AR10">
        <v>14556</v>
      </c>
      <c r="AS10">
        <v>1260</v>
      </c>
      <c r="AT10">
        <v>391</v>
      </c>
      <c r="AU10">
        <v>15668</v>
      </c>
      <c r="AV10">
        <v>1850</v>
      </c>
      <c r="AW10">
        <v>254</v>
      </c>
      <c r="AX10">
        <v>8198</v>
      </c>
      <c r="AY10">
        <v>934</v>
      </c>
      <c r="AZ10">
        <v>6844</v>
      </c>
      <c r="BA10">
        <v>6524</v>
      </c>
      <c r="BB10">
        <v>5663</v>
      </c>
      <c r="BC10">
        <v>35</v>
      </c>
    </row>
    <row r="11" spans="1:55">
      <c r="A11" s="1">
        <v>1150</v>
      </c>
      <c r="B11" s="1">
        <v>42</v>
      </c>
      <c r="C11" t="s">
        <v>206</v>
      </c>
      <c r="D11">
        <v>130632</v>
      </c>
      <c r="E11">
        <v>125538</v>
      </c>
      <c r="F11">
        <v>119786</v>
      </c>
      <c r="G11">
        <v>67058</v>
      </c>
      <c r="H11">
        <v>444</v>
      </c>
      <c r="I11">
        <v>436</v>
      </c>
      <c r="J11">
        <v>400</v>
      </c>
      <c r="K11">
        <v>400</v>
      </c>
      <c r="L11">
        <v>397</v>
      </c>
      <c r="M11">
        <v>117</v>
      </c>
      <c r="N11">
        <v>235</v>
      </c>
      <c r="O11">
        <v>2</v>
      </c>
      <c r="P11">
        <v>1</v>
      </c>
      <c r="Q11">
        <v>27755</v>
      </c>
      <c r="R11">
        <v>5300</v>
      </c>
      <c r="S11">
        <v>21427</v>
      </c>
      <c r="T11">
        <v>903</v>
      </c>
      <c r="U11">
        <v>359</v>
      </c>
      <c r="V11">
        <v>1536</v>
      </c>
      <c r="W11">
        <v>8195</v>
      </c>
      <c r="X11">
        <v>2074</v>
      </c>
      <c r="Y11">
        <v>1931</v>
      </c>
      <c r="Z11">
        <v>5302</v>
      </c>
      <c r="AA11">
        <v>1282</v>
      </c>
      <c r="AB11">
        <v>3578</v>
      </c>
      <c r="AC11">
        <v>250</v>
      </c>
      <c r="AD11">
        <v>3218</v>
      </c>
      <c r="AE11">
        <v>5927</v>
      </c>
      <c r="AF11">
        <v>131</v>
      </c>
      <c r="AG11">
        <v>38262</v>
      </c>
      <c r="AH11">
        <v>34611</v>
      </c>
      <c r="AI11">
        <v>180</v>
      </c>
      <c r="AJ11">
        <v>201</v>
      </c>
      <c r="AK11">
        <v>33556</v>
      </c>
      <c r="AL11">
        <v>14283</v>
      </c>
      <c r="AM11">
        <v>29</v>
      </c>
      <c r="AN11">
        <v>7126</v>
      </c>
      <c r="AO11">
        <v>1839</v>
      </c>
      <c r="AP11">
        <v>4598</v>
      </c>
      <c r="AQ11">
        <v>6251</v>
      </c>
      <c r="AR11">
        <v>6194</v>
      </c>
      <c r="AS11">
        <v>1508</v>
      </c>
      <c r="AT11">
        <v>332</v>
      </c>
      <c r="AU11">
        <v>17581</v>
      </c>
      <c r="AV11">
        <v>5750</v>
      </c>
      <c r="AW11">
        <v>620</v>
      </c>
      <c r="AX11">
        <v>3818</v>
      </c>
      <c r="AY11">
        <v>1237</v>
      </c>
      <c r="AZ11">
        <v>2244</v>
      </c>
      <c r="BA11">
        <v>13307</v>
      </c>
      <c r="BB11">
        <v>11097</v>
      </c>
      <c r="BC11">
        <v>74</v>
      </c>
    </row>
    <row r="12" spans="1:55">
      <c r="A12" s="1">
        <v>1186</v>
      </c>
      <c r="B12" s="1">
        <v>42</v>
      </c>
      <c r="C12" t="s">
        <v>224</v>
      </c>
      <c r="D12">
        <v>130376</v>
      </c>
      <c r="E12">
        <v>126147</v>
      </c>
      <c r="F12">
        <v>120112</v>
      </c>
      <c r="G12">
        <v>94813</v>
      </c>
      <c r="H12">
        <v>12</v>
      </c>
      <c r="I12">
        <v>12</v>
      </c>
      <c r="J12">
        <v>10</v>
      </c>
      <c r="K12">
        <v>10</v>
      </c>
      <c r="L12">
        <v>10</v>
      </c>
      <c r="M12">
        <v>5</v>
      </c>
      <c r="N12">
        <v>3</v>
      </c>
      <c r="O12">
        <v>0</v>
      </c>
      <c r="P12">
        <v>0</v>
      </c>
      <c r="Q12">
        <v>23970</v>
      </c>
      <c r="R12">
        <v>4860</v>
      </c>
      <c r="S12">
        <v>18848</v>
      </c>
      <c r="T12">
        <v>2080</v>
      </c>
      <c r="U12">
        <v>1118</v>
      </c>
      <c r="V12">
        <v>1173</v>
      </c>
      <c r="W12">
        <v>2367</v>
      </c>
      <c r="X12">
        <v>602</v>
      </c>
      <c r="Y12">
        <v>552</v>
      </c>
      <c r="Z12">
        <v>1300</v>
      </c>
      <c r="AA12">
        <v>199</v>
      </c>
      <c r="AB12">
        <v>977</v>
      </c>
      <c r="AC12">
        <v>45</v>
      </c>
      <c r="AD12">
        <v>788</v>
      </c>
      <c r="AE12">
        <v>14358</v>
      </c>
      <c r="AF12">
        <v>340</v>
      </c>
      <c r="AG12">
        <v>69848</v>
      </c>
      <c r="AH12">
        <v>61512</v>
      </c>
      <c r="AI12">
        <v>510</v>
      </c>
      <c r="AJ12">
        <v>577</v>
      </c>
      <c r="AK12">
        <v>59314</v>
      </c>
      <c r="AL12">
        <v>34428</v>
      </c>
      <c r="AM12">
        <v>160</v>
      </c>
      <c r="AN12">
        <v>16384</v>
      </c>
      <c r="AO12">
        <v>11059</v>
      </c>
      <c r="AP12">
        <v>4048</v>
      </c>
      <c r="AQ12">
        <v>14413</v>
      </c>
      <c r="AR12">
        <v>12623</v>
      </c>
      <c r="AS12">
        <v>1530</v>
      </c>
      <c r="AT12">
        <v>381</v>
      </c>
      <c r="AU12">
        <v>22096</v>
      </c>
      <c r="AV12">
        <v>1237</v>
      </c>
      <c r="AW12">
        <v>227</v>
      </c>
      <c r="AX12">
        <v>8455</v>
      </c>
      <c r="AY12">
        <v>520</v>
      </c>
      <c r="AZ12">
        <v>7606</v>
      </c>
      <c r="BA12">
        <v>12629</v>
      </c>
      <c r="BB12">
        <v>7694</v>
      </c>
      <c r="BC12">
        <v>208</v>
      </c>
    </row>
    <row r="13" spans="1:55">
      <c r="A13" s="1">
        <v>1321</v>
      </c>
      <c r="B13" s="1">
        <v>45</v>
      </c>
      <c r="C13" t="s">
        <v>238</v>
      </c>
      <c r="D13">
        <v>202436</v>
      </c>
      <c r="E13">
        <v>196874</v>
      </c>
      <c r="F13">
        <v>194481</v>
      </c>
      <c r="G13">
        <v>175913</v>
      </c>
      <c r="H13">
        <v>145</v>
      </c>
      <c r="I13">
        <v>143</v>
      </c>
      <c r="J13">
        <v>134</v>
      </c>
      <c r="K13">
        <v>133</v>
      </c>
      <c r="L13">
        <v>133</v>
      </c>
      <c r="M13">
        <v>33</v>
      </c>
      <c r="N13">
        <v>69</v>
      </c>
      <c r="O13">
        <v>0</v>
      </c>
      <c r="P13">
        <v>3</v>
      </c>
      <c r="Q13">
        <v>82442</v>
      </c>
      <c r="R13">
        <v>17909</v>
      </c>
      <c r="S13">
        <v>62222</v>
      </c>
      <c r="T13">
        <v>5796</v>
      </c>
      <c r="U13">
        <v>1624</v>
      </c>
      <c r="V13">
        <v>2526</v>
      </c>
      <c r="W13">
        <v>27295</v>
      </c>
      <c r="X13">
        <v>6838</v>
      </c>
      <c r="Y13">
        <v>3</v>
      </c>
      <c r="Z13">
        <v>5248</v>
      </c>
      <c r="AA13">
        <v>945</v>
      </c>
      <c r="AB13">
        <v>4004</v>
      </c>
      <c r="AC13">
        <v>470</v>
      </c>
      <c r="AD13">
        <v>3320</v>
      </c>
      <c r="AE13">
        <v>27206</v>
      </c>
      <c r="AF13">
        <v>296</v>
      </c>
      <c r="AG13">
        <v>92854</v>
      </c>
      <c r="AH13">
        <v>85912</v>
      </c>
      <c r="AI13">
        <v>493</v>
      </c>
      <c r="AJ13">
        <v>208</v>
      </c>
      <c r="AK13">
        <v>83556</v>
      </c>
      <c r="AL13">
        <v>61612</v>
      </c>
      <c r="AM13">
        <v>151</v>
      </c>
      <c r="AN13">
        <v>42521</v>
      </c>
      <c r="AO13">
        <v>16184</v>
      </c>
      <c r="AP13">
        <v>21923</v>
      </c>
      <c r="AQ13">
        <v>14650</v>
      </c>
      <c r="AR13">
        <v>14519</v>
      </c>
      <c r="AS13">
        <v>3570</v>
      </c>
      <c r="AT13">
        <v>1428</v>
      </c>
      <c r="AU13">
        <v>19343</v>
      </c>
      <c r="AV13">
        <v>1382</v>
      </c>
      <c r="AW13">
        <v>542</v>
      </c>
      <c r="AX13">
        <v>9358</v>
      </c>
      <c r="AY13">
        <v>1720</v>
      </c>
      <c r="AZ13">
        <v>6892</v>
      </c>
      <c r="BA13">
        <v>8790</v>
      </c>
      <c r="BB13">
        <v>6449</v>
      </c>
      <c r="BC13">
        <v>101</v>
      </c>
    </row>
    <row r="14" spans="1:55">
      <c r="A14" s="1">
        <v>1300</v>
      </c>
      <c r="B14" s="1">
        <v>46</v>
      </c>
      <c r="C14" t="s">
        <v>234</v>
      </c>
      <c r="D14">
        <v>93789</v>
      </c>
      <c r="E14">
        <v>90800</v>
      </c>
      <c r="F14">
        <v>89845</v>
      </c>
      <c r="G14">
        <v>82551</v>
      </c>
      <c r="H14">
        <v>135</v>
      </c>
      <c r="I14">
        <v>134</v>
      </c>
      <c r="J14">
        <v>125</v>
      </c>
      <c r="K14">
        <v>124</v>
      </c>
      <c r="L14">
        <v>123</v>
      </c>
      <c r="M14">
        <v>36</v>
      </c>
      <c r="N14">
        <v>62</v>
      </c>
      <c r="O14">
        <v>0</v>
      </c>
      <c r="P14">
        <v>4</v>
      </c>
      <c r="Q14">
        <v>48721</v>
      </c>
      <c r="R14">
        <v>9631</v>
      </c>
      <c r="S14">
        <v>36839</v>
      </c>
      <c r="T14">
        <v>602</v>
      </c>
      <c r="U14">
        <v>328</v>
      </c>
      <c r="V14">
        <v>1375</v>
      </c>
      <c r="W14">
        <v>21825</v>
      </c>
      <c r="X14">
        <v>6608</v>
      </c>
      <c r="Y14">
        <v>6507</v>
      </c>
      <c r="Z14">
        <v>5880</v>
      </c>
      <c r="AA14">
        <v>908</v>
      </c>
      <c r="AB14">
        <v>1429</v>
      </c>
      <c r="AC14">
        <v>42</v>
      </c>
      <c r="AD14">
        <v>1297</v>
      </c>
      <c r="AE14">
        <v>6632</v>
      </c>
      <c r="AF14">
        <v>369</v>
      </c>
      <c r="AG14">
        <v>32949</v>
      </c>
      <c r="AH14">
        <v>30552</v>
      </c>
      <c r="AI14">
        <v>265</v>
      </c>
      <c r="AJ14">
        <v>43</v>
      </c>
      <c r="AK14">
        <v>29114</v>
      </c>
      <c r="AL14">
        <v>13414</v>
      </c>
      <c r="AM14">
        <v>227</v>
      </c>
      <c r="AN14">
        <v>3595</v>
      </c>
      <c r="AO14">
        <v>835</v>
      </c>
      <c r="AP14">
        <v>2579</v>
      </c>
      <c r="AQ14">
        <v>8681</v>
      </c>
      <c r="AR14">
        <v>8624</v>
      </c>
      <c r="AS14">
        <v>1438</v>
      </c>
      <c r="AT14">
        <v>462</v>
      </c>
      <c r="AU14">
        <v>12834</v>
      </c>
      <c r="AV14">
        <v>1084</v>
      </c>
      <c r="AW14">
        <v>441</v>
      </c>
      <c r="AX14">
        <v>2030</v>
      </c>
      <c r="AY14">
        <v>1089</v>
      </c>
      <c r="AZ14">
        <v>801</v>
      </c>
      <c r="BA14">
        <v>9594</v>
      </c>
      <c r="BB14">
        <v>8427</v>
      </c>
      <c r="BC14">
        <v>58</v>
      </c>
    </row>
    <row r="15" spans="1:55">
      <c r="A15" s="1">
        <v>1315</v>
      </c>
      <c r="B15" s="1">
        <v>46</v>
      </c>
      <c r="C15" t="s">
        <v>237</v>
      </c>
      <c r="D15">
        <v>150567</v>
      </c>
      <c r="E15">
        <v>146792</v>
      </c>
      <c r="F15">
        <v>145799</v>
      </c>
      <c r="G15">
        <v>118434</v>
      </c>
      <c r="H15">
        <v>126</v>
      </c>
      <c r="I15">
        <v>125</v>
      </c>
      <c r="J15">
        <v>118</v>
      </c>
      <c r="K15">
        <v>118</v>
      </c>
      <c r="L15">
        <v>118</v>
      </c>
      <c r="M15">
        <v>54</v>
      </c>
      <c r="N15">
        <v>41</v>
      </c>
      <c r="O15">
        <v>0</v>
      </c>
      <c r="P15">
        <v>1</v>
      </c>
      <c r="Q15">
        <v>52054</v>
      </c>
      <c r="R15">
        <v>5658</v>
      </c>
      <c r="S15">
        <v>45748</v>
      </c>
      <c r="T15">
        <v>1080</v>
      </c>
      <c r="U15">
        <v>524</v>
      </c>
      <c r="V15">
        <v>1934</v>
      </c>
      <c r="W15">
        <v>25288</v>
      </c>
      <c r="X15">
        <v>4227</v>
      </c>
      <c r="Y15">
        <v>4009</v>
      </c>
      <c r="Z15">
        <v>4037</v>
      </c>
      <c r="AA15">
        <v>501</v>
      </c>
      <c r="AB15">
        <v>3222</v>
      </c>
      <c r="AC15">
        <v>146</v>
      </c>
      <c r="AD15">
        <v>2937</v>
      </c>
      <c r="AE15">
        <v>14644</v>
      </c>
      <c r="AF15">
        <v>276</v>
      </c>
      <c r="AG15">
        <v>65345</v>
      </c>
      <c r="AH15">
        <v>61533</v>
      </c>
      <c r="AI15">
        <v>242</v>
      </c>
      <c r="AJ15">
        <v>188</v>
      </c>
      <c r="AK15">
        <v>59978</v>
      </c>
      <c r="AL15">
        <v>41237</v>
      </c>
      <c r="AM15">
        <v>200</v>
      </c>
      <c r="AN15">
        <v>25588</v>
      </c>
      <c r="AO15">
        <v>12332</v>
      </c>
      <c r="AP15">
        <v>10652</v>
      </c>
      <c r="AQ15">
        <v>11507</v>
      </c>
      <c r="AR15">
        <v>10882</v>
      </c>
      <c r="AS15">
        <v>1854</v>
      </c>
      <c r="AT15">
        <v>993</v>
      </c>
      <c r="AU15">
        <v>15265</v>
      </c>
      <c r="AV15">
        <v>1251</v>
      </c>
      <c r="AW15">
        <v>415</v>
      </c>
      <c r="AX15">
        <v>7703</v>
      </c>
      <c r="AY15">
        <v>603</v>
      </c>
      <c r="AZ15">
        <v>6685</v>
      </c>
      <c r="BA15">
        <v>6738</v>
      </c>
      <c r="BB15">
        <v>3598</v>
      </c>
      <c r="BC15">
        <v>10</v>
      </c>
    </row>
    <row r="16" spans="1:55">
      <c r="A16" s="1">
        <v>1023</v>
      </c>
      <c r="B16" s="1">
        <v>47</v>
      </c>
      <c r="C16" t="s">
        <v>178</v>
      </c>
      <c r="D16">
        <v>28053</v>
      </c>
      <c r="E16">
        <v>26751</v>
      </c>
      <c r="F16">
        <v>26457</v>
      </c>
      <c r="G16">
        <v>19753</v>
      </c>
      <c r="H16">
        <v>110</v>
      </c>
      <c r="I16">
        <v>109</v>
      </c>
      <c r="J16">
        <v>102</v>
      </c>
      <c r="K16">
        <v>102</v>
      </c>
      <c r="L16">
        <v>100</v>
      </c>
      <c r="M16">
        <v>13</v>
      </c>
      <c r="N16">
        <v>72</v>
      </c>
      <c r="O16">
        <v>0</v>
      </c>
      <c r="P16">
        <v>3</v>
      </c>
      <c r="Q16">
        <v>5381</v>
      </c>
      <c r="R16">
        <v>2032</v>
      </c>
      <c r="S16">
        <v>2813</v>
      </c>
      <c r="T16">
        <v>177</v>
      </c>
      <c r="U16">
        <v>127</v>
      </c>
      <c r="V16">
        <v>251</v>
      </c>
      <c r="W16">
        <v>1466</v>
      </c>
      <c r="X16">
        <v>634</v>
      </c>
      <c r="Y16">
        <v>581</v>
      </c>
      <c r="Z16">
        <v>219</v>
      </c>
      <c r="AA16">
        <v>30</v>
      </c>
      <c r="AB16">
        <v>147</v>
      </c>
      <c r="AC16">
        <v>40</v>
      </c>
      <c r="AD16">
        <v>92</v>
      </c>
      <c r="AE16">
        <v>950</v>
      </c>
      <c r="AF16">
        <v>16</v>
      </c>
      <c r="AG16">
        <v>14066</v>
      </c>
      <c r="AH16">
        <v>13023</v>
      </c>
      <c r="AI16">
        <v>169</v>
      </c>
      <c r="AJ16">
        <v>36</v>
      </c>
      <c r="AK16">
        <v>12502</v>
      </c>
      <c r="AL16">
        <v>9631</v>
      </c>
      <c r="AM16">
        <v>34</v>
      </c>
      <c r="AN16">
        <v>6550</v>
      </c>
      <c r="AO16">
        <v>1496</v>
      </c>
      <c r="AP16">
        <v>4677</v>
      </c>
      <c r="AQ16">
        <v>2236</v>
      </c>
      <c r="AR16">
        <v>2205</v>
      </c>
      <c r="AS16">
        <v>1214</v>
      </c>
      <c r="AT16">
        <v>880</v>
      </c>
      <c r="AU16">
        <v>2419</v>
      </c>
      <c r="AV16">
        <v>587</v>
      </c>
      <c r="AW16">
        <v>255</v>
      </c>
      <c r="AX16">
        <v>847</v>
      </c>
      <c r="AY16">
        <v>471</v>
      </c>
      <c r="AZ16">
        <v>342</v>
      </c>
      <c r="BA16">
        <v>1371</v>
      </c>
      <c r="BB16">
        <v>1113</v>
      </c>
      <c r="BC16">
        <v>44</v>
      </c>
    </row>
    <row r="17" spans="1:55">
      <c r="A17" s="1">
        <v>1146</v>
      </c>
      <c r="B17" s="1">
        <v>47</v>
      </c>
      <c r="C17" t="s">
        <v>204</v>
      </c>
      <c r="D17">
        <v>120485</v>
      </c>
      <c r="E17">
        <v>116000</v>
      </c>
      <c r="F17">
        <v>110462</v>
      </c>
      <c r="G17">
        <v>69007</v>
      </c>
      <c r="H17">
        <v>161</v>
      </c>
      <c r="I17">
        <v>157</v>
      </c>
      <c r="J17">
        <v>153</v>
      </c>
      <c r="K17">
        <v>153</v>
      </c>
      <c r="L17">
        <v>153</v>
      </c>
      <c r="M17">
        <v>100</v>
      </c>
      <c r="N17">
        <v>31</v>
      </c>
      <c r="O17">
        <v>1</v>
      </c>
      <c r="P17">
        <v>0</v>
      </c>
      <c r="Q17">
        <v>46114</v>
      </c>
      <c r="R17">
        <v>2769</v>
      </c>
      <c r="S17">
        <v>42546</v>
      </c>
      <c r="T17">
        <v>1737</v>
      </c>
      <c r="U17">
        <v>1542</v>
      </c>
      <c r="V17">
        <v>1563</v>
      </c>
      <c r="W17">
        <v>24230</v>
      </c>
      <c r="X17">
        <v>10455</v>
      </c>
      <c r="Y17">
        <v>10315</v>
      </c>
      <c r="Z17">
        <v>6220</v>
      </c>
      <c r="AA17">
        <v>624</v>
      </c>
      <c r="AB17">
        <v>4547</v>
      </c>
      <c r="AC17">
        <v>149</v>
      </c>
      <c r="AD17">
        <v>3881</v>
      </c>
      <c r="AE17">
        <v>7841</v>
      </c>
      <c r="AF17">
        <v>82</v>
      </c>
      <c r="AG17">
        <v>21952</v>
      </c>
      <c r="AH17">
        <v>20127</v>
      </c>
      <c r="AI17">
        <v>261</v>
      </c>
      <c r="AJ17">
        <v>212</v>
      </c>
      <c r="AK17">
        <v>18773</v>
      </c>
      <c r="AL17">
        <v>6943</v>
      </c>
      <c r="AM17">
        <v>38</v>
      </c>
      <c r="AN17">
        <v>3631</v>
      </c>
      <c r="AO17">
        <v>1288</v>
      </c>
      <c r="AP17">
        <v>2093</v>
      </c>
      <c r="AQ17">
        <v>2953</v>
      </c>
      <c r="AR17">
        <v>2895</v>
      </c>
      <c r="AS17">
        <v>1085</v>
      </c>
      <c r="AT17">
        <v>517</v>
      </c>
      <c r="AU17">
        <v>10899</v>
      </c>
      <c r="AV17">
        <v>2622</v>
      </c>
      <c r="AW17">
        <v>550</v>
      </c>
      <c r="AX17">
        <v>3334</v>
      </c>
      <c r="AY17">
        <v>1048</v>
      </c>
      <c r="AZ17">
        <v>2115</v>
      </c>
      <c r="BA17">
        <v>7092</v>
      </c>
      <c r="BB17">
        <v>3758</v>
      </c>
      <c r="BC17">
        <v>29</v>
      </c>
    </row>
    <row r="18" spans="1:55">
      <c r="A18" s="1">
        <v>1245</v>
      </c>
      <c r="B18" s="1">
        <v>47</v>
      </c>
      <c r="C18" t="s">
        <v>232</v>
      </c>
      <c r="D18">
        <v>41053</v>
      </c>
      <c r="E18">
        <v>38077</v>
      </c>
      <c r="F18">
        <v>36555</v>
      </c>
      <c r="G18">
        <v>27594</v>
      </c>
      <c r="H18">
        <v>67</v>
      </c>
      <c r="I18">
        <v>65</v>
      </c>
      <c r="J18">
        <v>58</v>
      </c>
      <c r="K18">
        <v>57</v>
      </c>
      <c r="L18">
        <v>56</v>
      </c>
      <c r="M18">
        <v>14</v>
      </c>
      <c r="N18">
        <v>36</v>
      </c>
      <c r="O18">
        <v>0</v>
      </c>
      <c r="P18">
        <v>0</v>
      </c>
      <c r="Q18">
        <v>14794</v>
      </c>
      <c r="R18">
        <v>3140</v>
      </c>
      <c r="S18">
        <v>11321</v>
      </c>
      <c r="T18">
        <v>315</v>
      </c>
      <c r="U18">
        <v>55</v>
      </c>
      <c r="V18">
        <v>474</v>
      </c>
      <c r="W18">
        <v>6847</v>
      </c>
      <c r="X18">
        <v>1390</v>
      </c>
      <c r="Y18">
        <v>1356</v>
      </c>
      <c r="Z18">
        <v>1393</v>
      </c>
      <c r="AA18">
        <v>161</v>
      </c>
      <c r="AB18">
        <v>1141</v>
      </c>
      <c r="AC18">
        <v>199</v>
      </c>
      <c r="AD18">
        <v>886</v>
      </c>
      <c r="AE18">
        <v>2198</v>
      </c>
      <c r="AF18">
        <v>99</v>
      </c>
      <c r="AG18">
        <v>12479</v>
      </c>
      <c r="AH18">
        <v>11532</v>
      </c>
      <c r="AI18">
        <v>62</v>
      </c>
      <c r="AJ18">
        <v>15</v>
      </c>
      <c r="AK18">
        <v>11230</v>
      </c>
      <c r="AL18">
        <v>8824</v>
      </c>
      <c r="AM18">
        <v>18</v>
      </c>
      <c r="AN18">
        <v>4814</v>
      </c>
      <c r="AO18">
        <v>2045</v>
      </c>
      <c r="AP18">
        <v>2356</v>
      </c>
      <c r="AQ18">
        <v>3463</v>
      </c>
      <c r="AR18">
        <v>3405</v>
      </c>
      <c r="AS18">
        <v>411</v>
      </c>
      <c r="AT18">
        <v>187</v>
      </c>
      <c r="AU18">
        <v>2059</v>
      </c>
      <c r="AV18">
        <v>298</v>
      </c>
      <c r="AW18">
        <v>91</v>
      </c>
      <c r="AX18">
        <v>932</v>
      </c>
      <c r="AY18">
        <v>206</v>
      </c>
      <c r="AZ18">
        <v>676</v>
      </c>
      <c r="BA18">
        <v>1034</v>
      </c>
      <c r="BB18">
        <v>662</v>
      </c>
      <c r="BC18">
        <v>7</v>
      </c>
    </row>
    <row r="19" spans="1:55">
      <c r="A19" s="1">
        <v>1309</v>
      </c>
      <c r="B19" s="1">
        <v>47</v>
      </c>
      <c r="C19" t="s">
        <v>236</v>
      </c>
      <c r="D19">
        <v>23831</v>
      </c>
      <c r="E19">
        <v>22120</v>
      </c>
      <c r="F19">
        <v>20852</v>
      </c>
      <c r="G19">
        <v>12950</v>
      </c>
      <c r="H19">
        <v>227</v>
      </c>
      <c r="I19">
        <v>227</v>
      </c>
      <c r="J19">
        <v>210</v>
      </c>
      <c r="K19">
        <v>210</v>
      </c>
      <c r="L19">
        <v>210</v>
      </c>
      <c r="M19">
        <v>29</v>
      </c>
      <c r="N19">
        <v>151</v>
      </c>
      <c r="O19">
        <v>12</v>
      </c>
      <c r="P19">
        <v>0</v>
      </c>
      <c r="Q19">
        <v>6366</v>
      </c>
      <c r="R19">
        <v>777</v>
      </c>
      <c r="S19">
        <v>5320</v>
      </c>
      <c r="T19">
        <v>170</v>
      </c>
      <c r="U19">
        <v>157</v>
      </c>
      <c r="V19">
        <v>357</v>
      </c>
      <c r="W19">
        <v>2174</v>
      </c>
      <c r="X19">
        <v>119</v>
      </c>
      <c r="Y19">
        <v>90</v>
      </c>
      <c r="Z19">
        <v>1120</v>
      </c>
      <c r="AA19">
        <v>146</v>
      </c>
      <c r="AB19">
        <v>864</v>
      </c>
      <c r="AC19">
        <v>18</v>
      </c>
      <c r="AD19">
        <v>805</v>
      </c>
      <c r="AE19">
        <v>1636</v>
      </c>
      <c r="AF19">
        <v>8</v>
      </c>
      <c r="AG19">
        <v>6169</v>
      </c>
      <c r="AH19">
        <v>5589</v>
      </c>
      <c r="AI19">
        <v>40</v>
      </c>
      <c r="AJ19">
        <v>53</v>
      </c>
      <c r="AK19">
        <v>5284</v>
      </c>
      <c r="AL19">
        <v>2825</v>
      </c>
      <c r="AM19">
        <v>19</v>
      </c>
      <c r="AN19">
        <v>829</v>
      </c>
      <c r="AO19">
        <v>355</v>
      </c>
      <c r="AP19">
        <v>423</v>
      </c>
      <c r="AQ19">
        <v>1907</v>
      </c>
      <c r="AR19">
        <v>1895</v>
      </c>
      <c r="AS19">
        <v>524</v>
      </c>
      <c r="AT19">
        <v>68</v>
      </c>
      <c r="AU19">
        <v>2047</v>
      </c>
      <c r="AV19">
        <v>432</v>
      </c>
      <c r="AW19">
        <v>70</v>
      </c>
      <c r="AX19">
        <v>575</v>
      </c>
      <c r="AY19">
        <v>56</v>
      </c>
      <c r="AZ19">
        <v>503</v>
      </c>
      <c r="BA19">
        <v>1411</v>
      </c>
      <c r="BB19">
        <v>886</v>
      </c>
      <c r="BC19">
        <v>23</v>
      </c>
    </row>
    <row r="20" spans="1:55">
      <c r="A20" s="1">
        <v>1061</v>
      </c>
      <c r="B20" s="1">
        <v>49</v>
      </c>
      <c r="C20" t="s">
        <v>189</v>
      </c>
      <c r="D20">
        <v>162753</v>
      </c>
      <c r="E20">
        <v>158102</v>
      </c>
      <c r="F20">
        <v>148260</v>
      </c>
      <c r="G20">
        <v>115634</v>
      </c>
      <c r="H20">
        <v>19</v>
      </c>
      <c r="I20">
        <v>14</v>
      </c>
      <c r="J20">
        <v>8</v>
      </c>
      <c r="K20">
        <v>8</v>
      </c>
      <c r="L20">
        <v>8</v>
      </c>
      <c r="M20">
        <v>1</v>
      </c>
      <c r="N20">
        <v>4</v>
      </c>
      <c r="O20">
        <v>0</v>
      </c>
      <c r="P20">
        <v>0</v>
      </c>
      <c r="Q20">
        <v>52874</v>
      </c>
      <c r="R20">
        <v>8851</v>
      </c>
      <c r="S20">
        <v>42896</v>
      </c>
      <c r="T20">
        <v>2120</v>
      </c>
      <c r="U20">
        <v>1631</v>
      </c>
      <c r="V20">
        <v>5222</v>
      </c>
      <c r="W20">
        <v>21757</v>
      </c>
      <c r="X20">
        <v>6837</v>
      </c>
      <c r="Y20">
        <v>6580</v>
      </c>
      <c r="Z20">
        <v>3329</v>
      </c>
      <c r="AA20">
        <v>565</v>
      </c>
      <c r="AB20">
        <v>2479</v>
      </c>
      <c r="AC20">
        <v>1039</v>
      </c>
      <c r="AD20">
        <v>1200</v>
      </c>
      <c r="AE20">
        <v>15814</v>
      </c>
      <c r="AF20">
        <v>55</v>
      </c>
      <c r="AG20">
        <v>62263</v>
      </c>
      <c r="AH20">
        <v>58436</v>
      </c>
      <c r="AI20">
        <v>350</v>
      </c>
      <c r="AJ20">
        <v>113</v>
      </c>
      <c r="AK20">
        <v>56784</v>
      </c>
      <c r="AL20">
        <v>41893</v>
      </c>
      <c r="AM20">
        <v>152</v>
      </c>
      <c r="AN20">
        <v>26441</v>
      </c>
      <c r="AO20">
        <v>4699</v>
      </c>
      <c r="AP20">
        <v>19581</v>
      </c>
      <c r="AQ20">
        <v>12611</v>
      </c>
      <c r="AR20">
        <v>12515</v>
      </c>
      <c r="AS20">
        <v>4606</v>
      </c>
      <c r="AT20">
        <v>2410</v>
      </c>
      <c r="AU20">
        <v>12805</v>
      </c>
      <c r="AV20">
        <v>1873</v>
      </c>
      <c r="AW20">
        <v>641</v>
      </c>
      <c r="AX20">
        <v>4880</v>
      </c>
      <c r="AY20">
        <v>1645</v>
      </c>
      <c r="AZ20">
        <v>2662</v>
      </c>
      <c r="BA20">
        <v>7300</v>
      </c>
      <c r="BB20">
        <v>5368</v>
      </c>
      <c r="BC20">
        <v>230</v>
      </c>
    </row>
    <row r="21" spans="1:55">
      <c r="A21" s="1">
        <v>1306</v>
      </c>
      <c r="B21" s="1">
        <v>49</v>
      </c>
      <c r="C21" t="s">
        <v>235</v>
      </c>
      <c r="D21">
        <v>531658</v>
      </c>
      <c r="E21">
        <v>526326</v>
      </c>
      <c r="F21">
        <v>525070</v>
      </c>
      <c r="G21">
        <v>487834</v>
      </c>
      <c r="H21">
        <v>139</v>
      </c>
      <c r="I21">
        <v>133</v>
      </c>
      <c r="J21">
        <v>126</v>
      </c>
      <c r="K21">
        <v>125</v>
      </c>
      <c r="L21">
        <v>125</v>
      </c>
      <c r="M21">
        <v>78</v>
      </c>
      <c r="N21">
        <v>24</v>
      </c>
      <c r="O21">
        <v>0</v>
      </c>
      <c r="P21">
        <v>2</v>
      </c>
      <c r="Q21">
        <v>171694</v>
      </c>
      <c r="R21">
        <v>112989</v>
      </c>
      <c r="S21">
        <v>55629</v>
      </c>
      <c r="T21">
        <v>1089</v>
      </c>
      <c r="U21">
        <v>611</v>
      </c>
      <c r="V21">
        <v>4434</v>
      </c>
      <c r="W21">
        <v>9296</v>
      </c>
      <c r="X21">
        <v>5618</v>
      </c>
      <c r="Y21">
        <v>324</v>
      </c>
      <c r="Z21">
        <v>5802</v>
      </c>
      <c r="AA21">
        <v>481</v>
      </c>
      <c r="AB21">
        <v>4927</v>
      </c>
      <c r="AC21">
        <v>1379</v>
      </c>
      <c r="AD21">
        <v>3115</v>
      </c>
      <c r="AE21">
        <v>36700</v>
      </c>
      <c r="AF21">
        <v>5315</v>
      </c>
      <c r="AG21">
        <v>302687</v>
      </c>
      <c r="AH21">
        <v>242169</v>
      </c>
      <c r="AI21">
        <v>1037</v>
      </c>
      <c r="AJ21">
        <v>2106</v>
      </c>
      <c r="AK21">
        <v>234465</v>
      </c>
      <c r="AL21">
        <v>128474</v>
      </c>
      <c r="AM21">
        <v>335</v>
      </c>
      <c r="AN21">
        <v>20581</v>
      </c>
      <c r="AO21">
        <v>5278</v>
      </c>
      <c r="AP21">
        <v>14071</v>
      </c>
      <c r="AQ21">
        <v>97729</v>
      </c>
      <c r="AR21">
        <v>93950</v>
      </c>
      <c r="AS21">
        <v>2667</v>
      </c>
      <c r="AT21">
        <v>728</v>
      </c>
      <c r="AU21">
        <v>90620</v>
      </c>
      <c r="AV21">
        <v>4253</v>
      </c>
      <c r="AW21">
        <v>892</v>
      </c>
      <c r="AX21">
        <v>13048</v>
      </c>
      <c r="AY21">
        <v>4792</v>
      </c>
      <c r="AZ21">
        <v>7619</v>
      </c>
      <c r="BA21">
        <v>71923</v>
      </c>
      <c r="BB21">
        <v>46760</v>
      </c>
      <c r="BC21">
        <v>89</v>
      </c>
    </row>
    <row r="22" spans="1:55">
      <c r="A22" s="1">
        <v>1162</v>
      </c>
      <c r="B22" s="1">
        <v>53</v>
      </c>
      <c r="C22" t="s">
        <v>215</v>
      </c>
      <c r="D22">
        <v>135286</v>
      </c>
      <c r="E22">
        <v>129503</v>
      </c>
      <c r="F22">
        <v>117499</v>
      </c>
      <c r="G22">
        <v>71413</v>
      </c>
      <c r="H22">
        <v>640</v>
      </c>
      <c r="I22">
        <v>632</v>
      </c>
      <c r="J22">
        <v>601</v>
      </c>
      <c r="K22">
        <v>600</v>
      </c>
      <c r="L22">
        <v>599</v>
      </c>
      <c r="M22">
        <v>260</v>
      </c>
      <c r="N22">
        <v>255</v>
      </c>
      <c r="O22">
        <v>5</v>
      </c>
      <c r="P22">
        <v>2</v>
      </c>
      <c r="Q22">
        <v>42949</v>
      </c>
      <c r="R22">
        <v>5080</v>
      </c>
      <c r="S22">
        <v>36468</v>
      </c>
      <c r="T22">
        <v>982</v>
      </c>
      <c r="U22">
        <v>871</v>
      </c>
      <c r="V22">
        <v>2221</v>
      </c>
      <c r="W22">
        <v>16155</v>
      </c>
      <c r="X22">
        <v>6379</v>
      </c>
      <c r="Y22">
        <v>6188</v>
      </c>
      <c r="Z22">
        <v>6344</v>
      </c>
      <c r="AA22">
        <v>829</v>
      </c>
      <c r="AB22">
        <v>4552</v>
      </c>
      <c r="AC22">
        <v>20</v>
      </c>
      <c r="AD22">
        <v>4315</v>
      </c>
      <c r="AE22">
        <v>11021</v>
      </c>
      <c r="AF22">
        <v>148</v>
      </c>
      <c r="AG22">
        <v>26899</v>
      </c>
      <c r="AH22">
        <v>24696</v>
      </c>
      <c r="AI22">
        <v>424</v>
      </c>
      <c r="AJ22">
        <v>141</v>
      </c>
      <c r="AK22">
        <v>22934</v>
      </c>
      <c r="AL22">
        <v>11778</v>
      </c>
      <c r="AM22">
        <v>115</v>
      </c>
      <c r="AN22">
        <v>5611</v>
      </c>
      <c r="AO22">
        <v>1616</v>
      </c>
      <c r="AP22">
        <v>3757</v>
      </c>
      <c r="AQ22">
        <v>5308</v>
      </c>
      <c r="AR22">
        <v>5280</v>
      </c>
      <c r="AS22">
        <v>1356</v>
      </c>
      <c r="AT22">
        <v>692</v>
      </c>
      <c r="AU22">
        <v>9307</v>
      </c>
      <c r="AV22">
        <v>3025</v>
      </c>
      <c r="AW22">
        <v>406</v>
      </c>
      <c r="AX22">
        <v>2138</v>
      </c>
      <c r="AY22">
        <v>799</v>
      </c>
      <c r="AZ22">
        <v>1300</v>
      </c>
      <c r="BA22">
        <v>6817</v>
      </c>
      <c r="BB22">
        <v>5862</v>
      </c>
      <c r="BC22">
        <v>20</v>
      </c>
    </row>
    <row r="23" spans="1:55">
      <c r="A23" s="1">
        <v>1227</v>
      </c>
      <c r="B23" s="1">
        <v>53</v>
      </c>
      <c r="C23" t="s">
        <v>230</v>
      </c>
      <c r="D23">
        <v>149245</v>
      </c>
      <c r="E23">
        <v>146074</v>
      </c>
      <c r="F23">
        <v>145481</v>
      </c>
      <c r="G23">
        <v>135150</v>
      </c>
      <c r="H23">
        <v>37</v>
      </c>
      <c r="I23">
        <v>36</v>
      </c>
      <c r="J23">
        <v>33</v>
      </c>
      <c r="K23">
        <v>31</v>
      </c>
      <c r="L23">
        <v>30</v>
      </c>
      <c r="M23">
        <v>6</v>
      </c>
      <c r="N23">
        <v>18</v>
      </c>
      <c r="O23">
        <v>0</v>
      </c>
      <c r="P23">
        <v>0</v>
      </c>
      <c r="Q23">
        <v>49041</v>
      </c>
      <c r="R23">
        <v>6193</v>
      </c>
      <c r="S23">
        <v>41403</v>
      </c>
      <c r="T23">
        <v>4477</v>
      </c>
      <c r="U23">
        <v>5787</v>
      </c>
      <c r="V23">
        <v>7834</v>
      </c>
      <c r="W23">
        <v>8778</v>
      </c>
      <c r="X23">
        <v>2067</v>
      </c>
      <c r="Y23">
        <v>1389</v>
      </c>
      <c r="Z23">
        <v>2499</v>
      </c>
      <c r="AA23">
        <v>299</v>
      </c>
      <c r="AB23">
        <v>1924</v>
      </c>
      <c r="AC23">
        <v>440</v>
      </c>
      <c r="AD23">
        <v>1345</v>
      </c>
      <c r="AE23">
        <v>28939</v>
      </c>
      <c r="AF23">
        <v>285</v>
      </c>
      <c r="AG23">
        <v>85539</v>
      </c>
      <c r="AH23">
        <v>77590</v>
      </c>
      <c r="AI23">
        <v>344</v>
      </c>
      <c r="AJ23">
        <v>132</v>
      </c>
      <c r="AK23">
        <v>74877</v>
      </c>
      <c r="AL23">
        <v>57384</v>
      </c>
      <c r="AM23">
        <v>254</v>
      </c>
      <c r="AN23">
        <v>16496</v>
      </c>
      <c r="AO23">
        <v>5208</v>
      </c>
      <c r="AP23">
        <v>9764</v>
      </c>
      <c r="AQ23">
        <v>35449</v>
      </c>
      <c r="AR23">
        <v>34754</v>
      </c>
      <c r="AS23">
        <v>1904</v>
      </c>
      <c r="AT23">
        <v>581</v>
      </c>
      <c r="AU23">
        <v>14873</v>
      </c>
      <c r="AV23">
        <v>1406</v>
      </c>
      <c r="AW23">
        <v>341</v>
      </c>
      <c r="AX23">
        <v>3286</v>
      </c>
      <c r="AY23">
        <v>495</v>
      </c>
      <c r="AZ23">
        <v>2532</v>
      </c>
      <c r="BA23">
        <v>10397</v>
      </c>
      <c r="BB23">
        <v>5415</v>
      </c>
      <c r="BC23">
        <v>22</v>
      </c>
    </row>
    <row r="24" spans="1:55">
      <c r="A24" s="1">
        <v>1066</v>
      </c>
      <c r="B24" s="1">
        <v>55</v>
      </c>
      <c r="C24" t="s">
        <v>190</v>
      </c>
      <c r="D24">
        <v>137438</v>
      </c>
      <c r="E24">
        <v>134002</v>
      </c>
      <c r="F24">
        <v>128884</v>
      </c>
      <c r="G24">
        <v>106643</v>
      </c>
      <c r="H24">
        <v>61</v>
      </c>
      <c r="I24">
        <v>60</v>
      </c>
      <c r="J24">
        <v>57</v>
      </c>
      <c r="K24">
        <v>56</v>
      </c>
      <c r="L24">
        <v>53</v>
      </c>
      <c r="M24">
        <v>19</v>
      </c>
      <c r="N24">
        <v>28</v>
      </c>
      <c r="O24">
        <v>0</v>
      </c>
      <c r="P24">
        <v>1</v>
      </c>
      <c r="Q24">
        <v>45445</v>
      </c>
      <c r="R24">
        <v>10135</v>
      </c>
      <c r="S24">
        <v>34601</v>
      </c>
      <c r="T24">
        <v>614</v>
      </c>
      <c r="U24">
        <v>216</v>
      </c>
      <c r="V24">
        <v>2254</v>
      </c>
      <c r="W24">
        <v>24333</v>
      </c>
      <c r="X24">
        <v>13588</v>
      </c>
      <c r="Y24">
        <v>12140</v>
      </c>
      <c r="Z24">
        <v>2310</v>
      </c>
      <c r="AA24">
        <v>100</v>
      </c>
      <c r="AB24">
        <v>1349</v>
      </c>
      <c r="AC24">
        <v>19</v>
      </c>
      <c r="AD24">
        <v>1281</v>
      </c>
      <c r="AE24">
        <v>5553</v>
      </c>
      <c r="AF24">
        <v>239</v>
      </c>
      <c r="AG24">
        <v>60081</v>
      </c>
      <c r="AH24">
        <v>58737</v>
      </c>
      <c r="AI24">
        <v>3124</v>
      </c>
      <c r="AJ24">
        <v>425</v>
      </c>
      <c r="AK24">
        <v>47576</v>
      </c>
      <c r="AL24">
        <v>27536</v>
      </c>
      <c r="AM24">
        <v>307</v>
      </c>
      <c r="AN24">
        <v>8699</v>
      </c>
      <c r="AO24">
        <v>219</v>
      </c>
      <c r="AP24">
        <v>8348</v>
      </c>
      <c r="AQ24">
        <v>16660</v>
      </c>
      <c r="AR24">
        <v>16637</v>
      </c>
      <c r="AS24">
        <v>9363</v>
      </c>
      <c r="AT24">
        <v>6646</v>
      </c>
      <c r="AU24">
        <v>14814</v>
      </c>
      <c r="AV24">
        <v>8343</v>
      </c>
      <c r="AW24">
        <v>5066</v>
      </c>
      <c r="AX24">
        <v>3378</v>
      </c>
      <c r="AY24">
        <v>2715</v>
      </c>
      <c r="AZ24">
        <v>495</v>
      </c>
      <c r="BA24">
        <v>10383</v>
      </c>
      <c r="BB24">
        <v>10165</v>
      </c>
      <c r="BC24">
        <v>15</v>
      </c>
    </row>
    <row r="25" spans="1:55">
      <c r="A25" s="1">
        <v>1039</v>
      </c>
      <c r="B25" s="1">
        <v>56</v>
      </c>
      <c r="C25" t="s">
        <v>182</v>
      </c>
      <c r="D25">
        <v>135493</v>
      </c>
      <c r="E25">
        <v>133046</v>
      </c>
      <c r="F25">
        <v>127178</v>
      </c>
      <c r="G25">
        <v>72801</v>
      </c>
      <c r="H25">
        <v>614</v>
      </c>
      <c r="I25">
        <v>608</v>
      </c>
      <c r="J25">
        <v>549</v>
      </c>
      <c r="K25">
        <v>548</v>
      </c>
      <c r="L25">
        <v>548</v>
      </c>
      <c r="M25">
        <v>141</v>
      </c>
      <c r="N25">
        <v>335</v>
      </c>
      <c r="O25">
        <v>7</v>
      </c>
      <c r="P25">
        <v>22</v>
      </c>
      <c r="Q25">
        <v>29246</v>
      </c>
      <c r="R25">
        <v>11935</v>
      </c>
      <c r="S25">
        <v>16230</v>
      </c>
      <c r="T25">
        <v>1327</v>
      </c>
      <c r="U25">
        <v>249</v>
      </c>
      <c r="V25">
        <v>650</v>
      </c>
      <c r="W25">
        <v>4820</v>
      </c>
      <c r="X25">
        <v>683</v>
      </c>
      <c r="Y25">
        <v>641</v>
      </c>
      <c r="Z25">
        <v>5380</v>
      </c>
      <c r="AA25">
        <v>710</v>
      </c>
      <c r="AB25">
        <v>4089</v>
      </c>
      <c r="AC25">
        <v>142</v>
      </c>
      <c r="AD25">
        <v>3736</v>
      </c>
      <c r="AE25">
        <v>4702</v>
      </c>
      <c r="AF25">
        <v>141</v>
      </c>
      <c r="AG25">
        <v>42314</v>
      </c>
      <c r="AH25">
        <v>40762</v>
      </c>
      <c r="AI25">
        <v>185</v>
      </c>
      <c r="AJ25">
        <v>75</v>
      </c>
      <c r="AK25">
        <v>39969</v>
      </c>
      <c r="AL25">
        <v>21686</v>
      </c>
      <c r="AM25">
        <v>60</v>
      </c>
      <c r="AN25">
        <v>11094</v>
      </c>
      <c r="AO25">
        <v>2039</v>
      </c>
      <c r="AP25">
        <v>8470</v>
      </c>
      <c r="AQ25">
        <v>8422</v>
      </c>
      <c r="AR25">
        <v>8345</v>
      </c>
      <c r="AS25">
        <v>3409</v>
      </c>
      <c r="AT25">
        <v>1251</v>
      </c>
      <c r="AU25">
        <v>16986</v>
      </c>
      <c r="AV25">
        <v>6980</v>
      </c>
      <c r="AW25">
        <v>883</v>
      </c>
      <c r="AX25">
        <v>4502</v>
      </c>
      <c r="AY25">
        <v>2061</v>
      </c>
      <c r="AZ25">
        <v>2107</v>
      </c>
      <c r="BA25">
        <v>11421</v>
      </c>
      <c r="BB25">
        <v>9040</v>
      </c>
      <c r="BC25">
        <v>32</v>
      </c>
    </row>
    <row r="26" spans="1:55">
      <c r="A26" s="1">
        <v>1102</v>
      </c>
      <c r="B26" s="1">
        <v>57</v>
      </c>
      <c r="C26" t="s">
        <v>198</v>
      </c>
      <c r="D26">
        <v>325659</v>
      </c>
      <c r="E26">
        <v>316769</v>
      </c>
      <c r="F26">
        <v>305455</v>
      </c>
      <c r="G26">
        <v>212019</v>
      </c>
      <c r="H26">
        <v>163</v>
      </c>
      <c r="I26">
        <v>163</v>
      </c>
      <c r="J26">
        <v>154</v>
      </c>
      <c r="K26">
        <v>152</v>
      </c>
      <c r="L26">
        <v>149</v>
      </c>
      <c r="M26">
        <v>41</v>
      </c>
      <c r="N26">
        <v>88</v>
      </c>
      <c r="O26">
        <v>1</v>
      </c>
      <c r="P26">
        <v>1</v>
      </c>
      <c r="Q26">
        <v>89622</v>
      </c>
      <c r="R26">
        <v>31257</v>
      </c>
      <c r="S26">
        <v>56926</v>
      </c>
      <c r="T26">
        <v>3636</v>
      </c>
      <c r="U26">
        <v>6119</v>
      </c>
      <c r="V26">
        <v>8385</v>
      </c>
      <c r="W26">
        <v>17471</v>
      </c>
      <c r="X26">
        <v>10857</v>
      </c>
      <c r="Y26">
        <v>7791</v>
      </c>
      <c r="Z26">
        <v>2878</v>
      </c>
      <c r="AA26">
        <v>580</v>
      </c>
      <c r="AB26">
        <v>2024</v>
      </c>
      <c r="AC26">
        <v>209</v>
      </c>
      <c r="AD26">
        <v>1630</v>
      </c>
      <c r="AE26">
        <v>31800</v>
      </c>
      <c r="AF26">
        <v>944</v>
      </c>
      <c r="AG26">
        <v>120787</v>
      </c>
      <c r="AH26">
        <v>111758</v>
      </c>
      <c r="AI26">
        <v>7923</v>
      </c>
      <c r="AJ26">
        <v>660</v>
      </c>
      <c r="AK26">
        <v>90682</v>
      </c>
      <c r="AL26">
        <v>57620</v>
      </c>
      <c r="AM26">
        <v>76</v>
      </c>
      <c r="AN26">
        <v>28775</v>
      </c>
      <c r="AO26">
        <v>2605</v>
      </c>
      <c r="AP26">
        <v>24696</v>
      </c>
      <c r="AQ26">
        <v>24538</v>
      </c>
      <c r="AR26">
        <v>24451</v>
      </c>
      <c r="AS26">
        <v>7295</v>
      </c>
      <c r="AT26">
        <v>4602</v>
      </c>
      <c r="AU26">
        <v>24313</v>
      </c>
      <c r="AV26">
        <v>4814</v>
      </c>
      <c r="AW26">
        <v>2773</v>
      </c>
      <c r="AX26">
        <v>4029</v>
      </c>
      <c r="AY26">
        <v>2388</v>
      </c>
      <c r="AZ26">
        <v>1286</v>
      </c>
      <c r="BA26">
        <v>19131</v>
      </c>
      <c r="BB26">
        <v>15533</v>
      </c>
      <c r="BC26">
        <v>50</v>
      </c>
    </row>
    <row r="27" spans="1:55">
      <c r="A27" s="1">
        <v>1026</v>
      </c>
      <c r="B27" s="1">
        <v>58</v>
      </c>
      <c r="C27" t="s">
        <v>179</v>
      </c>
      <c r="D27">
        <v>259455</v>
      </c>
      <c r="E27">
        <v>252631</v>
      </c>
      <c r="F27">
        <v>242041</v>
      </c>
      <c r="G27">
        <v>173053</v>
      </c>
      <c r="H27">
        <v>348</v>
      </c>
      <c r="I27">
        <v>337</v>
      </c>
      <c r="J27">
        <v>316</v>
      </c>
      <c r="K27">
        <v>313</v>
      </c>
      <c r="L27">
        <v>311</v>
      </c>
      <c r="M27">
        <v>145</v>
      </c>
      <c r="N27">
        <v>142</v>
      </c>
      <c r="O27">
        <v>16</v>
      </c>
      <c r="P27">
        <v>1</v>
      </c>
      <c r="Q27">
        <v>91092</v>
      </c>
      <c r="R27">
        <v>35108</v>
      </c>
      <c r="S27">
        <v>53897</v>
      </c>
      <c r="T27">
        <v>4116</v>
      </c>
      <c r="U27">
        <v>2535</v>
      </c>
      <c r="V27">
        <v>3082</v>
      </c>
      <c r="W27">
        <v>18819</v>
      </c>
      <c r="X27">
        <v>2263</v>
      </c>
      <c r="Y27">
        <v>2165</v>
      </c>
      <c r="Z27">
        <v>14814</v>
      </c>
      <c r="AA27">
        <v>2109</v>
      </c>
      <c r="AB27">
        <v>11865</v>
      </c>
      <c r="AC27">
        <v>800</v>
      </c>
      <c r="AD27">
        <v>10253</v>
      </c>
      <c r="AE27">
        <v>16059</v>
      </c>
      <c r="AF27">
        <v>180</v>
      </c>
      <c r="AG27">
        <v>80290</v>
      </c>
      <c r="AH27">
        <v>72422</v>
      </c>
      <c r="AI27">
        <v>658</v>
      </c>
      <c r="AJ27">
        <v>475</v>
      </c>
      <c r="AK27">
        <v>69674</v>
      </c>
      <c r="AL27">
        <v>47233</v>
      </c>
      <c r="AM27">
        <v>60</v>
      </c>
      <c r="AN27">
        <v>12537</v>
      </c>
      <c r="AO27">
        <v>1468</v>
      </c>
      <c r="AP27">
        <v>10548</v>
      </c>
      <c r="AQ27">
        <v>29598</v>
      </c>
      <c r="AR27">
        <v>29371</v>
      </c>
      <c r="AS27">
        <v>4043</v>
      </c>
      <c r="AT27">
        <v>788</v>
      </c>
      <c r="AU27">
        <v>19847</v>
      </c>
      <c r="AV27">
        <v>3939</v>
      </c>
      <c r="AW27">
        <v>434</v>
      </c>
      <c r="AX27">
        <v>2247</v>
      </c>
      <c r="AY27">
        <v>1386</v>
      </c>
      <c r="AZ27">
        <v>708</v>
      </c>
      <c r="BA27">
        <v>16317</v>
      </c>
      <c r="BB27">
        <v>12098</v>
      </c>
      <c r="BC27">
        <v>257</v>
      </c>
    </row>
    <row r="28" spans="1:55">
      <c r="A28" s="1">
        <v>1046</v>
      </c>
      <c r="B28" s="1">
        <v>58</v>
      </c>
      <c r="C28" t="s">
        <v>184</v>
      </c>
      <c r="D28">
        <v>56307</v>
      </c>
      <c r="E28">
        <v>54235</v>
      </c>
      <c r="F28">
        <v>51105</v>
      </c>
      <c r="G28">
        <v>22098</v>
      </c>
      <c r="H28">
        <v>517</v>
      </c>
      <c r="I28">
        <v>514</v>
      </c>
      <c r="J28">
        <v>504</v>
      </c>
      <c r="K28">
        <v>504</v>
      </c>
      <c r="L28">
        <v>504</v>
      </c>
      <c r="M28">
        <v>189</v>
      </c>
      <c r="N28">
        <v>227</v>
      </c>
      <c r="O28">
        <v>0</v>
      </c>
      <c r="P28">
        <v>3</v>
      </c>
      <c r="Q28">
        <v>12597</v>
      </c>
      <c r="R28">
        <v>2186</v>
      </c>
      <c r="S28">
        <v>10164</v>
      </c>
      <c r="T28">
        <v>291</v>
      </c>
      <c r="U28">
        <v>61</v>
      </c>
      <c r="V28">
        <v>282</v>
      </c>
      <c r="W28">
        <v>3959</v>
      </c>
      <c r="X28">
        <v>933</v>
      </c>
      <c r="Y28">
        <v>881</v>
      </c>
      <c r="Z28">
        <v>3178</v>
      </c>
      <c r="AA28">
        <v>335</v>
      </c>
      <c r="AB28">
        <v>2062</v>
      </c>
      <c r="AC28">
        <v>35</v>
      </c>
      <c r="AD28">
        <v>1962</v>
      </c>
      <c r="AE28">
        <v>2148</v>
      </c>
      <c r="AF28">
        <v>14</v>
      </c>
      <c r="AG28">
        <v>8581</v>
      </c>
      <c r="AH28">
        <v>8229</v>
      </c>
      <c r="AI28">
        <v>43</v>
      </c>
      <c r="AJ28">
        <v>38</v>
      </c>
      <c r="AK28">
        <v>7908</v>
      </c>
      <c r="AL28">
        <v>2686</v>
      </c>
      <c r="AM28">
        <v>17</v>
      </c>
      <c r="AN28">
        <v>1511</v>
      </c>
      <c r="AO28">
        <v>151</v>
      </c>
      <c r="AP28">
        <v>1271</v>
      </c>
      <c r="AQ28">
        <v>1026</v>
      </c>
      <c r="AR28">
        <v>1019</v>
      </c>
      <c r="AS28">
        <v>314</v>
      </c>
      <c r="AT28">
        <v>115</v>
      </c>
      <c r="AU28">
        <v>4848</v>
      </c>
      <c r="AV28">
        <v>1584</v>
      </c>
      <c r="AW28">
        <v>153</v>
      </c>
      <c r="AX28">
        <v>1063</v>
      </c>
      <c r="AY28">
        <v>433</v>
      </c>
      <c r="AZ28">
        <v>543</v>
      </c>
      <c r="BA28">
        <v>3560</v>
      </c>
      <c r="BB28">
        <v>3103</v>
      </c>
      <c r="BC28">
        <v>9</v>
      </c>
    </row>
    <row r="29" spans="1:55">
      <c r="A29" s="1">
        <v>1158</v>
      </c>
      <c r="B29" s="1">
        <v>58</v>
      </c>
      <c r="C29" t="s">
        <v>212</v>
      </c>
      <c r="D29">
        <v>214097</v>
      </c>
      <c r="E29">
        <v>190556</v>
      </c>
      <c r="F29">
        <v>189560</v>
      </c>
      <c r="G29">
        <v>124663</v>
      </c>
      <c r="H29">
        <v>241</v>
      </c>
      <c r="I29">
        <v>235</v>
      </c>
      <c r="J29">
        <v>222</v>
      </c>
      <c r="K29">
        <v>217</v>
      </c>
      <c r="L29">
        <v>208</v>
      </c>
      <c r="M29">
        <v>56</v>
      </c>
      <c r="N29">
        <v>76</v>
      </c>
      <c r="O29">
        <v>1</v>
      </c>
      <c r="P29">
        <v>1</v>
      </c>
      <c r="Q29">
        <v>48445</v>
      </c>
      <c r="R29">
        <v>6964</v>
      </c>
      <c r="S29">
        <v>40514</v>
      </c>
      <c r="T29">
        <v>2326</v>
      </c>
      <c r="U29">
        <v>2358</v>
      </c>
      <c r="V29">
        <v>3722</v>
      </c>
      <c r="W29">
        <v>15650</v>
      </c>
      <c r="X29">
        <v>4558</v>
      </c>
      <c r="Y29">
        <v>4266</v>
      </c>
      <c r="Z29">
        <v>4097</v>
      </c>
      <c r="AA29">
        <v>609</v>
      </c>
      <c r="AB29">
        <v>3187</v>
      </c>
      <c r="AC29">
        <v>236</v>
      </c>
      <c r="AD29">
        <v>2702</v>
      </c>
      <c r="AE29">
        <v>17033</v>
      </c>
      <c r="AF29">
        <v>175</v>
      </c>
      <c r="AG29">
        <v>72912</v>
      </c>
      <c r="AH29">
        <v>66004</v>
      </c>
      <c r="AI29">
        <v>1116</v>
      </c>
      <c r="AJ29">
        <v>2749</v>
      </c>
      <c r="AK29">
        <v>57409</v>
      </c>
      <c r="AL29">
        <v>36438</v>
      </c>
      <c r="AM29">
        <v>283</v>
      </c>
      <c r="AN29">
        <v>24524</v>
      </c>
      <c r="AO29">
        <v>11148</v>
      </c>
      <c r="AP29">
        <v>12017</v>
      </c>
      <c r="AQ29">
        <v>8734</v>
      </c>
      <c r="AR29">
        <v>8574</v>
      </c>
      <c r="AS29">
        <v>8198</v>
      </c>
      <c r="AT29">
        <v>5403</v>
      </c>
      <c r="AU29">
        <v>17653</v>
      </c>
      <c r="AV29">
        <v>5720</v>
      </c>
      <c r="AW29">
        <v>3767</v>
      </c>
      <c r="AX29">
        <v>12292</v>
      </c>
      <c r="AY29">
        <v>1419</v>
      </c>
      <c r="AZ29">
        <v>10653</v>
      </c>
      <c r="BA29">
        <v>4037</v>
      </c>
      <c r="BB29">
        <v>3143</v>
      </c>
      <c r="BC29">
        <v>48</v>
      </c>
    </row>
    <row r="30" spans="1:55">
      <c r="A30" s="1">
        <v>1169</v>
      </c>
      <c r="B30" s="1">
        <v>58</v>
      </c>
      <c r="C30" t="s">
        <v>220</v>
      </c>
      <c r="D30">
        <v>123596</v>
      </c>
      <c r="E30">
        <v>120354</v>
      </c>
      <c r="F30">
        <v>110696</v>
      </c>
      <c r="G30">
        <v>48343</v>
      </c>
      <c r="H30">
        <v>310</v>
      </c>
      <c r="I30">
        <v>246</v>
      </c>
      <c r="J30">
        <v>238</v>
      </c>
      <c r="K30">
        <v>238</v>
      </c>
      <c r="L30">
        <v>238</v>
      </c>
      <c r="M30">
        <v>50</v>
      </c>
      <c r="N30">
        <v>152</v>
      </c>
      <c r="O30">
        <v>5</v>
      </c>
      <c r="P30">
        <v>1</v>
      </c>
      <c r="Q30">
        <v>23706</v>
      </c>
      <c r="R30">
        <v>6770</v>
      </c>
      <c r="S30">
        <v>16594</v>
      </c>
      <c r="T30">
        <v>673</v>
      </c>
      <c r="U30">
        <v>994</v>
      </c>
      <c r="V30">
        <v>4092</v>
      </c>
      <c r="W30">
        <v>1450</v>
      </c>
      <c r="X30">
        <v>885</v>
      </c>
      <c r="Y30">
        <v>857</v>
      </c>
      <c r="Z30">
        <v>2518</v>
      </c>
      <c r="AA30">
        <v>321</v>
      </c>
      <c r="AB30">
        <v>1404</v>
      </c>
      <c r="AC30">
        <v>513</v>
      </c>
      <c r="AD30">
        <v>376</v>
      </c>
      <c r="AE30">
        <v>9823</v>
      </c>
      <c r="AF30">
        <v>72</v>
      </c>
      <c r="AG30">
        <v>23327</v>
      </c>
      <c r="AH30">
        <v>13636</v>
      </c>
      <c r="AI30">
        <v>86</v>
      </c>
      <c r="AJ30">
        <v>40</v>
      </c>
      <c r="AK30">
        <v>13287</v>
      </c>
      <c r="AL30">
        <v>8815</v>
      </c>
      <c r="AM30">
        <v>24</v>
      </c>
      <c r="AN30">
        <v>2173</v>
      </c>
      <c r="AO30">
        <v>593</v>
      </c>
      <c r="AP30">
        <v>1431</v>
      </c>
      <c r="AQ30">
        <v>6023</v>
      </c>
      <c r="AR30">
        <v>5504</v>
      </c>
      <c r="AS30">
        <v>291</v>
      </c>
      <c r="AT30">
        <v>70</v>
      </c>
      <c r="AU30">
        <v>3987</v>
      </c>
      <c r="AV30">
        <v>335</v>
      </c>
      <c r="AW30">
        <v>43</v>
      </c>
      <c r="AX30">
        <v>1291</v>
      </c>
      <c r="AY30">
        <v>211</v>
      </c>
      <c r="AZ30">
        <v>1000</v>
      </c>
      <c r="BA30">
        <v>2493</v>
      </c>
      <c r="BB30">
        <v>1487</v>
      </c>
      <c r="BC30">
        <v>11</v>
      </c>
    </row>
    <row r="31" spans="1:55">
      <c r="A31" s="1">
        <v>1226</v>
      </c>
      <c r="B31" s="1">
        <v>58</v>
      </c>
      <c r="C31" t="s">
        <v>229</v>
      </c>
      <c r="D31">
        <v>38823</v>
      </c>
      <c r="E31">
        <v>36155</v>
      </c>
      <c r="F31">
        <v>35289</v>
      </c>
      <c r="G31">
        <v>18899</v>
      </c>
      <c r="H31">
        <v>114</v>
      </c>
      <c r="I31">
        <v>111</v>
      </c>
      <c r="J31">
        <v>103</v>
      </c>
      <c r="K31">
        <v>103</v>
      </c>
      <c r="L31">
        <v>102</v>
      </c>
      <c r="M31">
        <v>27</v>
      </c>
      <c r="N31">
        <v>67</v>
      </c>
      <c r="O31">
        <v>1</v>
      </c>
      <c r="P31">
        <v>2</v>
      </c>
      <c r="Q31">
        <v>5934</v>
      </c>
      <c r="R31">
        <v>1447</v>
      </c>
      <c r="S31">
        <v>3828</v>
      </c>
      <c r="T31">
        <v>1287</v>
      </c>
      <c r="U31">
        <v>59</v>
      </c>
      <c r="V31">
        <v>56</v>
      </c>
      <c r="W31">
        <v>315</v>
      </c>
      <c r="X31">
        <v>65</v>
      </c>
      <c r="Y31">
        <v>57</v>
      </c>
      <c r="Z31">
        <v>909</v>
      </c>
      <c r="AA31">
        <v>270</v>
      </c>
      <c r="AB31">
        <v>323</v>
      </c>
      <c r="AC31">
        <v>10</v>
      </c>
      <c r="AD31">
        <v>295</v>
      </c>
      <c r="AE31">
        <v>2324</v>
      </c>
      <c r="AF31">
        <v>29</v>
      </c>
      <c r="AG31">
        <v>12539</v>
      </c>
      <c r="AH31">
        <v>11702</v>
      </c>
      <c r="AI31">
        <v>71</v>
      </c>
      <c r="AJ31">
        <v>32</v>
      </c>
      <c r="AK31">
        <v>11296</v>
      </c>
      <c r="AL31">
        <v>8903</v>
      </c>
      <c r="AM31">
        <v>27</v>
      </c>
      <c r="AN31">
        <v>3823</v>
      </c>
      <c r="AO31">
        <v>1252</v>
      </c>
      <c r="AP31">
        <v>2170</v>
      </c>
      <c r="AQ31">
        <v>3963</v>
      </c>
      <c r="AR31">
        <v>3563</v>
      </c>
      <c r="AS31">
        <v>519</v>
      </c>
      <c r="AT31">
        <v>224</v>
      </c>
      <c r="AU31">
        <v>2022</v>
      </c>
      <c r="AV31">
        <v>292</v>
      </c>
      <c r="AW31">
        <v>73</v>
      </c>
      <c r="AX31">
        <v>621</v>
      </c>
      <c r="AY31">
        <v>98</v>
      </c>
      <c r="AZ31">
        <v>487</v>
      </c>
      <c r="BA31">
        <v>1258</v>
      </c>
      <c r="BB31">
        <v>745</v>
      </c>
      <c r="BC31">
        <v>4</v>
      </c>
    </row>
    <row r="32" spans="1:55">
      <c r="A32" s="1">
        <v>1210</v>
      </c>
      <c r="B32" s="1">
        <v>59</v>
      </c>
      <c r="C32" t="s">
        <v>228</v>
      </c>
      <c r="D32">
        <v>66184</v>
      </c>
      <c r="E32">
        <v>59940</v>
      </c>
      <c r="F32">
        <v>58794</v>
      </c>
      <c r="G32">
        <v>20753</v>
      </c>
      <c r="H32">
        <v>432</v>
      </c>
      <c r="I32">
        <v>422</v>
      </c>
      <c r="J32">
        <v>396</v>
      </c>
      <c r="K32">
        <v>395</v>
      </c>
      <c r="L32">
        <v>393</v>
      </c>
      <c r="M32">
        <v>147</v>
      </c>
      <c r="N32">
        <v>186</v>
      </c>
      <c r="O32">
        <v>2</v>
      </c>
      <c r="P32">
        <v>4</v>
      </c>
      <c r="Q32">
        <v>10268</v>
      </c>
      <c r="R32">
        <v>4359</v>
      </c>
      <c r="S32">
        <v>5368</v>
      </c>
      <c r="T32">
        <v>203</v>
      </c>
      <c r="U32">
        <v>30</v>
      </c>
      <c r="V32">
        <v>123</v>
      </c>
      <c r="W32">
        <v>1915</v>
      </c>
      <c r="X32">
        <v>605</v>
      </c>
      <c r="Y32">
        <v>560</v>
      </c>
      <c r="Z32">
        <v>1231</v>
      </c>
      <c r="AA32">
        <v>279</v>
      </c>
      <c r="AB32">
        <v>661</v>
      </c>
      <c r="AC32">
        <v>40</v>
      </c>
      <c r="AD32">
        <v>594</v>
      </c>
      <c r="AE32">
        <v>1435</v>
      </c>
      <c r="AF32">
        <v>20</v>
      </c>
      <c r="AG32">
        <v>9664</v>
      </c>
      <c r="AH32">
        <v>9186</v>
      </c>
      <c r="AI32">
        <v>30</v>
      </c>
      <c r="AJ32">
        <v>45</v>
      </c>
      <c r="AK32">
        <v>8927</v>
      </c>
      <c r="AL32">
        <v>5747</v>
      </c>
      <c r="AM32">
        <v>30</v>
      </c>
      <c r="AN32">
        <v>3604</v>
      </c>
      <c r="AO32">
        <v>701</v>
      </c>
      <c r="AP32">
        <v>2546</v>
      </c>
      <c r="AQ32">
        <v>1653</v>
      </c>
      <c r="AR32">
        <v>1594</v>
      </c>
      <c r="AS32">
        <v>416</v>
      </c>
      <c r="AT32">
        <v>103</v>
      </c>
      <c r="AU32">
        <v>2729</v>
      </c>
      <c r="AV32">
        <v>1005</v>
      </c>
      <c r="AW32">
        <v>79</v>
      </c>
      <c r="AX32">
        <v>765</v>
      </c>
      <c r="AY32">
        <v>259</v>
      </c>
      <c r="AZ32">
        <v>427</v>
      </c>
      <c r="BA32">
        <v>1883</v>
      </c>
      <c r="BB32">
        <v>1577</v>
      </c>
      <c r="BC32">
        <v>5</v>
      </c>
    </row>
    <row r="33" spans="1:55">
      <c r="A33" s="1"/>
      <c r="B33" s="1"/>
    </row>
    <row r="34" spans="1:55">
      <c r="A34" s="1">
        <v>1059</v>
      </c>
      <c r="B34" s="1">
        <v>60</v>
      </c>
      <c r="C34" t="s">
        <v>188</v>
      </c>
      <c r="D34">
        <v>175293</v>
      </c>
      <c r="E34">
        <v>171404</v>
      </c>
      <c r="F34">
        <v>153549</v>
      </c>
      <c r="G34">
        <v>81209</v>
      </c>
      <c r="H34">
        <v>561</v>
      </c>
      <c r="I34">
        <v>553</v>
      </c>
      <c r="J34">
        <v>533</v>
      </c>
      <c r="K34">
        <v>528</v>
      </c>
      <c r="L34">
        <v>524</v>
      </c>
      <c r="M34">
        <v>147</v>
      </c>
      <c r="N34">
        <v>326</v>
      </c>
      <c r="O34">
        <v>11</v>
      </c>
      <c r="P34">
        <v>5</v>
      </c>
      <c r="Q34">
        <v>40538</v>
      </c>
      <c r="R34">
        <v>6160</v>
      </c>
      <c r="S34">
        <v>33620</v>
      </c>
      <c r="T34">
        <v>385</v>
      </c>
      <c r="U34">
        <v>194</v>
      </c>
      <c r="V34">
        <v>2092</v>
      </c>
      <c r="W34">
        <v>14943</v>
      </c>
      <c r="X34">
        <v>2752</v>
      </c>
      <c r="Y34">
        <v>2657</v>
      </c>
      <c r="Z34">
        <v>8456</v>
      </c>
      <c r="AA34">
        <v>1474</v>
      </c>
      <c r="AB34">
        <v>6124</v>
      </c>
      <c r="AC34">
        <v>144</v>
      </c>
      <c r="AD34">
        <v>5295</v>
      </c>
      <c r="AE34">
        <v>7688</v>
      </c>
      <c r="AF34">
        <v>101</v>
      </c>
      <c r="AG34">
        <v>39051</v>
      </c>
      <c r="AH34">
        <v>36347</v>
      </c>
      <c r="AI34">
        <v>139</v>
      </c>
      <c r="AJ34">
        <v>66</v>
      </c>
      <c r="AK34">
        <v>35628</v>
      </c>
      <c r="AL34">
        <v>22138</v>
      </c>
      <c r="AM34">
        <v>58</v>
      </c>
      <c r="AN34">
        <v>9610</v>
      </c>
      <c r="AO34">
        <v>2984</v>
      </c>
      <c r="AP34">
        <v>5998</v>
      </c>
      <c r="AQ34">
        <v>10519</v>
      </c>
      <c r="AR34">
        <v>10321</v>
      </c>
      <c r="AS34">
        <v>2520</v>
      </c>
      <c r="AT34">
        <v>478</v>
      </c>
      <c r="AU34">
        <v>9728</v>
      </c>
      <c r="AV34">
        <v>2196</v>
      </c>
      <c r="AW34">
        <v>221</v>
      </c>
      <c r="AX34">
        <v>1990</v>
      </c>
      <c r="AY34">
        <v>844</v>
      </c>
      <c r="AZ34">
        <v>1027</v>
      </c>
      <c r="BA34">
        <v>7202</v>
      </c>
      <c r="BB34">
        <v>4229</v>
      </c>
      <c r="BC34">
        <v>53</v>
      </c>
    </row>
    <row r="35" spans="1:55">
      <c r="A35" s="1">
        <v>1107</v>
      </c>
      <c r="B35" s="1">
        <v>60</v>
      </c>
      <c r="C35" t="s">
        <v>200</v>
      </c>
      <c r="D35">
        <v>19490</v>
      </c>
      <c r="E35">
        <v>18962</v>
      </c>
      <c r="F35">
        <v>18555</v>
      </c>
      <c r="G35">
        <v>10768</v>
      </c>
      <c r="H35">
        <v>213</v>
      </c>
      <c r="I35">
        <v>213</v>
      </c>
      <c r="J35">
        <v>203</v>
      </c>
      <c r="K35">
        <v>203</v>
      </c>
      <c r="L35">
        <v>201</v>
      </c>
      <c r="M35">
        <v>88</v>
      </c>
      <c r="N35">
        <v>66</v>
      </c>
      <c r="O35">
        <v>2</v>
      </c>
      <c r="P35">
        <v>1</v>
      </c>
      <c r="Q35">
        <v>6545</v>
      </c>
      <c r="R35">
        <v>1565</v>
      </c>
      <c r="S35">
        <v>4632</v>
      </c>
      <c r="T35">
        <v>133</v>
      </c>
      <c r="U35">
        <v>83</v>
      </c>
      <c r="V35">
        <v>162</v>
      </c>
      <c r="W35">
        <v>1795</v>
      </c>
      <c r="X35">
        <v>1116</v>
      </c>
      <c r="Y35">
        <v>1099</v>
      </c>
      <c r="Z35">
        <v>725</v>
      </c>
      <c r="AA35">
        <v>33</v>
      </c>
      <c r="AB35">
        <v>594</v>
      </c>
      <c r="AC35">
        <v>34</v>
      </c>
      <c r="AD35">
        <v>500</v>
      </c>
      <c r="AE35">
        <v>1551</v>
      </c>
      <c r="AF35">
        <v>24</v>
      </c>
      <c r="AG35">
        <v>3766</v>
      </c>
      <c r="AH35">
        <v>3534</v>
      </c>
      <c r="AI35">
        <v>15</v>
      </c>
      <c r="AJ35">
        <v>112</v>
      </c>
      <c r="AK35">
        <v>3213</v>
      </c>
      <c r="AL35">
        <v>1457</v>
      </c>
      <c r="AM35">
        <v>23</v>
      </c>
      <c r="AN35">
        <v>500</v>
      </c>
      <c r="AO35">
        <v>40</v>
      </c>
      <c r="AP35">
        <v>450</v>
      </c>
      <c r="AQ35">
        <v>811</v>
      </c>
      <c r="AR35">
        <v>808</v>
      </c>
      <c r="AS35">
        <v>163</v>
      </c>
      <c r="AT35">
        <v>37</v>
      </c>
      <c r="AU35">
        <v>1547</v>
      </c>
      <c r="AV35">
        <v>346</v>
      </c>
      <c r="AW35">
        <v>27</v>
      </c>
      <c r="AX35">
        <v>240</v>
      </c>
      <c r="AY35">
        <v>190</v>
      </c>
      <c r="AZ35">
        <v>40</v>
      </c>
      <c r="BA35">
        <v>1162</v>
      </c>
      <c r="BB35">
        <v>1009</v>
      </c>
      <c r="BC35">
        <v>7</v>
      </c>
    </row>
    <row r="36" spans="1:55">
      <c r="A36" s="1">
        <v>1091</v>
      </c>
      <c r="B36" s="1">
        <v>61</v>
      </c>
      <c r="C36" t="s">
        <v>195</v>
      </c>
      <c r="D36">
        <v>219518</v>
      </c>
      <c r="E36">
        <v>216315</v>
      </c>
      <c r="F36">
        <v>196851</v>
      </c>
      <c r="G36">
        <v>93614</v>
      </c>
      <c r="H36">
        <v>353</v>
      </c>
      <c r="I36">
        <v>353</v>
      </c>
      <c r="J36">
        <v>336</v>
      </c>
      <c r="K36">
        <v>330</v>
      </c>
      <c r="L36">
        <v>328</v>
      </c>
      <c r="M36">
        <v>185</v>
      </c>
      <c r="N36">
        <v>19</v>
      </c>
      <c r="O36">
        <v>0</v>
      </c>
      <c r="P36">
        <v>0</v>
      </c>
      <c r="Q36">
        <v>34564</v>
      </c>
      <c r="R36">
        <v>4324</v>
      </c>
      <c r="S36">
        <v>29353</v>
      </c>
      <c r="T36">
        <v>683</v>
      </c>
      <c r="U36">
        <v>2649</v>
      </c>
      <c r="V36">
        <v>6757</v>
      </c>
      <c r="W36">
        <v>11811</v>
      </c>
      <c r="X36">
        <v>10308</v>
      </c>
      <c r="Y36">
        <v>10065</v>
      </c>
      <c r="Z36">
        <v>1695</v>
      </c>
      <c r="AA36">
        <v>250</v>
      </c>
      <c r="AB36">
        <v>1293</v>
      </c>
      <c r="AC36">
        <v>116</v>
      </c>
      <c r="AD36">
        <v>901</v>
      </c>
      <c r="AE36">
        <v>13136</v>
      </c>
      <c r="AF36">
        <v>123</v>
      </c>
      <c r="AG36">
        <v>57919</v>
      </c>
      <c r="AH36">
        <v>55364</v>
      </c>
      <c r="AI36">
        <v>253</v>
      </c>
      <c r="AJ36">
        <v>356</v>
      </c>
      <c r="AK36">
        <v>53436</v>
      </c>
      <c r="AL36">
        <v>38925</v>
      </c>
      <c r="AM36">
        <v>91</v>
      </c>
      <c r="AN36">
        <v>26088</v>
      </c>
      <c r="AO36">
        <v>5447</v>
      </c>
      <c r="AP36">
        <v>18128</v>
      </c>
      <c r="AQ36">
        <v>9765</v>
      </c>
      <c r="AR36">
        <v>9624</v>
      </c>
      <c r="AS36">
        <v>2212</v>
      </c>
      <c r="AT36">
        <v>829</v>
      </c>
      <c r="AU36">
        <v>12392</v>
      </c>
      <c r="AV36">
        <v>1112</v>
      </c>
      <c r="AW36">
        <v>170</v>
      </c>
      <c r="AX36">
        <v>3140</v>
      </c>
      <c r="AY36">
        <v>1220</v>
      </c>
      <c r="AZ36">
        <v>1625</v>
      </c>
      <c r="BA36">
        <v>8487</v>
      </c>
      <c r="BB36">
        <v>5886</v>
      </c>
      <c r="BC36">
        <v>123</v>
      </c>
    </row>
    <row r="37" spans="1:55">
      <c r="A37" s="1">
        <v>1154</v>
      </c>
      <c r="B37" s="1">
        <v>61</v>
      </c>
      <c r="C37" t="s">
        <v>208</v>
      </c>
      <c r="D37">
        <v>105939</v>
      </c>
      <c r="E37">
        <v>97892</v>
      </c>
      <c r="F37">
        <v>91684</v>
      </c>
      <c r="G37">
        <v>60528</v>
      </c>
      <c r="H37">
        <v>335</v>
      </c>
      <c r="I37">
        <v>321</v>
      </c>
      <c r="J37">
        <v>308</v>
      </c>
      <c r="K37">
        <v>303</v>
      </c>
      <c r="L37">
        <v>302</v>
      </c>
      <c r="M37">
        <v>106</v>
      </c>
      <c r="N37">
        <v>134</v>
      </c>
      <c r="O37">
        <v>2</v>
      </c>
      <c r="P37">
        <v>3</v>
      </c>
      <c r="Q37">
        <v>32196</v>
      </c>
      <c r="R37">
        <v>7484</v>
      </c>
      <c r="S37">
        <v>23914</v>
      </c>
      <c r="T37">
        <v>1421</v>
      </c>
      <c r="U37">
        <v>1744</v>
      </c>
      <c r="V37">
        <v>3775</v>
      </c>
      <c r="W37">
        <v>8938</v>
      </c>
      <c r="X37">
        <v>1834</v>
      </c>
      <c r="Y37">
        <v>1801</v>
      </c>
      <c r="Z37">
        <v>4384</v>
      </c>
      <c r="AA37">
        <v>399</v>
      </c>
      <c r="AB37">
        <v>2854</v>
      </c>
      <c r="AC37">
        <v>568</v>
      </c>
      <c r="AD37">
        <v>1902</v>
      </c>
      <c r="AE37">
        <v>8792</v>
      </c>
      <c r="AF37">
        <v>45</v>
      </c>
      <c r="AG37">
        <v>27484</v>
      </c>
      <c r="AH37">
        <v>25403</v>
      </c>
      <c r="AI37">
        <v>396</v>
      </c>
      <c r="AJ37">
        <v>217</v>
      </c>
      <c r="AK37">
        <v>23782</v>
      </c>
      <c r="AL37">
        <v>16705</v>
      </c>
      <c r="AM37">
        <v>228</v>
      </c>
      <c r="AN37">
        <v>6381</v>
      </c>
      <c r="AO37">
        <v>1479</v>
      </c>
      <c r="AP37">
        <v>4704</v>
      </c>
      <c r="AQ37">
        <v>9085</v>
      </c>
      <c r="AR37">
        <v>8302</v>
      </c>
      <c r="AS37">
        <v>3522</v>
      </c>
      <c r="AT37">
        <v>1031</v>
      </c>
      <c r="AU37">
        <v>6384</v>
      </c>
      <c r="AV37">
        <v>1591</v>
      </c>
      <c r="AW37">
        <v>223</v>
      </c>
      <c r="AX37">
        <v>1200</v>
      </c>
      <c r="AY37">
        <v>419</v>
      </c>
      <c r="AZ37">
        <v>718</v>
      </c>
      <c r="BA37">
        <v>4897</v>
      </c>
      <c r="BB37">
        <v>2190</v>
      </c>
      <c r="BC37">
        <v>87</v>
      </c>
    </row>
    <row r="38" spans="1:55">
      <c r="A38" s="1">
        <v>1157</v>
      </c>
      <c r="B38" s="1">
        <v>61</v>
      </c>
      <c r="C38" t="s">
        <v>211</v>
      </c>
      <c r="D38">
        <v>137475</v>
      </c>
      <c r="E38">
        <v>125596</v>
      </c>
      <c r="F38">
        <v>123468</v>
      </c>
      <c r="G38">
        <v>89313</v>
      </c>
      <c r="H38">
        <v>297</v>
      </c>
      <c r="I38">
        <v>281</v>
      </c>
      <c r="J38">
        <v>246</v>
      </c>
      <c r="K38">
        <v>242</v>
      </c>
      <c r="L38">
        <v>236</v>
      </c>
      <c r="M38">
        <v>30</v>
      </c>
      <c r="N38">
        <v>155</v>
      </c>
      <c r="O38">
        <v>5</v>
      </c>
      <c r="P38">
        <v>4</v>
      </c>
      <c r="Q38">
        <v>31267</v>
      </c>
      <c r="R38">
        <v>6869</v>
      </c>
      <c r="S38">
        <v>23464</v>
      </c>
      <c r="T38">
        <v>970</v>
      </c>
      <c r="U38">
        <v>1505</v>
      </c>
      <c r="V38">
        <v>2763</v>
      </c>
      <c r="W38">
        <v>12545</v>
      </c>
      <c r="X38">
        <v>4416</v>
      </c>
      <c r="Y38">
        <v>4372</v>
      </c>
      <c r="Z38">
        <v>2588</v>
      </c>
      <c r="AA38">
        <v>321</v>
      </c>
      <c r="AB38">
        <v>1881</v>
      </c>
      <c r="AC38">
        <v>402</v>
      </c>
      <c r="AD38">
        <v>1373</v>
      </c>
      <c r="AE38">
        <v>6866</v>
      </c>
      <c r="AF38">
        <v>74</v>
      </c>
      <c r="AG38">
        <v>54964</v>
      </c>
      <c r="AH38">
        <v>50396</v>
      </c>
      <c r="AI38">
        <v>700</v>
      </c>
      <c r="AJ38">
        <v>391</v>
      </c>
      <c r="AK38">
        <v>47115</v>
      </c>
      <c r="AL38">
        <v>35712</v>
      </c>
      <c r="AM38">
        <v>349</v>
      </c>
      <c r="AN38">
        <v>20614</v>
      </c>
      <c r="AO38">
        <v>11006</v>
      </c>
      <c r="AP38">
        <v>8241</v>
      </c>
      <c r="AQ38">
        <v>11938</v>
      </c>
      <c r="AR38">
        <v>10811</v>
      </c>
      <c r="AS38">
        <v>8018</v>
      </c>
      <c r="AT38">
        <v>4409</v>
      </c>
      <c r="AU38">
        <v>9125</v>
      </c>
      <c r="AV38">
        <v>3865</v>
      </c>
      <c r="AW38">
        <v>2103</v>
      </c>
      <c r="AX38">
        <v>2077</v>
      </c>
      <c r="AY38">
        <v>592</v>
      </c>
      <c r="AZ38">
        <v>1425</v>
      </c>
      <c r="BA38">
        <v>6019</v>
      </c>
      <c r="BB38">
        <v>3844</v>
      </c>
      <c r="BC38">
        <v>66</v>
      </c>
    </row>
    <row r="39" spans="1:55">
      <c r="A39" s="1">
        <v>1178</v>
      </c>
      <c r="B39" s="1">
        <v>61</v>
      </c>
      <c r="C39" t="s">
        <v>222</v>
      </c>
      <c r="D39">
        <v>89352</v>
      </c>
      <c r="E39">
        <v>81651</v>
      </c>
      <c r="F39">
        <v>80568</v>
      </c>
      <c r="G39">
        <v>40335</v>
      </c>
      <c r="H39">
        <v>930</v>
      </c>
      <c r="I39">
        <v>863</v>
      </c>
      <c r="J39">
        <v>819</v>
      </c>
      <c r="K39">
        <v>814</v>
      </c>
      <c r="L39">
        <v>790</v>
      </c>
      <c r="M39">
        <v>200</v>
      </c>
      <c r="N39">
        <v>413</v>
      </c>
      <c r="O39">
        <v>14</v>
      </c>
      <c r="P39">
        <v>12</v>
      </c>
      <c r="Q39">
        <v>15803</v>
      </c>
      <c r="R39">
        <v>2012</v>
      </c>
      <c r="S39">
        <v>12928</v>
      </c>
      <c r="T39">
        <v>769</v>
      </c>
      <c r="U39">
        <v>1030</v>
      </c>
      <c r="V39">
        <v>1560</v>
      </c>
      <c r="W39">
        <v>3481</v>
      </c>
      <c r="X39">
        <v>584</v>
      </c>
      <c r="Y39">
        <v>562</v>
      </c>
      <c r="Z39">
        <v>4304</v>
      </c>
      <c r="AA39">
        <v>850</v>
      </c>
      <c r="AB39">
        <v>2970</v>
      </c>
      <c r="AC39">
        <v>394</v>
      </c>
      <c r="AD39">
        <v>2363</v>
      </c>
      <c r="AE39">
        <v>4196</v>
      </c>
      <c r="AF39">
        <v>71</v>
      </c>
      <c r="AG39">
        <v>20951</v>
      </c>
      <c r="AH39">
        <v>18832</v>
      </c>
      <c r="AI39">
        <v>356</v>
      </c>
      <c r="AJ39">
        <v>609</v>
      </c>
      <c r="AK39">
        <v>16515</v>
      </c>
      <c r="AL39">
        <v>8015</v>
      </c>
      <c r="AM39">
        <v>99</v>
      </c>
      <c r="AN39">
        <v>3782</v>
      </c>
      <c r="AO39">
        <v>1934</v>
      </c>
      <c r="AP39">
        <v>1628</v>
      </c>
      <c r="AQ39">
        <v>3432</v>
      </c>
      <c r="AR39">
        <v>3057</v>
      </c>
      <c r="AS39">
        <v>2207</v>
      </c>
      <c r="AT39">
        <v>1637</v>
      </c>
      <c r="AU39">
        <v>7909</v>
      </c>
      <c r="AV39">
        <v>2726</v>
      </c>
      <c r="AW39">
        <v>2073</v>
      </c>
      <c r="AX39">
        <v>688</v>
      </c>
      <c r="AY39">
        <v>211</v>
      </c>
      <c r="AZ39">
        <v>447</v>
      </c>
      <c r="BA39">
        <v>6305</v>
      </c>
      <c r="BB39">
        <v>2068</v>
      </c>
      <c r="BC39">
        <v>25</v>
      </c>
    </row>
    <row r="40" spans="1:55">
      <c r="A40" s="1">
        <v>1069</v>
      </c>
      <c r="B40" s="1">
        <v>62</v>
      </c>
      <c r="C40" t="s">
        <v>191</v>
      </c>
      <c r="D40">
        <v>195514</v>
      </c>
      <c r="E40">
        <v>191326</v>
      </c>
      <c r="F40">
        <v>189278</v>
      </c>
      <c r="G40">
        <v>151871</v>
      </c>
      <c r="H40">
        <v>4779</v>
      </c>
      <c r="I40">
        <v>4746</v>
      </c>
      <c r="J40">
        <v>4568</v>
      </c>
      <c r="K40">
        <v>4557</v>
      </c>
      <c r="L40">
        <v>4547</v>
      </c>
      <c r="M40">
        <v>1025</v>
      </c>
      <c r="N40">
        <v>3020</v>
      </c>
      <c r="O40">
        <v>4</v>
      </c>
      <c r="P40">
        <v>36</v>
      </c>
      <c r="Q40">
        <v>90157</v>
      </c>
      <c r="R40">
        <v>23770</v>
      </c>
      <c r="S40">
        <v>63914</v>
      </c>
      <c r="T40">
        <v>1166</v>
      </c>
      <c r="U40">
        <v>311</v>
      </c>
      <c r="V40">
        <v>1218</v>
      </c>
      <c r="W40">
        <v>31700</v>
      </c>
      <c r="X40">
        <v>7782</v>
      </c>
      <c r="Y40">
        <v>7581</v>
      </c>
      <c r="Z40">
        <v>18229</v>
      </c>
      <c r="AA40">
        <v>3851</v>
      </c>
      <c r="AB40">
        <v>11044</v>
      </c>
      <c r="AC40">
        <v>173</v>
      </c>
      <c r="AD40">
        <v>9862</v>
      </c>
      <c r="AE40">
        <v>7980</v>
      </c>
      <c r="AF40">
        <v>122</v>
      </c>
      <c r="AG40">
        <v>53447</v>
      </c>
      <c r="AH40">
        <v>50207</v>
      </c>
      <c r="AI40">
        <v>275</v>
      </c>
      <c r="AJ40">
        <v>290</v>
      </c>
      <c r="AK40">
        <v>48822</v>
      </c>
      <c r="AL40">
        <v>32990</v>
      </c>
      <c r="AM40">
        <v>108</v>
      </c>
      <c r="AN40">
        <v>26767</v>
      </c>
      <c r="AO40">
        <v>7187</v>
      </c>
      <c r="AP40">
        <v>16646</v>
      </c>
      <c r="AQ40">
        <v>5246</v>
      </c>
      <c r="AR40">
        <v>5064</v>
      </c>
      <c r="AS40">
        <v>3693</v>
      </c>
      <c r="AT40">
        <v>2360</v>
      </c>
      <c r="AU40">
        <v>14257</v>
      </c>
      <c r="AV40">
        <v>2877</v>
      </c>
      <c r="AW40">
        <v>733</v>
      </c>
      <c r="AX40">
        <v>8560</v>
      </c>
      <c r="AY40">
        <v>1374</v>
      </c>
      <c r="AZ40">
        <v>6395</v>
      </c>
      <c r="BA40">
        <v>5420</v>
      </c>
      <c r="BB40">
        <v>4024</v>
      </c>
      <c r="BC40">
        <v>204</v>
      </c>
    </row>
    <row r="41" spans="1:55">
      <c r="A41" s="1">
        <v>1159</v>
      </c>
      <c r="B41" s="1">
        <v>62</v>
      </c>
      <c r="C41" t="s">
        <v>213</v>
      </c>
      <c r="D41">
        <v>152950</v>
      </c>
      <c r="E41">
        <v>139335</v>
      </c>
      <c r="F41">
        <v>134934</v>
      </c>
      <c r="G41">
        <v>86737</v>
      </c>
      <c r="H41">
        <v>781</v>
      </c>
      <c r="I41">
        <v>765</v>
      </c>
      <c r="J41">
        <v>725</v>
      </c>
      <c r="K41">
        <v>717</v>
      </c>
      <c r="L41">
        <v>714</v>
      </c>
      <c r="M41">
        <v>115</v>
      </c>
      <c r="N41">
        <v>490</v>
      </c>
      <c r="O41">
        <v>14</v>
      </c>
      <c r="P41">
        <v>10</v>
      </c>
      <c r="Q41">
        <v>38718</v>
      </c>
      <c r="R41">
        <v>8069</v>
      </c>
      <c r="S41">
        <v>29938</v>
      </c>
      <c r="T41">
        <v>850</v>
      </c>
      <c r="U41">
        <v>875</v>
      </c>
      <c r="V41">
        <v>3349</v>
      </c>
      <c r="W41">
        <v>13222</v>
      </c>
      <c r="X41">
        <v>1737</v>
      </c>
      <c r="Y41">
        <v>738</v>
      </c>
      <c r="Z41">
        <v>5667</v>
      </c>
      <c r="AA41">
        <v>932</v>
      </c>
      <c r="AB41">
        <v>3188</v>
      </c>
      <c r="AC41">
        <v>39</v>
      </c>
      <c r="AD41">
        <v>3071</v>
      </c>
      <c r="AE41">
        <v>9911</v>
      </c>
      <c r="AF41">
        <v>107</v>
      </c>
      <c r="AG41">
        <v>46362</v>
      </c>
      <c r="AH41">
        <v>43958</v>
      </c>
      <c r="AI41">
        <v>244</v>
      </c>
      <c r="AJ41">
        <v>814</v>
      </c>
      <c r="AK41">
        <v>41117</v>
      </c>
      <c r="AL41">
        <v>23748</v>
      </c>
      <c r="AM41">
        <v>247</v>
      </c>
      <c r="AN41">
        <v>9778</v>
      </c>
      <c r="AO41">
        <v>2655</v>
      </c>
      <c r="AP41">
        <v>6816</v>
      </c>
      <c r="AQ41">
        <v>10709</v>
      </c>
      <c r="AR41">
        <v>10638</v>
      </c>
      <c r="AS41">
        <v>2148</v>
      </c>
      <c r="AT41">
        <v>305</v>
      </c>
      <c r="AU41">
        <v>13853</v>
      </c>
      <c r="AV41">
        <v>3698</v>
      </c>
      <c r="AW41">
        <v>162</v>
      </c>
      <c r="AX41">
        <v>1581</v>
      </c>
      <c r="AY41">
        <v>688</v>
      </c>
      <c r="AZ41">
        <v>845</v>
      </c>
      <c r="BA41">
        <v>11634</v>
      </c>
      <c r="BB41">
        <v>8984</v>
      </c>
      <c r="BC41">
        <v>59</v>
      </c>
    </row>
    <row r="42" spans="1:55">
      <c r="A42" s="1">
        <v>1031</v>
      </c>
      <c r="B42" s="1">
        <v>63</v>
      </c>
      <c r="C42" t="s">
        <v>180</v>
      </c>
      <c r="D42">
        <v>74917</v>
      </c>
      <c r="E42">
        <v>72976</v>
      </c>
      <c r="F42">
        <v>71165</v>
      </c>
      <c r="G42">
        <v>40842</v>
      </c>
      <c r="H42">
        <v>711</v>
      </c>
      <c r="I42">
        <v>707</v>
      </c>
      <c r="J42">
        <v>681</v>
      </c>
      <c r="K42">
        <v>680</v>
      </c>
      <c r="L42">
        <v>680</v>
      </c>
      <c r="M42">
        <v>268</v>
      </c>
      <c r="N42">
        <v>299</v>
      </c>
      <c r="O42">
        <v>7</v>
      </c>
      <c r="P42">
        <v>7</v>
      </c>
      <c r="Q42">
        <v>16327</v>
      </c>
      <c r="R42">
        <v>4786</v>
      </c>
      <c r="S42">
        <v>10782</v>
      </c>
      <c r="T42">
        <v>402</v>
      </c>
      <c r="U42">
        <v>279</v>
      </c>
      <c r="V42">
        <v>723</v>
      </c>
      <c r="W42">
        <v>3362</v>
      </c>
      <c r="X42">
        <v>970</v>
      </c>
      <c r="Y42">
        <v>920</v>
      </c>
      <c r="Z42">
        <v>2007</v>
      </c>
      <c r="AA42">
        <v>411</v>
      </c>
      <c r="AB42">
        <v>1361</v>
      </c>
      <c r="AC42">
        <v>42</v>
      </c>
      <c r="AD42">
        <v>1185</v>
      </c>
      <c r="AE42">
        <v>4631</v>
      </c>
      <c r="AF42">
        <v>32</v>
      </c>
      <c r="AG42">
        <v>23429</v>
      </c>
      <c r="AH42">
        <v>22711</v>
      </c>
      <c r="AI42">
        <v>159</v>
      </c>
      <c r="AJ42">
        <v>25</v>
      </c>
      <c r="AK42">
        <v>21878</v>
      </c>
      <c r="AL42">
        <v>11267</v>
      </c>
      <c r="AM42">
        <v>51</v>
      </c>
      <c r="AN42">
        <v>8299</v>
      </c>
      <c r="AO42">
        <v>1106</v>
      </c>
      <c r="AP42">
        <v>6642</v>
      </c>
      <c r="AQ42">
        <v>2226</v>
      </c>
      <c r="AR42">
        <v>2217</v>
      </c>
      <c r="AS42">
        <v>1184</v>
      </c>
      <c r="AT42">
        <v>483</v>
      </c>
      <c r="AU42">
        <v>9826</v>
      </c>
      <c r="AV42">
        <v>2509</v>
      </c>
      <c r="AW42">
        <v>278</v>
      </c>
      <c r="AX42">
        <v>3117</v>
      </c>
      <c r="AY42">
        <v>1572</v>
      </c>
      <c r="AZ42">
        <v>1232</v>
      </c>
      <c r="BA42">
        <v>6037</v>
      </c>
      <c r="BB42">
        <v>5498</v>
      </c>
      <c r="BC42">
        <v>3</v>
      </c>
    </row>
    <row r="43" spans="1:55">
      <c r="A43" s="1">
        <v>1205</v>
      </c>
      <c r="B43" s="1">
        <v>64</v>
      </c>
      <c r="C43" t="s">
        <v>226</v>
      </c>
      <c r="D43">
        <v>35601</v>
      </c>
      <c r="E43">
        <v>32502</v>
      </c>
      <c r="F43">
        <v>31893</v>
      </c>
      <c r="G43">
        <v>12529</v>
      </c>
      <c r="H43">
        <v>139</v>
      </c>
      <c r="I43">
        <v>132</v>
      </c>
      <c r="J43">
        <v>121</v>
      </c>
      <c r="K43">
        <v>121</v>
      </c>
      <c r="L43">
        <v>121</v>
      </c>
      <c r="M43">
        <v>26</v>
      </c>
      <c r="N43">
        <v>73</v>
      </c>
      <c r="O43">
        <v>2</v>
      </c>
      <c r="P43">
        <v>0</v>
      </c>
      <c r="Q43">
        <v>3066</v>
      </c>
      <c r="R43">
        <v>600</v>
      </c>
      <c r="S43">
        <v>2325</v>
      </c>
      <c r="T43">
        <v>60</v>
      </c>
      <c r="U43">
        <v>13</v>
      </c>
      <c r="V43">
        <v>225</v>
      </c>
      <c r="W43">
        <v>692</v>
      </c>
      <c r="X43">
        <v>66</v>
      </c>
      <c r="Y43">
        <v>26</v>
      </c>
      <c r="Z43">
        <v>491</v>
      </c>
      <c r="AA43">
        <v>133</v>
      </c>
      <c r="AB43">
        <v>314</v>
      </c>
      <c r="AC43">
        <v>7</v>
      </c>
      <c r="AD43">
        <v>301</v>
      </c>
      <c r="AE43">
        <v>1048</v>
      </c>
      <c r="AF43">
        <v>33</v>
      </c>
      <c r="AG43">
        <v>9216</v>
      </c>
      <c r="AH43">
        <v>8684</v>
      </c>
      <c r="AI43">
        <v>41</v>
      </c>
      <c r="AJ43">
        <v>5</v>
      </c>
      <c r="AK43">
        <v>8442</v>
      </c>
      <c r="AL43">
        <v>6202</v>
      </c>
      <c r="AM43">
        <v>45</v>
      </c>
      <c r="AN43">
        <v>3116</v>
      </c>
      <c r="AO43">
        <v>1051</v>
      </c>
      <c r="AP43">
        <v>1760</v>
      </c>
      <c r="AQ43">
        <v>2621</v>
      </c>
      <c r="AR43">
        <v>2583</v>
      </c>
      <c r="AS43">
        <v>413</v>
      </c>
      <c r="AT43">
        <v>225</v>
      </c>
      <c r="AU43">
        <v>1915</v>
      </c>
      <c r="AV43">
        <v>285</v>
      </c>
      <c r="AW43">
        <v>47</v>
      </c>
      <c r="AX43">
        <v>542</v>
      </c>
      <c r="AY43">
        <v>216</v>
      </c>
      <c r="AZ43">
        <v>297</v>
      </c>
      <c r="BA43">
        <v>1252</v>
      </c>
      <c r="BB43">
        <v>1053</v>
      </c>
      <c r="BC43">
        <v>12</v>
      </c>
    </row>
    <row r="44" spans="1:55">
      <c r="A44" s="1">
        <v>1013</v>
      </c>
      <c r="B44" s="1">
        <v>65</v>
      </c>
      <c r="C44" t="s">
        <v>171</v>
      </c>
      <c r="D44">
        <v>36817</v>
      </c>
      <c r="E44">
        <v>34554</v>
      </c>
      <c r="F44">
        <v>33806</v>
      </c>
      <c r="G44">
        <v>10634</v>
      </c>
      <c r="H44">
        <v>215</v>
      </c>
      <c r="I44">
        <v>215</v>
      </c>
      <c r="J44">
        <v>203</v>
      </c>
      <c r="K44">
        <v>203</v>
      </c>
      <c r="L44">
        <v>203</v>
      </c>
      <c r="M44">
        <v>119</v>
      </c>
      <c r="N44">
        <v>60</v>
      </c>
      <c r="O44">
        <v>8</v>
      </c>
      <c r="P44">
        <v>4</v>
      </c>
      <c r="Q44">
        <v>5790</v>
      </c>
      <c r="R44">
        <v>1094</v>
      </c>
      <c r="S44">
        <v>4532</v>
      </c>
      <c r="T44">
        <v>435</v>
      </c>
      <c r="U44">
        <v>813</v>
      </c>
      <c r="V44">
        <v>923</v>
      </c>
      <c r="W44">
        <v>785</v>
      </c>
      <c r="X44">
        <v>219</v>
      </c>
      <c r="Y44">
        <v>182</v>
      </c>
      <c r="Z44">
        <v>892</v>
      </c>
      <c r="AA44">
        <v>130</v>
      </c>
      <c r="AB44">
        <v>596</v>
      </c>
      <c r="AC44">
        <v>59</v>
      </c>
      <c r="AD44">
        <v>458</v>
      </c>
      <c r="AE44">
        <v>2512</v>
      </c>
      <c r="AF44">
        <v>10</v>
      </c>
      <c r="AG44">
        <v>4397</v>
      </c>
      <c r="AH44">
        <v>4172</v>
      </c>
      <c r="AI44">
        <v>68</v>
      </c>
      <c r="AJ44">
        <v>103</v>
      </c>
      <c r="AK44">
        <v>3741</v>
      </c>
      <c r="AL44">
        <v>2651</v>
      </c>
      <c r="AM44">
        <v>12</v>
      </c>
      <c r="AN44">
        <v>1277</v>
      </c>
      <c r="AO44">
        <v>241</v>
      </c>
      <c r="AP44">
        <v>956</v>
      </c>
      <c r="AQ44">
        <v>1103</v>
      </c>
      <c r="AR44">
        <v>1096</v>
      </c>
      <c r="AS44">
        <v>206</v>
      </c>
      <c r="AT44">
        <v>74</v>
      </c>
      <c r="AU44">
        <v>939</v>
      </c>
      <c r="AV44">
        <v>227</v>
      </c>
      <c r="AW44">
        <v>66</v>
      </c>
      <c r="AX44">
        <v>190</v>
      </c>
      <c r="AY44">
        <v>75</v>
      </c>
      <c r="AZ44">
        <v>105</v>
      </c>
      <c r="BA44">
        <v>693</v>
      </c>
      <c r="BB44">
        <v>438</v>
      </c>
      <c r="BC44">
        <v>3</v>
      </c>
    </row>
    <row r="45" spans="1:55">
      <c r="A45" s="1">
        <v>1086</v>
      </c>
      <c r="B45" s="1">
        <v>65</v>
      </c>
      <c r="C45" t="s">
        <v>193</v>
      </c>
      <c r="D45">
        <v>141672</v>
      </c>
      <c r="E45">
        <v>138657</v>
      </c>
      <c r="F45">
        <v>125312</v>
      </c>
      <c r="G45">
        <v>78685</v>
      </c>
      <c r="H45">
        <v>595</v>
      </c>
      <c r="I45">
        <v>589</v>
      </c>
      <c r="J45">
        <v>548</v>
      </c>
      <c r="K45">
        <v>548</v>
      </c>
      <c r="L45">
        <v>546</v>
      </c>
      <c r="M45">
        <v>278</v>
      </c>
      <c r="N45">
        <v>174</v>
      </c>
      <c r="O45">
        <v>11</v>
      </c>
      <c r="P45">
        <v>6</v>
      </c>
      <c r="Q45">
        <v>37666</v>
      </c>
      <c r="R45">
        <v>5139</v>
      </c>
      <c r="S45">
        <v>31471</v>
      </c>
      <c r="T45">
        <v>2202</v>
      </c>
      <c r="U45">
        <v>1234</v>
      </c>
      <c r="V45">
        <v>3050</v>
      </c>
      <c r="W45">
        <v>10114</v>
      </c>
      <c r="X45">
        <v>4354</v>
      </c>
      <c r="Y45">
        <v>4324</v>
      </c>
      <c r="Z45">
        <v>3195</v>
      </c>
      <c r="AA45">
        <v>525</v>
      </c>
      <c r="AB45">
        <v>2041</v>
      </c>
      <c r="AC45">
        <v>427</v>
      </c>
      <c r="AD45">
        <v>1313</v>
      </c>
      <c r="AE45">
        <v>15723</v>
      </c>
      <c r="AF45">
        <v>103</v>
      </c>
      <c r="AG45">
        <v>39612</v>
      </c>
      <c r="AH45">
        <v>37410</v>
      </c>
      <c r="AI45">
        <v>102</v>
      </c>
      <c r="AJ45">
        <v>81</v>
      </c>
      <c r="AK45">
        <v>36835</v>
      </c>
      <c r="AL45">
        <v>27029</v>
      </c>
      <c r="AM45">
        <v>267</v>
      </c>
      <c r="AN45">
        <v>13443</v>
      </c>
      <c r="AO45">
        <v>6109</v>
      </c>
      <c r="AP45">
        <v>6532</v>
      </c>
      <c r="AQ45">
        <v>10474</v>
      </c>
      <c r="AR45">
        <v>10265</v>
      </c>
      <c r="AS45">
        <v>1376</v>
      </c>
      <c r="AT45">
        <v>327</v>
      </c>
      <c r="AU45">
        <v>8272</v>
      </c>
      <c r="AV45">
        <v>1367</v>
      </c>
      <c r="AW45">
        <v>142</v>
      </c>
      <c r="AX45">
        <v>2308</v>
      </c>
      <c r="AY45">
        <v>879</v>
      </c>
      <c r="AZ45">
        <v>1341</v>
      </c>
      <c r="BA45">
        <v>5192</v>
      </c>
      <c r="BB45">
        <v>4347</v>
      </c>
      <c r="BC45">
        <v>11</v>
      </c>
    </row>
    <row r="46" spans="1:55">
      <c r="A46" s="1">
        <v>1160</v>
      </c>
      <c r="B46" s="1">
        <v>65</v>
      </c>
      <c r="C46" t="s">
        <v>214</v>
      </c>
      <c r="D46">
        <v>99510</v>
      </c>
      <c r="E46">
        <v>93685</v>
      </c>
      <c r="F46">
        <v>90392</v>
      </c>
      <c r="G46">
        <v>55396</v>
      </c>
      <c r="H46">
        <v>282</v>
      </c>
      <c r="I46">
        <v>277</v>
      </c>
      <c r="J46">
        <v>271</v>
      </c>
      <c r="K46">
        <v>271</v>
      </c>
      <c r="L46">
        <v>271</v>
      </c>
      <c r="M46">
        <v>142</v>
      </c>
      <c r="N46">
        <v>109</v>
      </c>
      <c r="O46">
        <v>0</v>
      </c>
      <c r="P46">
        <v>2</v>
      </c>
      <c r="Q46">
        <v>32289</v>
      </c>
      <c r="R46">
        <v>3261</v>
      </c>
      <c r="S46">
        <v>28515</v>
      </c>
      <c r="T46">
        <v>2174</v>
      </c>
      <c r="U46">
        <v>6082</v>
      </c>
      <c r="V46">
        <v>5683</v>
      </c>
      <c r="W46">
        <v>8971</v>
      </c>
      <c r="X46">
        <v>2751</v>
      </c>
      <c r="Y46">
        <v>2632</v>
      </c>
      <c r="Z46">
        <v>3263</v>
      </c>
      <c r="AA46">
        <v>275</v>
      </c>
      <c r="AB46">
        <v>2653</v>
      </c>
      <c r="AC46">
        <v>422</v>
      </c>
      <c r="AD46">
        <v>2028</v>
      </c>
      <c r="AE46">
        <v>14793</v>
      </c>
      <c r="AF46">
        <v>69</v>
      </c>
      <c r="AG46">
        <v>22349</v>
      </c>
      <c r="AH46">
        <v>20906</v>
      </c>
      <c r="AI46">
        <v>259</v>
      </c>
      <c r="AJ46">
        <v>255</v>
      </c>
      <c r="AK46">
        <v>19213</v>
      </c>
      <c r="AL46">
        <v>11320</v>
      </c>
      <c r="AM46">
        <v>131</v>
      </c>
      <c r="AN46">
        <v>5266</v>
      </c>
      <c r="AO46">
        <v>2098</v>
      </c>
      <c r="AP46">
        <v>2784</v>
      </c>
      <c r="AQ46">
        <v>5161</v>
      </c>
      <c r="AR46">
        <v>5052</v>
      </c>
      <c r="AS46">
        <v>1286</v>
      </c>
      <c r="AT46">
        <v>290</v>
      </c>
      <c r="AU46">
        <v>6666</v>
      </c>
      <c r="AV46">
        <v>1860</v>
      </c>
      <c r="AW46">
        <v>163</v>
      </c>
      <c r="AX46">
        <v>1839</v>
      </c>
      <c r="AY46">
        <v>332</v>
      </c>
      <c r="AZ46">
        <v>1471</v>
      </c>
      <c r="BA46">
        <v>4636</v>
      </c>
      <c r="BB46">
        <v>3976</v>
      </c>
      <c r="BC46">
        <v>8</v>
      </c>
    </row>
    <row r="47" spans="1:55">
      <c r="A47" s="1">
        <v>1164</v>
      </c>
      <c r="B47" s="1">
        <v>65</v>
      </c>
      <c r="C47" t="s">
        <v>216</v>
      </c>
      <c r="D47">
        <v>62413</v>
      </c>
      <c r="E47">
        <v>59157</v>
      </c>
      <c r="F47">
        <v>55171</v>
      </c>
      <c r="G47">
        <v>21132</v>
      </c>
      <c r="H47">
        <v>165</v>
      </c>
      <c r="I47">
        <v>162</v>
      </c>
      <c r="J47">
        <v>149</v>
      </c>
      <c r="K47">
        <v>149</v>
      </c>
      <c r="L47">
        <v>149</v>
      </c>
      <c r="M47">
        <v>52</v>
      </c>
      <c r="N47">
        <v>84</v>
      </c>
      <c r="O47">
        <v>1</v>
      </c>
      <c r="P47">
        <v>0</v>
      </c>
      <c r="Q47">
        <v>8185</v>
      </c>
      <c r="R47">
        <v>1962</v>
      </c>
      <c r="S47">
        <v>6031</v>
      </c>
      <c r="T47">
        <v>339</v>
      </c>
      <c r="U47">
        <v>614</v>
      </c>
      <c r="V47">
        <v>816</v>
      </c>
      <c r="W47">
        <v>1652</v>
      </c>
      <c r="X47">
        <v>942</v>
      </c>
      <c r="Y47">
        <v>880</v>
      </c>
      <c r="Z47">
        <v>1111</v>
      </c>
      <c r="AA47">
        <v>49</v>
      </c>
      <c r="AB47">
        <v>759</v>
      </c>
      <c r="AC47">
        <v>15</v>
      </c>
      <c r="AD47">
        <v>705</v>
      </c>
      <c r="AE47">
        <v>2674</v>
      </c>
      <c r="AF47">
        <v>14</v>
      </c>
      <c r="AG47">
        <v>12549</v>
      </c>
      <c r="AH47">
        <v>11822</v>
      </c>
      <c r="AI47">
        <v>152</v>
      </c>
      <c r="AJ47">
        <v>58</v>
      </c>
      <c r="AK47">
        <v>11145</v>
      </c>
      <c r="AL47">
        <v>6993</v>
      </c>
      <c r="AM47">
        <v>94</v>
      </c>
      <c r="AN47">
        <v>5031</v>
      </c>
      <c r="AO47">
        <v>1372</v>
      </c>
      <c r="AP47">
        <v>3146</v>
      </c>
      <c r="AQ47">
        <v>1598</v>
      </c>
      <c r="AR47">
        <v>1572</v>
      </c>
      <c r="AS47">
        <v>560</v>
      </c>
      <c r="AT47">
        <v>297</v>
      </c>
      <c r="AU47">
        <v>3815</v>
      </c>
      <c r="AV47">
        <v>657</v>
      </c>
      <c r="AW47">
        <v>94</v>
      </c>
      <c r="AX47">
        <v>934</v>
      </c>
      <c r="AY47">
        <v>302</v>
      </c>
      <c r="AZ47">
        <v>568</v>
      </c>
      <c r="BA47">
        <v>2737</v>
      </c>
      <c r="BB47">
        <v>2549</v>
      </c>
      <c r="BC47">
        <v>4</v>
      </c>
    </row>
    <row r="48" spans="1:55">
      <c r="A48" s="1">
        <v>1020</v>
      </c>
      <c r="B48" s="1">
        <v>66</v>
      </c>
      <c r="C48" t="s">
        <v>175</v>
      </c>
      <c r="D48">
        <v>120938</v>
      </c>
      <c r="E48">
        <v>118043</v>
      </c>
      <c r="F48">
        <v>117453</v>
      </c>
      <c r="G48">
        <v>95879</v>
      </c>
      <c r="H48">
        <v>1432</v>
      </c>
      <c r="I48">
        <v>1414</v>
      </c>
      <c r="J48">
        <v>1371</v>
      </c>
      <c r="K48">
        <v>1362</v>
      </c>
      <c r="L48">
        <v>1361</v>
      </c>
      <c r="M48">
        <v>806</v>
      </c>
      <c r="N48">
        <v>380</v>
      </c>
      <c r="O48">
        <v>26</v>
      </c>
      <c r="P48">
        <v>6</v>
      </c>
      <c r="Q48">
        <v>40720</v>
      </c>
      <c r="R48">
        <v>4743</v>
      </c>
      <c r="S48">
        <v>34778</v>
      </c>
      <c r="T48">
        <v>1331</v>
      </c>
      <c r="U48">
        <v>1857</v>
      </c>
      <c r="V48">
        <v>4280</v>
      </c>
      <c r="W48">
        <v>16106</v>
      </c>
      <c r="X48">
        <v>7580</v>
      </c>
      <c r="Y48">
        <v>7465</v>
      </c>
      <c r="Z48">
        <v>3794</v>
      </c>
      <c r="AA48">
        <v>601</v>
      </c>
      <c r="AB48">
        <v>2570</v>
      </c>
      <c r="AC48">
        <v>476</v>
      </c>
      <c r="AD48">
        <v>1879</v>
      </c>
      <c r="AE48">
        <v>12354</v>
      </c>
      <c r="AF48">
        <v>58</v>
      </c>
      <c r="AG48">
        <v>52416</v>
      </c>
      <c r="AH48">
        <v>50097</v>
      </c>
      <c r="AI48">
        <v>724</v>
      </c>
      <c r="AJ48">
        <v>513</v>
      </c>
      <c r="AK48">
        <v>46234</v>
      </c>
      <c r="AL48">
        <v>25558</v>
      </c>
      <c r="AM48">
        <v>655</v>
      </c>
      <c r="AN48">
        <v>14495</v>
      </c>
      <c r="AO48">
        <v>3917</v>
      </c>
      <c r="AP48">
        <v>9535</v>
      </c>
      <c r="AQ48">
        <v>9685</v>
      </c>
      <c r="AR48">
        <v>9643</v>
      </c>
      <c r="AS48">
        <v>2797</v>
      </c>
      <c r="AT48">
        <v>720</v>
      </c>
      <c r="AU48">
        <v>18289</v>
      </c>
      <c r="AV48">
        <v>4047</v>
      </c>
      <c r="AW48">
        <v>967</v>
      </c>
      <c r="AX48">
        <v>4293</v>
      </c>
      <c r="AY48">
        <v>1267</v>
      </c>
      <c r="AZ48">
        <v>2868</v>
      </c>
      <c r="BA48">
        <v>12911</v>
      </c>
      <c r="BB48">
        <v>8578</v>
      </c>
      <c r="BC48">
        <v>73</v>
      </c>
    </row>
    <row r="49" spans="1:55">
      <c r="A49" s="1">
        <v>1096</v>
      </c>
      <c r="B49" s="1">
        <v>66</v>
      </c>
      <c r="C49" t="s">
        <v>196</v>
      </c>
      <c r="D49">
        <v>140014</v>
      </c>
      <c r="E49">
        <v>136628</v>
      </c>
      <c r="F49">
        <v>130636</v>
      </c>
      <c r="G49">
        <v>82533</v>
      </c>
      <c r="H49">
        <v>339</v>
      </c>
      <c r="I49">
        <v>329</v>
      </c>
      <c r="J49">
        <v>322</v>
      </c>
      <c r="K49">
        <v>322</v>
      </c>
      <c r="L49">
        <v>322</v>
      </c>
      <c r="M49">
        <v>73</v>
      </c>
      <c r="N49">
        <v>228</v>
      </c>
      <c r="O49">
        <v>0</v>
      </c>
      <c r="P49">
        <v>0</v>
      </c>
      <c r="Q49">
        <v>23516</v>
      </c>
      <c r="R49">
        <v>6520</v>
      </c>
      <c r="S49">
        <v>16266</v>
      </c>
      <c r="T49">
        <v>1973</v>
      </c>
      <c r="U49">
        <v>863</v>
      </c>
      <c r="V49">
        <v>977</v>
      </c>
      <c r="W49">
        <v>5758</v>
      </c>
      <c r="X49">
        <v>937</v>
      </c>
      <c r="Y49">
        <v>837</v>
      </c>
      <c r="Z49">
        <v>2712</v>
      </c>
      <c r="AA49">
        <v>509</v>
      </c>
      <c r="AB49">
        <v>1770</v>
      </c>
      <c r="AC49">
        <v>18</v>
      </c>
      <c r="AD49">
        <v>1740</v>
      </c>
      <c r="AE49">
        <v>6761</v>
      </c>
      <c r="AF49">
        <v>275</v>
      </c>
      <c r="AG49">
        <v>57683</v>
      </c>
      <c r="AH49">
        <v>52269</v>
      </c>
      <c r="AI49">
        <v>130</v>
      </c>
      <c r="AJ49">
        <v>1611</v>
      </c>
      <c r="AK49">
        <v>49046</v>
      </c>
      <c r="AL49">
        <v>12970</v>
      </c>
      <c r="AM49">
        <v>13</v>
      </c>
      <c r="AN49">
        <v>3871</v>
      </c>
      <c r="AO49">
        <v>1049</v>
      </c>
      <c r="AP49">
        <v>2647</v>
      </c>
      <c r="AQ49">
        <v>7888</v>
      </c>
      <c r="AR49">
        <v>7795</v>
      </c>
      <c r="AS49">
        <v>883</v>
      </c>
      <c r="AT49">
        <v>137</v>
      </c>
      <c r="AU49">
        <v>34269</v>
      </c>
      <c r="AV49">
        <v>3056</v>
      </c>
      <c r="AW49">
        <v>385</v>
      </c>
      <c r="AX49">
        <v>3845</v>
      </c>
      <c r="AY49">
        <v>1948</v>
      </c>
      <c r="AZ49">
        <v>1646</v>
      </c>
      <c r="BA49">
        <v>29139</v>
      </c>
      <c r="BB49">
        <v>18363</v>
      </c>
      <c r="BC49">
        <v>94</v>
      </c>
    </row>
    <row r="50" spans="1:55">
      <c r="A50" s="1">
        <v>1165</v>
      </c>
      <c r="B50" s="1">
        <v>66</v>
      </c>
      <c r="C50" t="s">
        <v>217</v>
      </c>
      <c r="D50">
        <v>232949</v>
      </c>
      <c r="E50">
        <v>206715</v>
      </c>
      <c r="F50">
        <v>194926</v>
      </c>
      <c r="G50">
        <v>110284</v>
      </c>
      <c r="H50">
        <v>166</v>
      </c>
      <c r="I50">
        <v>160</v>
      </c>
      <c r="J50">
        <v>142</v>
      </c>
      <c r="K50">
        <v>142</v>
      </c>
      <c r="L50">
        <v>141</v>
      </c>
      <c r="M50">
        <v>48</v>
      </c>
      <c r="N50">
        <v>79</v>
      </c>
      <c r="O50">
        <v>0</v>
      </c>
      <c r="P50">
        <v>3</v>
      </c>
      <c r="Q50">
        <v>53013</v>
      </c>
      <c r="R50">
        <v>5540</v>
      </c>
      <c r="S50">
        <v>47119</v>
      </c>
      <c r="T50">
        <v>1474</v>
      </c>
      <c r="U50">
        <v>2304</v>
      </c>
      <c r="V50">
        <v>7043</v>
      </c>
      <c r="W50">
        <v>28715</v>
      </c>
      <c r="X50">
        <v>3147</v>
      </c>
      <c r="Y50">
        <v>3091</v>
      </c>
      <c r="Z50">
        <v>3650</v>
      </c>
      <c r="AA50">
        <v>506</v>
      </c>
      <c r="AB50">
        <v>2323</v>
      </c>
      <c r="AC50">
        <v>405</v>
      </c>
      <c r="AD50">
        <v>1640</v>
      </c>
      <c r="AE50">
        <v>13226</v>
      </c>
      <c r="AF50">
        <v>157</v>
      </c>
      <c r="AG50">
        <v>56573</v>
      </c>
      <c r="AH50">
        <v>54079</v>
      </c>
      <c r="AI50">
        <v>111</v>
      </c>
      <c r="AJ50">
        <v>237</v>
      </c>
      <c r="AK50">
        <v>52511</v>
      </c>
      <c r="AL50">
        <v>26321</v>
      </c>
      <c r="AM50">
        <v>158</v>
      </c>
      <c r="AN50">
        <v>10207</v>
      </c>
      <c r="AO50">
        <v>2443</v>
      </c>
      <c r="AP50">
        <v>7267</v>
      </c>
      <c r="AQ50">
        <v>13234</v>
      </c>
      <c r="AR50">
        <v>13181</v>
      </c>
      <c r="AS50">
        <v>1739</v>
      </c>
      <c r="AT50">
        <v>374</v>
      </c>
      <c r="AU50">
        <v>22946</v>
      </c>
      <c r="AV50">
        <v>2649</v>
      </c>
      <c r="AW50">
        <v>288</v>
      </c>
      <c r="AX50">
        <v>4297</v>
      </c>
      <c r="AY50">
        <v>2348</v>
      </c>
      <c r="AZ50">
        <v>1810</v>
      </c>
      <c r="BA50">
        <v>16832</v>
      </c>
      <c r="BB50">
        <v>6730</v>
      </c>
      <c r="BC50">
        <v>49</v>
      </c>
    </row>
    <row r="51" spans="1:55">
      <c r="A51" s="1">
        <v>1166</v>
      </c>
      <c r="B51" s="1">
        <v>66</v>
      </c>
      <c r="C51" t="s">
        <v>218</v>
      </c>
      <c r="D51">
        <v>86919</v>
      </c>
      <c r="E51">
        <v>81185</v>
      </c>
      <c r="F51">
        <v>78665</v>
      </c>
      <c r="G51">
        <v>49508</v>
      </c>
      <c r="H51">
        <v>92</v>
      </c>
      <c r="I51">
        <v>90</v>
      </c>
      <c r="J51">
        <v>86</v>
      </c>
      <c r="K51">
        <v>84</v>
      </c>
      <c r="L51">
        <v>84</v>
      </c>
      <c r="M51">
        <v>17</v>
      </c>
      <c r="N51">
        <v>58</v>
      </c>
      <c r="O51">
        <v>1</v>
      </c>
      <c r="P51">
        <v>1</v>
      </c>
      <c r="Q51">
        <v>24820</v>
      </c>
      <c r="R51">
        <v>3921</v>
      </c>
      <c r="S51">
        <v>20293</v>
      </c>
      <c r="T51">
        <v>717</v>
      </c>
      <c r="U51">
        <v>1560</v>
      </c>
      <c r="V51">
        <v>2990</v>
      </c>
      <c r="W51">
        <v>8315</v>
      </c>
      <c r="X51">
        <v>1019</v>
      </c>
      <c r="Y51">
        <v>1007</v>
      </c>
      <c r="Z51">
        <v>3475</v>
      </c>
      <c r="AA51">
        <v>534</v>
      </c>
      <c r="AB51">
        <v>2727</v>
      </c>
      <c r="AC51">
        <v>357</v>
      </c>
      <c r="AD51">
        <v>2123</v>
      </c>
      <c r="AE51">
        <v>7120</v>
      </c>
      <c r="AF51">
        <v>31</v>
      </c>
      <c r="AG51">
        <v>24379</v>
      </c>
      <c r="AH51">
        <v>21837</v>
      </c>
      <c r="AI51">
        <v>93</v>
      </c>
      <c r="AJ51">
        <v>251</v>
      </c>
      <c r="AK51">
        <v>20954</v>
      </c>
      <c r="AL51">
        <v>11790</v>
      </c>
      <c r="AM51">
        <v>55</v>
      </c>
      <c r="AN51">
        <v>6357</v>
      </c>
      <c r="AO51">
        <v>1930</v>
      </c>
      <c r="AP51">
        <v>3879</v>
      </c>
      <c r="AQ51">
        <v>4362</v>
      </c>
      <c r="AR51">
        <v>4285</v>
      </c>
      <c r="AS51">
        <v>637</v>
      </c>
      <c r="AT51">
        <v>191</v>
      </c>
      <c r="AU51">
        <v>7680</v>
      </c>
      <c r="AV51">
        <v>432</v>
      </c>
      <c r="AW51">
        <v>103</v>
      </c>
      <c r="AX51">
        <v>2100</v>
      </c>
      <c r="AY51">
        <v>475</v>
      </c>
      <c r="AZ51">
        <v>1487</v>
      </c>
      <c r="BA51">
        <v>5215</v>
      </c>
      <c r="BB51">
        <v>2100</v>
      </c>
      <c r="BC51">
        <v>283</v>
      </c>
    </row>
    <row r="52" spans="1:55">
      <c r="A52" s="1">
        <v>1103</v>
      </c>
      <c r="B52" s="1">
        <v>67</v>
      </c>
      <c r="C52" t="s">
        <v>199</v>
      </c>
      <c r="D52">
        <v>247391</v>
      </c>
      <c r="E52">
        <v>242168</v>
      </c>
      <c r="F52">
        <v>230207</v>
      </c>
      <c r="G52">
        <v>70991</v>
      </c>
      <c r="H52">
        <v>676</v>
      </c>
      <c r="I52">
        <v>667</v>
      </c>
      <c r="J52">
        <v>646</v>
      </c>
      <c r="K52">
        <v>641</v>
      </c>
      <c r="L52">
        <v>640</v>
      </c>
      <c r="M52">
        <v>333</v>
      </c>
      <c r="N52">
        <v>54</v>
      </c>
      <c r="O52">
        <v>1</v>
      </c>
      <c r="P52">
        <v>0</v>
      </c>
      <c r="Q52">
        <v>48230</v>
      </c>
      <c r="R52">
        <v>10275</v>
      </c>
      <c r="S52">
        <v>36279</v>
      </c>
      <c r="T52">
        <v>483</v>
      </c>
      <c r="U52">
        <v>982</v>
      </c>
      <c r="V52">
        <v>5163</v>
      </c>
      <c r="W52">
        <v>18338</v>
      </c>
      <c r="X52">
        <v>7129</v>
      </c>
      <c r="Y52">
        <v>6591</v>
      </c>
      <c r="Z52">
        <v>6108</v>
      </c>
      <c r="AA52">
        <v>1259</v>
      </c>
      <c r="AB52">
        <v>3676</v>
      </c>
      <c r="AC52">
        <v>246</v>
      </c>
      <c r="AD52">
        <v>3013</v>
      </c>
      <c r="AE52">
        <v>9052</v>
      </c>
      <c r="AF52">
        <v>67</v>
      </c>
      <c r="AG52">
        <v>21111</v>
      </c>
      <c r="AH52">
        <v>18991</v>
      </c>
      <c r="AI52">
        <v>106</v>
      </c>
      <c r="AJ52">
        <v>341</v>
      </c>
      <c r="AK52">
        <v>18080</v>
      </c>
      <c r="AL52">
        <v>8542</v>
      </c>
      <c r="AM52">
        <v>57</v>
      </c>
      <c r="AN52">
        <v>2952</v>
      </c>
      <c r="AO52">
        <v>1678</v>
      </c>
      <c r="AP52">
        <v>1019</v>
      </c>
      <c r="AQ52">
        <v>4583</v>
      </c>
      <c r="AR52">
        <v>4241</v>
      </c>
      <c r="AS52">
        <v>1066</v>
      </c>
      <c r="AT52">
        <v>114</v>
      </c>
      <c r="AU52">
        <v>9039</v>
      </c>
      <c r="AV52">
        <v>3324</v>
      </c>
      <c r="AW52">
        <v>166</v>
      </c>
      <c r="AX52">
        <v>406</v>
      </c>
      <c r="AY52">
        <v>172</v>
      </c>
      <c r="AZ52">
        <v>196</v>
      </c>
      <c r="BA52">
        <v>8250</v>
      </c>
      <c r="BB52">
        <v>5610</v>
      </c>
      <c r="BC52">
        <v>55</v>
      </c>
    </row>
    <row r="53" spans="1:55">
      <c r="A53" s="1">
        <v>1004</v>
      </c>
      <c r="B53" s="1">
        <v>68</v>
      </c>
      <c r="C53" t="s">
        <v>167</v>
      </c>
      <c r="D53">
        <v>303378</v>
      </c>
      <c r="E53">
        <v>294206</v>
      </c>
      <c r="F53">
        <v>293104</v>
      </c>
      <c r="G53">
        <v>123429</v>
      </c>
      <c r="H53">
        <v>1998</v>
      </c>
      <c r="I53">
        <v>1955</v>
      </c>
      <c r="J53">
        <v>1890</v>
      </c>
      <c r="K53">
        <v>1861</v>
      </c>
      <c r="L53">
        <v>1855</v>
      </c>
      <c r="M53">
        <v>613</v>
      </c>
      <c r="N53">
        <v>927</v>
      </c>
      <c r="O53">
        <v>22</v>
      </c>
      <c r="P53">
        <v>32</v>
      </c>
      <c r="Q53">
        <v>29560</v>
      </c>
      <c r="R53">
        <v>2362</v>
      </c>
      <c r="S53">
        <v>26672</v>
      </c>
      <c r="T53">
        <v>1932</v>
      </c>
      <c r="U53">
        <v>3761</v>
      </c>
      <c r="V53">
        <v>4628</v>
      </c>
      <c r="W53">
        <v>9325</v>
      </c>
      <c r="X53">
        <v>247</v>
      </c>
      <c r="Y53">
        <v>234</v>
      </c>
      <c r="Z53">
        <v>3798</v>
      </c>
      <c r="AA53">
        <v>831</v>
      </c>
      <c r="AB53">
        <v>2116</v>
      </c>
      <c r="AC53">
        <v>104</v>
      </c>
      <c r="AD53">
        <v>1905</v>
      </c>
      <c r="AE53">
        <v>12819</v>
      </c>
      <c r="AF53">
        <v>385</v>
      </c>
      <c r="AG53">
        <v>89371</v>
      </c>
      <c r="AH53">
        <v>81626</v>
      </c>
      <c r="AI53">
        <v>368</v>
      </c>
      <c r="AJ53">
        <v>1572</v>
      </c>
      <c r="AK53">
        <v>77563</v>
      </c>
      <c r="AL53">
        <v>35933</v>
      </c>
      <c r="AM53">
        <v>693</v>
      </c>
      <c r="AN53">
        <v>11210</v>
      </c>
      <c r="AO53">
        <v>2531</v>
      </c>
      <c r="AP53">
        <v>7689</v>
      </c>
      <c r="AQ53">
        <v>22284</v>
      </c>
      <c r="AR53">
        <v>22077</v>
      </c>
      <c r="AS53">
        <v>1226</v>
      </c>
      <c r="AT53">
        <v>243</v>
      </c>
      <c r="AU53">
        <v>38816</v>
      </c>
      <c r="AV53">
        <v>5337</v>
      </c>
      <c r="AW53">
        <v>346</v>
      </c>
      <c r="AX53">
        <v>764</v>
      </c>
      <c r="AY53">
        <v>401</v>
      </c>
      <c r="AZ53">
        <v>306</v>
      </c>
      <c r="BA53">
        <v>37407</v>
      </c>
      <c r="BB53">
        <v>14084</v>
      </c>
      <c r="BC53">
        <v>126</v>
      </c>
    </row>
    <row r="54" spans="1:55">
      <c r="A54" s="1">
        <v>1097</v>
      </c>
      <c r="B54" s="1">
        <v>68</v>
      </c>
      <c r="C54" t="s">
        <v>197</v>
      </c>
      <c r="D54">
        <v>241814</v>
      </c>
      <c r="E54">
        <v>235966</v>
      </c>
      <c r="F54">
        <v>231326</v>
      </c>
      <c r="G54">
        <v>203103</v>
      </c>
      <c r="H54">
        <v>561</v>
      </c>
      <c r="I54">
        <v>555</v>
      </c>
      <c r="J54">
        <v>519</v>
      </c>
      <c r="K54">
        <v>518</v>
      </c>
      <c r="L54">
        <v>518</v>
      </c>
      <c r="M54">
        <v>261</v>
      </c>
      <c r="N54">
        <v>207</v>
      </c>
      <c r="O54">
        <v>5</v>
      </c>
      <c r="P54">
        <v>4</v>
      </c>
      <c r="Q54">
        <v>61057</v>
      </c>
      <c r="R54">
        <v>15743</v>
      </c>
      <c r="S54">
        <v>43266</v>
      </c>
      <c r="T54">
        <v>2389</v>
      </c>
      <c r="U54">
        <v>2167</v>
      </c>
      <c r="V54">
        <v>8253</v>
      </c>
      <c r="W54">
        <v>15622</v>
      </c>
      <c r="X54">
        <v>7357</v>
      </c>
      <c r="Y54">
        <v>7000</v>
      </c>
      <c r="Z54">
        <v>4079</v>
      </c>
      <c r="AA54">
        <v>567</v>
      </c>
      <c r="AB54">
        <v>2803</v>
      </c>
      <c r="AC54">
        <v>110</v>
      </c>
      <c r="AD54">
        <v>2555</v>
      </c>
      <c r="AE54">
        <v>21514</v>
      </c>
      <c r="AF54">
        <v>188</v>
      </c>
      <c r="AG54">
        <v>140609</v>
      </c>
      <c r="AH54">
        <v>131588</v>
      </c>
      <c r="AI54">
        <v>435</v>
      </c>
      <c r="AJ54">
        <v>1690</v>
      </c>
      <c r="AK54">
        <v>125826</v>
      </c>
      <c r="AL54">
        <v>37448</v>
      </c>
      <c r="AM54">
        <v>439</v>
      </c>
      <c r="AN54">
        <v>18452</v>
      </c>
      <c r="AO54">
        <v>4486</v>
      </c>
      <c r="AP54">
        <v>12779</v>
      </c>
      <c r="AQ54">
        <v>15065</v>
      </c>
      <c r="AR54">
        <v>14964</v>
      </c>
      <c r="AS54">
        <v>5618</v>
      </c>
      <c r="AT54">
        <v>908</v>
      </c>
      <c r="AU54">
        <v>83703</v>
      </c>
      <c r="AV54">
        <v>13383</v>
      </c>
      <c r="AW54">
        <v>1164</v>
      </c>
      <c r="AX54">
        <v>5172</v>
      </c>
      <c r="AY54">
        <v>2123</v>
      </c>
      <c r="AZ54">
        <v>2777</v>
      </c>
      <c r="BA54">
        <v>76629</v>
      </c>
      <c r="BB54">
        <v>53362</v>
      </c>
      <c r="BC54">
        <v>1213</v>
      </c>
    </row>
    <row r="55" spans="1:55">
      <c r="A55" s="1">
        <v>1047</v>
      </c>
      <c r="B55" s="1">
        <v>69</v>
      </c>
      <c r="C55" t="s">
        <v>185</v>
      </c>
      <c r="D55">
        <v>78807</v>
      </c>
      <c r="E55">
        <v>74432</v>
      </c>
      <c r="F55">
        <v>72740</v>
      </c>
      <c r="G55">
        <v>51195</v>
      </c>
      <c r="H55">
        <v>531</v>
      </c>
      <c r="I55">
        <v>515</v>
      </c>
      <c r="J55">
        <v>491</v>
      </c>
      <c r="K55">
        <v>488</v>
      </c>
      <c r="L55">
        <v>487</v>
      </c>
      <c r="M55">
        <v>167</v>
      </c>
      <c r="N55">
        <v>256</v>
      </c>
      <c r="O55">
        <v>11</v>
      </c>
      <c r="P55">
        <v>6</v>
      </c>
      <c r="Q55">
        <v>33201</v>
      </c>
      <c r="R55">
        <v>2892</v>
      </c>
      <c r="S55">
        <v>28840</v>
      </c>
      <c r="T55">
        <v>1075</v>
      </c>
      <c r="U55">
        <v>491</v>
      </c>
      <c r="V55">
        <v>4550</v>
      </c>
      <c r="W55">
        <v>13389</v>
      </c>
      <c r="X55">
        <v>4064</v>
      </c>
      <c r="Y55">
        <v>3859</v>
      </c>
      <c r="Z55">
        <v>5159</v>
      </c>
      <c r="AA55">
        <v>485</v>
      </c>
      <c r="AB55">
        <v>3925</v>
      </c>
      <c r="AC55">
        <v>111</v>
      </c>
      <c r="AD55">
        <v>3465</v>
      </c>
      <c r="AE55">
        <v>8058</v>
      </c>
      <c r="AF55">
        <v>81</v>
      </c>
      <c r="AG55">
        <v>16336</v>
      </c>
      <c r="AH55">
        <v>15513</v>
      </c>
      <c r="AI55">
        <v>199</v>
      </c>
      <c r="AJ55">
        <v>133</v>
      </c>
      <c r="AK55">
        <v>14466</v>
      </c>
      <c r="AL55">
        <v>7424</v>
      </c>
      <c r="AM55">
        <v>187</v>
      </c>
      <c r="AN55">
        <v>3483</v>
      </c>
      <c r="AO55">
        <v>714</v>
      </c>
      <c r="AP55">
        <v>2585</v>
      </c>
      <c r="AQ55">
        <v>3166</v>
      </c>
      <c r="AR55">
        <v>3130</v>
      </c>
      <c r="AS55">
        <v>690</v>
      </c>
      <c r="AT55">
        <v>136</v>
      </c>
      <c r="AU55">
        <v>5861</v>
      </c>
      <c r="AV55">
        <v>1647</v>
      </c>
      <c r="AW55">
        <v>146</v>
      </c>
      <c r="AX55">
        <v>1485</v>
      </c>
      <c r="AY55">
        <v>621</v>
      </c>
      <c r="AZ55">
        <v>786</v>
      </c>
      <c r="BA55">
        <v>3817</v>
      </c>
      <c r="BB55">
        <v>3168</v>
      </c>
      <c r="BC55">
        <v>16</v>
      </c>
    </row>
    <row r="56" spans="1:55">
      <c r="A56" s="1">
        <v>1121</v>
      </c>
      <c r="B56" s="1">
        <v>69</v>
      </c>
      <c r="C56" t="s">
        <v>202</v>
      </c>
      <c r="D56">
        <v>205943</v>
      </c>
      <c r="E56">
        <v>200135</v>
      </c>
      <c r="F56">
        <v>194780</v>
      </c>
      <c r="G56">
        <v>141444</v>
      </c>
      <c r="H56">
        <v>200</v>
      </c>
      <c r="I56">
        <v>200</v>
      </c>
      <c r="J56">
        <v>182</v>
      </c>
      <c r="K56">
        <v>181</v>
      </c>
      <c r="L56">
        <v>179</v>
      </c>
      <c r="M56">
        <v>74</v>
      </c>
      <c r="N56">
        <v>68</v>
      </c>
      <c r="O56">
        <v>0</v>
      </c>
      <c r="P56">
        <v>6</v>
      </c>
      <c r="Q56">
        <v>73229</v>
      </c>
      <c r="R56">
        <v>14299</v>
      </c>
      <c r="S56">
        <v>57956</v>
      </c>
      <c r="T56">
        <v>2701</v>
      </c>
      <c r="U56">
        <v>1530</v>
      </c>
      <c r="V56">
        <v>5493</v>
      </c>
      <c r="W56">
        <v>27346</v>
      </c>
      <c r="X56">
        <v>8684</v>
      </c>
      <c r="Y56">
        <v>8235</v>
      </c>
      <c r="Z56">
        <v>5591</v>
      </c>
      <c r="AA56">
        <v>631</v>
      </c>
      <c r="AB56">
        <v>4571</v>
      </c>
      <c r="AC56">
        <v>1610</v>
      </c>
      <c r="AD56">
        <v>2299</v>
      </c>
      <c r="AE56">
        <v>22117</v>
      </c>
      <c r="AF56">
        <v>169</v>
      </c>
      <c r="AG56">
        <v>66838</v>
      </c>
      <c r="AH56">
        <v>63745</v>
      </c>
      <c r="AI56">
        <v>75</v>
      </c>
      <c r="AJ56">
        <v>135</v>
      </c>
      <c r="AK56">
        <v>63066</v>
      </c>
      <c r="AL56">
        <v>29342</v>
      </c>
      <c r="AM56">
        <v>372</v>
      </c>
      <c r="AN56">
        <v>10885</v>
      </c>
      <c r="AO56">
        <v>2168</v>
      </c>
      <c r="AP56">
        <v>8169</v>
      </c>
      <c r="AQ56">
        <v>15483</v>
      </c>
      <c r="AR56">
        <v>14999</v>
      </c>
      <c r="AS56">
        <v>5073</v>
      </c>
      <c r="AT56">
        <v>703</v>
      </c>
      <c r="AU56">
        <v>30667</v>
      </c>
      <c r="AV56">
        <v>6092</v>
      </c>
      <c r="AW56">
        <v>646</v>
      </c>
      <c r="AX56">
        <v>1683</v>
      </c>
      <c r="AY56">
        <v>1236</v>
      </c>
      <c r="AZ56">
        <v>402</v>
      </c>
      <c r="BA56">
        <v>27892</v>
      </c>
      <c r="BB56">
        <v>15173</v>
      </c>
      <c r="BC56">
        <v>32</v>
      </c>
    </row>
    <row r="57" spans="1:55">
      <c r="A57" s="1">
        <v>1207</v>
      </c>
      <c r="B57" s="1">
        <v>69</v>
      </c>
      <c r="C57" t="s">
        <v>227</v>
      </c>
      <c r="D57">
        <v>82779</v>
      </c>
      <c r="E57">
        <v>76468</v>
      </c>
      <c r="F57">
        <v>75354</v>
      </c>
      <c r="G57">
        <v>43236</v>
      </c>
      <c r="H57">
        <v>549</v>
      </c>
      <c r="I57">
        <v>499</v>
      </c>
      <c r="J57">
        <v>439</v>
      </c>
      <c r="K57">
        <v>437</v>
      </c>
      <c r="L57">
        <v>417</v>
      </c>
      <c r="M57">
        <v>101</v>
      </c>
      <c r="N57">
        <v>220</v>
      </c>
      <c r="O57">
        <v>26</v>
      </c>
      <c r="P57">
        <v>8</v>
      </c>
      <c r="Q57">
        <v>21638</v>
      </c>
      <c r="R57">
        <v>12539</v>
      </c>
      <c r="S57">
        <v>8046</v>
      </c>
      <c r="T57">
        <v>656</v>
      </c>
      <c r="U57">
        <v>1027</v>
      </c>
      <c r="V57">
        <v>1316</v>
      </c>
      <c r="W57">
        <v>2187</v>
      </c>
      <c r="X57">
        <v>568</v>
      </c>
      <c r="Y57">
        <v>534</v>
      </c>
      <c r="Z57">
        <v>1305</v>
      </c>
      <c r="AA57">
        <v>309</v>
      </c>
      <c r="AB57">
        <v>763</v>
      </c>
      <c r="AC57">
        <v>101</v>
      </c>
      <c r="AD57">
        <v>558</v>
      </c>
      <c r="AE57">
        <v>4097</v>
      </c>
      <c r="AF57">
        <v>31</v>
      </c>
      <c r="AG57">
        <v>18168</v>
      </c>
      <c r="AH57">
        <v>14978</v>
      </c>
      <c r="AI57">
        <v>325</v>
      </c>
      <c r="AJ57">
        <v>76</v>
      </c>
      <c r="AK57">
        <v>13641</v>
      </c>
      <c r="AL57">
        <v>9594</v>
      </c>
      <c r="AM57">
        <v>376</v>
      </c>
      <c r="AN57">
        <v>5658</v>
      </c>
      <c r="AO57">
        <v>3292</v>
      </c>
      <c r="AP57">
        <v>2263</v>
      </c>
      <c r="AQ57">
        <v>2817</v>
      </c>
      <c r="AR57">
        <v>2708</v>
      </c>
      <c r="AS57">
        <v>3366</v>
      </c>
      <c r="AT57">
        <v>2439</v>
      </c>
      <c r="AU57">
        <v>3048</v>
      </c>
      <c r="AV57">
        <v>1553</v>
      </c>
      <c r="AW57">
        <v>1097</v>
      </c>
      <c r="AX57">
        <v>1384</v>
      </c>
      <c r="AY57">
        <v>255</v>
      </c>
      <c r="AZ57">
        <v>1108</v>
      </c>
      <c r="BA57">
        <v>1310</v>
      </c>
      <c r="BB57">
        <v>1071</v>
      </c>
      <c r="BC57">
        <v>57</v>
      </c>
    </row>
    <row r="58" spans="1:55">
      <c r="A58" s="1">
        <v>1010</v>
      </c>
      <c r="B58" s="1">
        <v>70</v>
      </c>
      <c r="C58" t="s">
        <v>169</v>
      </c>
      <c r="D58">
        <v>284997</v>
      </c>
      <c r="E58">
        <v>278506</v>
      </c>
      <c r="F58">
        <v>276399</v>
      </c>
      <c r="G58">
        <v>216305</v>
      </c>
      <c r="H58">
        <v>548</v>
      </c>
      <c r="I58">
        <v>536</v>
      </c>
      <c r="J58">
        <v>501</v>
      </c>
      <c r="K58">
        <v>496</v>
      </c>
      <c r="L58">
        <v>491</v>
      </c>
      <c r="M58">
        <v>114</v>
      </c>
      <c r="N58">
        <v>272</v>
      </c>
      <c r="O58">
        <v>3</v>
      </c>
      <c r="P58">
        <v>0</v>
      </c>
      <c r="Q58">
        <v>124747</v>
      </c>
      <c r="R58">
        <v>20381</v>
      </c>
      <c r="S58">
        <v>102697</v>
      </c>
      <c r="T58">
        <v>3254</v>
      </c>
      <c r="U58">
        <v>8529</v>
      </c>
      <c r="V58">
        <v>16692</v>
      </c>
      <c r="W58">
        <v>57126</v>
      </c>
      <c r="X58">
        <v>23217</v>
      </c>
      <c r="Y58">
        <v>23059</v>
      </c>
      <c r="Z58">
        <v>10814</v>
      </c>
      <c r="AA58">
        <v>1135</v>
      </c>
      <c r="AB58">
        <v>8786</v>
      </c>
      <c r="AC58">
        <v>3198</v>
      </c>
      <c r="AD58">
        <v>4026</v>
      </c>
      <c r="AE58">
        <v>28333</v>
      </c>
      <c r="AF58">
        <v>165</v>
      </c>
      <c r="AG58">
        <v>88203</v>
      </c>
      <c r="AH58">
        <v>84921</v>
      </c>
      <c r="AI58">
        <v>1050</v>
      </c>
      <c r="AJ58">
        <v>568</v>
      </c>
      <c r="AK58">
        <v>79921</v>
      </c>
      <c r="AL58">
        <v>35897</v>
      </c>
      <c r="AM58">
        <v>330</v>
      </c>
      <c r="AN58">
        <v>18789</v>
      </c>
      <c r="AO58">
        <v>6577</v>
      </c>
      <c r="AP58">
        <v>10997</v>
      </c>
      <c r="AQ58">
        <v>15251</v>
      </c>
      <c r="AR58">
        <v>14633</v>
      </c>
      <c r="AS58">
        <v>5380</v>
      </c>
      <c r="AT58">
        <v>1510</v>
      </c>
      <c r="AU58">
        <v>40007</v>
      </c>
      <c r="AV58">
        <v>7521</v>
      </c>
      <c r="AW58">
        <v>1434</v>
      </c>
      <c r="AX58">
        <v>7200</v>
      </c>
      <c r="AY58">
        <v>1680</v>
      </c>
      <c r="AZ58">
        <v>5258</v>
      </c>
      <c r="BA58">
        <v>31488</v>
      </c>
      <c r="BB58">
        <v>14743</v>
      </c>
      <c r="BC58">
        <v>49</v>
      </c>
    </row>
    <row r="59" spans="1:55">
      <c r="A59" s="1">
        <v>1050</v>
      </c>
      <c r="B59" s="1">
        <v>70</v>
      </c>
      <c r="C59" t="s">
        <v>187</v>
      </c>
      <c r="D59">
        <v>237179</v>
      </c>
      <c r="E59">
        <v>231914</v>
      </c>
      <c r="F59">
        <v>230665</v>
      </c>
      <c r="G59">
        <v>209161</v>
      </c>
      <c r="H59">
        <v>3077</v>
      </c>
      <c r="I59">
        <v>3064</v>
      </c>
      <c r="J59">
        <v>2986</v>
      </c>
      <c r="K59">
        <v>2983</v>
      </c>
      <c r="L59">
        <v>2980</v>
      </c>
      <c r="M59">
        <v>2256</v>
      </c>
      <c r="N59">
        <v>362</v>
      </c>
      <c r="O59">
        <v>7</v>
      </c>
      <c r="P59">
        <v>9</v>
      </c>
      <c r="Q59">
        <v>127011</v>
      </c>
      <c r="R59">
        <v>18926</v>
      </c>
      <c r="S59">
        <v>105764</v>
      </c>
      <c r="T59">
        <v>2370</v>
      </c>
      <c r="U59">
        <v>13138</v>
      </c>
      <c r="V59">
        <v>32213</v>
      </c>
      <c r="W59">
        <v>36972</v>
      </c>
      <c r="X59">
        <v>13681</v>
      </c>
      <c r="Y59">
        <v>13401</v>
      </c>
      <c r="Z59">
        <v>10738</v>
      </c>
      <c r="AA59">
        <v>1116</v>
      </c>
      <c r="AB59">
        <v>5687</v>
      </c>
      <c r="AC59">
        <v>739</v>
      </c>
      <c r="AD59">
        <v>4547</v>
      </c>
      <c r="AE59">
        <v>51864</v>
      </c>
      <c r="AF59">
        <v>237</v>
      </c>
      <c r="AG59">
        <v>77456</v>
      </c>
      <c r="AH59">
        <v>75151</v>
      </c>
      <c r="AI59">
        <v>1121</v>
      </c>
      <c r="AJ59">
        <v>307</v>
      </c>
      <c r="AK59">
        <v>69637</v>
      </c>
      <c r="AL59">
        <v>50709</v>
      </c>
      <c r="AM59">
        <v>521</v>
      </c>
      <c r="AN59">
        <v>36379</v>
      </c>
      <c r="AO59">
        <v>8695</v>
      </c>
      <c r="AP59">
        <v>25200</v>
      </c>
      <c r="AQ59">
        <v>9572</v>
      </c>
      <c r="AR59">
        <v>9516</v>
      </c>
      <c r="AS59">
        <v>2422</v>
      </c>
      <c r="AT59">
        <v>763</v>
      </c>
      <c r="AU59">
        <v>15914</v>
      </c>
      <c r="AV59">
        <v>4566</v>
      </c>
      <c r="AW59">
        <v>334</v>
      </c>
      <c r="AX59">
        <v>5439</v>
      </c>
      <c r="AY59">
        <v>1891</v>
      </c>
      <c r="AZ59">
        <v>3289</v>
      </c>
      <c r="BA59">
        <v>9250</v>
      </c>
      <c r="BB59">
        <v>7752</v>
      </c>
      <c r="BC59">
        <v>15</v>
      </c>
    </row>
    <row r="60" spans="1:55">
      <c r="A60" s="1">
        <v>1149</v>
      </c>
      <c r="B60" s="1">
        <v>70</v>
      </c>
      <c r="C60" t="s">
        <v>205</v>
      </c>
      <c r="D60">
        <v>26524</v>
      </c>
      <c r="E60">
        <v>24333</v>
      </c>
      <c r="F60">
        <v>22879</v>
      </c>
      <c r="G60">
        <v>15586</v>
      </c>
      <c r="H60">
        <v>55</v>
      </c>
      <c r="I60">
        <v>55</v>
      </c>
      <c r="J60">
        <v>55</v>
      </c>
      <c r="K60">
        <v>55</v>
      </c>
      <c r="L60">
        <v>55</v>
      </c>
      <c r="M60">
        <v>30</v>
      </c>
      <c r="N60">
        <v>22</v>
      </c>
      <c r="O60">
        <v>0</v>
      </c>
      <c r="P60">
        <v>0</v>
      </c>
      <c r="Q60">
        <v>7863</v>
      </c>
      <c r="R60">
        <v>1231</v>
      </c>
      <c r="S60">
        <v>6394</v>
      </c>
      <c r="T60">
        <v>531</v>
      </c>
      <c r="U60">
        <v>432</v>
      </c>
      <c r="V60">
        <v>725</v>
      </c>
      <c r="W60">
        <v>2361</v>
      </c>
      <c r="X60">
        <v>281</v>
      </c>
      <c r="Y60">
        <v>264</v>
      </c>
      <c r="Z60">
        <v>554</v>
      </c>
      <c r="AA60">
        <v>69</v>
      </c>
      <c r="AB60">
        <v>412</v>
      </c>
      <c r="AC60">
        <v>81</v>
      </c>
      <c r="AD60">
        <v>287</v>
      </c>
      <c r="AE60">
        <v>3249</v>
      </c>
      <c r="AF60">
        <v>3</v>
      </c>
      <c r="AG60">
        <v>7567</v>
      </c>
      <c r="AH60">
        <v>6038</v>
      </c>
      <c r="AI60">
        <v>168</v>
      </c>
      <c r="AJ60">
        <v>114</v>
      </c>
      <c r="AK60">
        <v>5395</v>
      </c>
      <c r="AL60">
        <v>3229</v>
      </c>
      <c r="AM60">
        <v>44</v>
      </c>
      <c r="AN60">
        <v>1796</v>
      </c>
      <c r="AO60">
        <v>649</v>
      </c>
      <c r="AP60">
        <v>999</v>
      </c>
      <c r="AQ60">
        <v>1253</v>
      </c>
      <c r="AR60">
        <v>1228</v>
      </c>
      <c r="AS60">
        <v>427</v>
      </c>
      <c r="AT60">
        <v>125</v>
      </c>
      <c r="AU60">
        <v>1459</v>
      </c>
      <c r="AV60">
        <v>301</v>
      </c>
      <c r="AW60">
        <v>19</v>
      </c>
      <c r="AX60">
        <v>101</v>
      </c>
      <c r="AY60">
        <v>61</v>
      </c>
      <c r="AZ60">
        <v>33</v>
      </c>
      <c r="BA60">
        <v>1321</v>
      </c>
      <c r="BB60">
        <v>906</v>
      </c>
      <c r="BC60">
        <v>55</v>
      </c>
    </row>
    <row r="61" spans="1:55">
      <c r="A61" s="1">
        <v>1153</v>
      </c>
      <c r="B61" s="1">
        <v>70</v>
      </c>
      <c r="C61" t="s">
        <v>207</v>
      </c>
      <c r="D61">
        <v>319599</v>
      </c>
      <c r="E61">
        <v>283483</v>
      </c>
      <c r="F61">
        <v>263446</v>
      </c>
      <c r="G61">
        <v>169300</v>
      </c>
      <c r="H61">
        <v>388</v>
      </c>
      <c r="I61">
        <v>384</v>
      </c>
      <c r="J61">
        <v>361</v>
      </c>
      <c r="K61">
        <v>359</v>
      </c>
      <c r="L61">
        <v>359</v>
      </c>
      <c r="M61">
        <v>61</v>
      </c>
      <c r="N61">
        <v>262</v>
      </c>
      <c r="O61">
        <v>0</v>
      </c>
      <c r="P61">
        <v>5</v>
      </c>
      <c r="Q61">
        <v>101651</v>
      </c>
      <c r="R61">
        <v>11487</v>
      </c>
      <c r="S61">
        <v>88685</v>
      </c>
      <c r="T61">
        <v>3190</v>
      </c>
      <c r="U61">
        <v>2765</v>
      </c>
      <c r="V61">
        <v>9840</v>
      </c>
      <c r="W61">
        <v>50866</v>
      </c>
      <c r="X61">
        <v>6935</v>
      </c>
      <c r="Y61">
        <v>6671</v>
      </c>
      <c r="Z61">
        <v>10404</v>
      </c>
      <c r="AA61">
        <v>1442</v>
      </c>
      <c r="AB61">
        <v>7556</v>
      </c>
      <c r="AC61">
        <v>2135</v>
      </c>
      <c r="AD61">
        <v>4258</v>
      </c>
      <c r="AE61">
        <v>22143</v>
      </c>
      <c r="AF61">
        <v>199</v>
      </c>
      <c r="AG61">
        <v>66499</v>
      </c>
      <c r="AH61">
        <v>62739</v>
      </c>
      <c r="AI61">
        <v>470</v>
      </c>
      <c r="AJ61">
        <v>78</v>
      </c>
      <c r="AK61">
        <v>60766</v>
      </c>
      <c r="AL61">
        <v>48237</v>
      </c>
      <c r="AM61">
        <v>381</v>
      </c>
      <c r="AN61">
        <v>17704</v>
      </c>
      <c r="AO61">
        <v>1858</v>
      </c>
      <c r="AP61">
        <v>15239</v>
      </c>
      <c r="AQ61">
        <v>25497</v>
      </c>
      <c r="AR61">
        <v>25441</v>
      </c>
      <c r="AS61">
        <v>2829</v>
      </c>
      <c r="AT61">
        <v>896</v>
      </c>
      <c r="AU61">
        <v>11119</v>
      </c>
      <c r="AV61">
        <v>1544</v>
      </c>
      <c r="AW61">
        <v>210</v>
      </c>
      <c r="AX61">
        <v>2155</v>
      </c>
      <c r="AY61">
        <v>1642</v>
      </c>
      <c r="AZ61">
        <v>393</v>
      </c>
      <c r="BA61">
        <v>7779</v>
      </c>
      <c r="BB61">
        <v>6462</v>
      </c>
      <c r="BC61">
        <v>51</v>
      </c>
    </row>
    <row r="62" spans="1:55">
      <c r="A62" s="1">
        <v>1008</v>
      </c>
      <c r="B62" s="1">
        <v>71</v>
      </c>
      <c r="C62" t="s">
        <v>168</v>
      </c>
      <c r="D62">
        <v>47011</v>
      </c>
      <c r="E62">
        <v>45318</v>
      </c>
      <c r="F62">
        <v>44254</v>
      </c>
      <c r="G62">
        <v>27384</v>
      </c>
      <c r="H62">
        <v>190</v>
      </c>
      <c r="I62">
        <v>182</v>
      </c>
      <c r="J62">
        <v>169</v>
      </c>
      <c r="K62">
        <v>165</v>
      </c>
      <c r="L62">
        <v>163</v>
      </c>
      <c r="M62">
        <v>44</v>
      </c>
      <c r="N62">
        <v>104</v>
      </c>
      <c r="O62">
        <v>0</v>
      </c>
      <c r="P62">
        <v>0</v>
      </c>
      <c r="Q62">
        <v>13407</v>
      </c>
      <c r="R62">
        <v>3105</v>
      </c>
      <c r="S62">
        <v>9778</v>
      </c>
      <c r="T62">
        <v>647</v>
      </c>
      <c r="U62">
        <v>266</v>
      </c>
      <c r="V62">
        <v>438</v>
      </c>
      <c r="W62">
        <v>4268</v>
      </c>
      <c r="X62">
        <v>564</v>
      </c>
      <c r="Y62">
        <v>516</v>
      </c>
      <c r="Z62">
        <v>2355</v>
      </c>
      <c r="AA62">
        <v>374</v>
      </c>
      <c r="AB62">
        <v>1642</v>
      </c>
      <c r="AC62">
        <v>13</v>
      </c>
      <c r="AD62">
        <v>1617</v>
      </c>
      <c r="AE62">
        <v>2487</v>
      </c>
      <c r="AF62">
        <v>61</v>
      </c>
      <c r="AG62">
        <v>13320</v>
      </c>
      <c r="AH62">
        <v>12779</v>
      </c>
      <c r="AI62">
        <v>221</v>
      </c>
      <c r="AJ62">
        <v>168</v>
      </c>
      <c r="AK62">
        <v>11903</v>
      </c>
      <c r="AL62">
        <v>9575</v>
      </c>
      <c r="AM62">
        <v>12</v>
      </c>
      <c r="AN62">
        <v>7111</v>
      </c>
      <c r="AO62">
        <v>2140</v>
      </c>
      <c r="AP62">
        <v>4244</v>
      </c>
      <c r="AQ62">
        <v>1849</v>
      </c>
      <c r="AR62">
        <v>1802</v>
      </c>
      <c r="AS62">
        <v>826</v>
      </c>
      <c r="AT62">
        <v>357</v>
      </c>
      <c r="AU62">
        <v>2032</v>
      </c>
      <c r="AV62">
        <v>325</v>
      </c>
      <c r="AW62">
        <v>91</v>
      </c>
      <c r="AX62">
        <v>1281</v>
      </c>
      <c r="AY62">
        <v>85</v>
      </c>
      <c r="AZ62">
        <v>1159</v>
      </c>
      <c r="BA62">
        <v>679</v>
      </c>
      <c r="BB62">
        <v>496</v>
      </c>
      <c r="BC62">
        <v>3</v>
      </c>
    </row>
    <row r="63" spans="1:55">
      <c r="A63" s="1">
        <v>1021</v>
      </c>
      <c r="B63" s="1">
        <v>71</v>
      </c>
      <c r="C63" t="s">
        <v>176</v>
      </c>
      <c r="D63">
        <v>36221</v>
      </c>
      <c r="E63">
        <v>34723</v>
      </c>
      <c r="F63">
        <v>34052</v>
      </c>
      <c r="G63">
        <v>25348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8936</v>
      </c>
      <c r="R63">
        <v>2132</v>
      </c>
      <c r="S63">
        <v>6627</v>
      </c>
      <c r="T63">
        <v>753</v>
      </c>
      <c r="U63">
        <v>2379</v>
      </c>
      <c r="V63">
        <v>3468</v>
      </c>
      <c r="W63">
        <v>552</v>
      </c>
      <c r="X63">
        <v>116</v>
      </c>
      <c r="Y63">
        <v>85</v>
      </c>
      <c r="Z63">
        <v>1790</v>
      </c>
      <c r="AA63">
        <v>25</v>
      </c>
      <c r="AB63">
        <v>263</v>
      </c>
      <c r="AC63">
        <v>83</v>
      </c>
      <c r="AD63">
        <v>154</v>
      </c>
      <c r="AE63">
        <v>3893</v>
      </c>
      <c r="AF63">
        <v>49</v>
      </c>
      <c r="AG63">
        <v>16346</v>
      </c>
      <c r="AH63">
        <v>14272</v>
      </c>
      <c r="AI63">
        <v>499</v>
      </c>
      <c r="AJ63">
        <v>99</v>
      </c>
      <c r="AK63">
        <v>12810</v>
      </c>
      <c r="AL63">
        <v>10079</v>
      </c>
      <c r="AM63">
        <v>45</v>
      </c>
      <c r="AN63">
        <v>4337</v>
      </c>
      <c r="AO63">
        <v>1711</v>
      </c>
      <c r="AP63">
        <v>2272</v>
      </c>
      <c r="AQ63">
        <v>4664</v>
      </c>
      <c r="AR63">
        <v>4636</v>
      </c>
      <c r="AS63">
        <v>835</v>
      </c>
      <c r="AT63">
        <v>582</v>
      </c>
      <c r="AU63">
        <v>2184</v>
      </c>
      <c r="AV63">
        <v>136</v>
      </c>
      <c r="AW63">
        <v>122</v>
      </c>
      <c r="AX63">
        <v>605</v>
      </c>
      <c r="AY63">
        <v>217</v>
      </c>
      <c r="AZ63">
        <v>365</v>
      </c>
      <c r="BA63">
        <v>1283</v>
      </c>
      <c r="BB63">
        <v>1030</v>
      </c>
      <c r="BC63">
        <v>15</v>
      </c>
    </row>
    <row r="64" spans="1:55">
      <c r="A64" s="1">
        <v>1181</v>
      </c>
      <c r="B64" s="1">
        <v>72</v>
      </c>
      <c r="C64" t="s">
        <v>223</v>
      </c>
      <c r="D64">
        <v>103950</v>
      </c>
      <c r="E64">
        <v>100965</v>
      </c>
      <c r="F64">
        <v>93340</v>
      </c>
      <c r="G64">
        <v>40289</v>
      </c>
      <c r="H64">
        <v>16</v>
      </c>
      <c r="I64">
        <v>15</v>
      </c>
      <c r="J64">
        <v>15</v>
      </c>
      <c r="K64">
        <v>13</v>
      </c>
      <c r="L64">
        <v>13</v>
      </c>
      <c r="M64">
        <v>8</v>
      </c>
      <c r="N64">
        <v>3</v>
      </c>
      <c r="O64">
        <v>0</v>
      </c>
      <c r="P64">
        <v>0</v>
      </c>
      <c r="Q64">
        <v>23423</v>
      </c>
      <c r="R64">
        <v>1579</v>
      </c>
      <c r="S64">
        <v>21529</v>
      </c>
      <c r="T64">
        <v>295</v>
      </c>
      <c r="U64">
        <v>274</v>
      </c>
      <c r="V64">
        <v>6737</v>
      </c>
      <c r="W64">
        <v>1640</v>
      </c>
      <c r="X64">
        <v>613</v>
      </c>
      <c r="Y64">
        <v>579</v>
      </c>
      <c r="Z64">
        <v>4511</v>
      </c>
      <c r="AA64">
        <v>65</v>
      </c>
      <c r="AB64">
        <v>4031</v>
      </c>
      <c r="AC64">
        <v>1679</v>
      </c>
      <c r="AD64">
        <v>592</v>
      </c>
      <c r="AE64">
        <v>10063</v>
      </c>
      <c r="AF64">
        <v>32</v>
      </c>
      <c r="AG64">
        <v>16268</v>
      </c>
      <c r="AH64">
        <v>9103</v>
      </c>
      <c r="AI64">
        <v>4</v>
      </c>
      <c r="AJ64">
        <v>11</v>
      </c>
      <c r="AK64">
        <v>9059</v>
      </c>
      <c r="AL64">
        <v>5271</v>
      </c>
      <c r="AM64">
        <v>6</v>
      </c>
      <c r="AN64">
        <v>1563</v>
      </c>
      <c r="AO64">
        <v>240</v>
      </c>
      <c r="AP64">
        <v>1229</v>
      </c>
      <c r="AQ64">
        <v>3292</v>
      </c>
      <c r="AR64">
        <v>3279</v>
      </c>
      <c r="AS64">
        <v>61</v>
      </c>
      <c r="AT64">
        <v>5</v>
      </c>
      <c r="AU64">
        <v>2779</v>
      </c>
      <c r="AV64">
        <v>63</v>
      </c>
      <c r="AW64">
        <v>2</v>
      </c>
      <c r="AX64">
        <v>505</v>
      </c>
      <c r="AY64">
        <v>291</v>
      </c>
      <c r="AZ64">
        <v>169</v>
      </c>
      <c r="BA64">
        <v>2077</v>
      </c>
      <c r="BB64">
        <v>1993</v>
      </c>
      <c r="BC64">
        <v>9</v>
      </c>
    </row>
    <row r="65" spans="1:55">
      <c r="A65" s="1">
        <v>1145</v>
      </c>
      <c r="B65" s="1">
        <v>73</v>
      </c>
      <c r="C65" t="s">
        <v>203</v>
      </c>
      <c r="D65">
        <v>90582</v>
      </c>
      <c r="E65">
        <v>82483</v>
      </c>
      <c r="F65">
        <v>79796</v>
      </c>
      <c r="G65">
        <v>41808</v>
      </c>
      <c r="H65">
        <v>360</v>
      </c>
      <c r="I65">
        <v>356</v>
      </c>
      <c r="J65">
        <v>327</v>
      </c>
      <c r="K65">
        <v>325</v>
      </c>
      <c r="L65">
        <v>324</v>
      </c>
      <c r="M65">
        <v>105</v>
      </c>
      <c r="N65">
        <v>168</v>
      </c>
      <c r="O65">
        <v>7</v>
      </c>
      <c r="P65">
        <v>5</v>
      </c>
      <c r="Q65">
        <v>21382</v>
      </c>
      <c r="R65">
        <v>655</v>
      </c>
      <c r="S65">
        <v>20282</v>
      </c>
      <c r="T65">
        <v>1243</v>
      </c>
      <c r="U65">
        <v>1850</v>
      </c>
      <c r="V65">
        <v>2233</v>
      </c>
      <c r="W65">
        <v>8801</v>
      </c>
      <c r="X65">
        <v>2020</v>
      </c>
      <c r="Y65">
        <v>1965</v>
      </c>
      <c r="Z65">
        <v>3350</v>
      </c>
      <c r="AA65">
        <v>368</v>
      </c>
      <c r="AB65">
        <v>2141</v>
      </c>
      <c r="AC65">
        <v>184</v>
      </c>
      <c r="AD65">
        <v>1796</v>
      </c>
      <c r="AE65">
        <v>6732</v>
      </c>
      <c r="AF65">
        <v>25</v>
      </c>
      <c r="AG65">
        <v>19550</v>
      </c>
      <c r="AH65">
        <v>18764</v>
      </c>
      <c r="AI65">
        <v>2169</v>
      </c>
      <c r="AJ65">
        <v>1103</v>
      </c>
      <c r="AK65">
        <v>13674</v>
      </c>
      <c r="AL65">
        <v>7822</v>
      </c>
      <c r="AM65">
        <v>40</v>
      </c>
      <c r="AN65">
        <v>1092</v>
      </c>
      <c r="AO65">
        <v>282</v>
      </c>
      <c r="AP65">
        <v>732</v>
      </c>
      <c r="AQ65">
        <v>6469</v>
      </c>
      <c r="AR65">
        <v>6263</v>
      </c>
      <c r="AS65">
        <v>1062</v>
      </c>
      <c r="AT65">
        <v>89</v>
      </c>
      <c r="AU65">
        <v>4874</v>
      </c>
      <c r="AV65">
        <v>926</v>
      </c>
      <c r="AW65">
        <v>59</v>
      </c>
      <c r="AX65">
        <v>190</v>
      </c>
      <c r="AY65">
        <v>112</v>
      </c>
      <c r="AZ65">
        <v>68</v>
      </c>
      <c r="BA65">
        <v>4603</v>
      </c>
      <c r="BB65">
        <v>3288</v>
      </c>
      <c r="BC65">
        <v>35</v>
      </c>
    </row>
    <row r="66" spans="1:55">
      <c r="A66" s="1">
        <v>1204</v>
      </c>
      <c r="B66" s="1">
        <v>74</v>
      </c>
      <c r="C66" t="s">
        <v>225</v>
      </c>
      <c r="D66">
        <v>129019</v>
      </c>
      <c r="E66">
        <v>125046</v>
      </c>
      <c r="F66">
        <v>121389</v>
      </c>
      <c r="G66">
        <v>85644</v>
      </c>
      <c r="H66">
        <v>95</v>
      </c>
      <c r="I66">
        <v>94</v>
      </c>
      <c r="J66">
        <v>89</v>
      </c>
      <c r="K66">
        <v>89</v>
      </c>
      <c r="L66">
        <v>89</v>
      </c>
      <c r="M66">
        <v>14</v>
      </c>
      <c r="N66">
        <v>68</v>
      </c>
      <c r="O66">
        <v>0</v>
      </c>
      <c r="P66">
        <v>1</v>
      </c>
      <c r="Q66">
        <v>22951</v>
      </c>
      <c r="R66">
        <v>4476</v>
      </c>
      <c r="S66">
        <v>18070</v>
      </c>
      <c r="T66">
        <v>2316</v>
      </c>
      <c r="U66">
        <v>5017</v>
      </c>
      <c r="V66">
        <v>5347</v>
      </c>
      <c r="W66">
        <v>2259</v>
      </c>
      <c r="X66">
        <v>1123</v>
      </c>
      <c r="Y66">
        <v>981</v>
      </c>
      <c r="Z66">
        <v>1831</v>
      </c>
      <c r="AA66">
        <v>641</v>
      </c>
      <c r="AB66">
        <v>1034</v>
      </c>
      <c r="AC66">
        <v>499</v>
      </c>
      <c r="AD66">
        <v>410</v>
      </c>
      <c r="AE66">
        <v>13158</v>
      </c>
      <c r="AF66">
        <v>120</v>
      </c>
      <c r="AG66">
        <v>62018</v>
      </c>
      <c r="AH66">
        <v>58887</v>
      </c>
      <c r="AI66">
        <v>1197</v>
      </c>
      <c r="AJ66">
        <v>1129</v>
      </c>
      <c r="AK66">
        <v>52400</v>
      </c>
      <c r="AL66">
        <v>35018</v>
      </c>
      <c r="AM66">
        <v>217</v>
      </c>
      <c r="AN66">
        <v>14679</v>
      </c>
      <c r="AO66">
        <v>5023</v>
      </c>
      <c r="AP66">
        <v>8154</v>
      </c>
      <c r="AQ66">
        <v>18292</v>
      </c>
      <c r="AR66">
        <v>18120</v>
      </c>
      <c r="AS66">
        <v>2379</v>
      </c>
      <c r="AT66">
        <v>1363</v>
      </c>
      <c r="AU66">
        <v>16555</v>
      </c>
      <c r="AV66">
        <v>2027</v>
      </c>
      <c r="AW66">
        <v>704</v>
      </c>
      <c r="AX66">
        <v>5055</v>
      </c>
      <c r="AY66">
        <v>726</v>
      </c>
      <c r="AZ66">
        <v>3941</v>
      </c>
      <c r="BA66">
        <v>10968</v>
      </c>
      <c r="BB66">
        <v>7112</v>
      </c>
      <c r="BC66">
        <v>32</v>
      </c>
    </row>
    <row r="67" spans="1:55">
      <c r="A67" s="1">
        <v>1014</v>
      </c>
      <c r="B67" s="1">
        <v>75</v>
      </c>
      <c r="C67" t="s">
        <v>172</v>
      </c>
      <c r="D67">
        <v>112228</v>
      </c>
      <c r="E67">
        <v>110574</v>
      </c>
      <c r="F67">
        <v>108857</v>
      </c>
      <c r="G67">
        <v>49789</v>
      </c>
      <c r="H67">
        <v>975</v>
      </c>
      <c r="I67">
        <v>936</v>
      </c>
      <c r="J67">
        <v>914</v>
      </c>
      <c r="K67">
        <v>908</v>
      </c>
      <c r="L67">
        <v>907</v>
      </c>
      <c r="M67">
        <v>749</v>
      </c>
      <c r="N67">
        <v>26</v>
      </c>
      <c r="O67">
        <v>0</v>
      </c>
      <c r="P67">
        <v>0</v>
      </c>
      <c r="Q67">
        <v>20845</v>
      </c>
      <c r="R67">
        <v>3782</v>
      </c>
      <c r="S67">
        <v>16514</v>
      </c>
      <c r="T67">
        <v>2447</v>
      </c>
      <c r="U67">
        <v>1124</v>
      </c>
      <c r="V67">
        <v>1219</v>
      </c>
      <c r="W67">
        <v>6527</v>
      </c>
      <c r="X67">
        <v>4609</v>
      </c>
      <c r="Y67">
        <v>4424</v>
      </c>
      <c r="Z67">
        <v>2183</v>
      </c>
      <c r="AA67">
        <v>369</v>
      </c>
      <c r="AB67">
        <v>955</v>
      </c>
      <c r="AC67">
        <v>167</v>
      </c>
      <c r="AD67">
        <v>646</v>
      </c>
      <c r="AE67">
        <v>6180</v>
      </c>
      <c r="AF67">
        <v>94</v>
      </c>
      <c r="AG67">
        <v>27126</v>
      </c>
      <c r="AH67">
        <v>25648</v>
      </c>
      <c r="AI67">
        <v>195</v>
      </c>
      <c r="AJ67">
        <v>1019</v>
      </c>
      <c r="AK67">
        <v>23619</v>
      </c>
      <c r="AL67">
        <v>17982</v>
      </c>
      <c r="AM67">
        <v>56</v>
      </c>
      <c r="AN67">
        <v>13351</v>
      </c>
      <c r="AO67">
        <v>6052</v>
      </c>
      <c r="AP67">
        <v>5873</v>
      </c>
      <c r="AQ67">
        <v>3827</v>
      </c>
      <c r="AR67">
        <v>3768</v>
      </c>
      <c r="AS67">
        <v>1661</v>
      </c>
      <c r="AT67">
        <v>438</v>
      </c>
      <c r="AU67">
        <v>5083</v>
      </c>
      <c r="AV67">
        <v>1141</v>
      </c>
      <c r="AW67">
        <v>231</v>
      </c>
      <c r="AX67">
        <v>409</v>
      </c>
      <c r="AY67">
        <v>127</v>
      </c>
      <c r="AZ67">
        <v>257</v>
      </c>
      <c r="BA67">
        <v>4579</v>
      </c>
      <c r="BB67">
        <v>3318</v>
      </c>
      <c r="BC67">
        <v>7</v>
      </c>
    </row>
    <row r="68" spans="1:55">
      <c r="A68" s="1">
        <v>1172</v>
      </c>
      <c r="B68" s="1">
        <v>75</v>
      </c>
      <c r="C68" t="s">
        <v>221</v>
      </c>
      <c r="D68">
        <v>166329</v>
      </c>
      <c r="E68">
        <v>161188</v>
      </c>
      <c r="F68">
        <v>150664</v>
      </c>
      <c r="G68">
        <v>61303</v>
      </c>
      <c r="H68">
        <v>29</v>
      </c>
      <c r="I68">
        <v>28</v>
      </c>
      <c r="J68">
        <v>26</v>
      </c>
      <c r="K68">
        <v>24</v>
      </c>
      <c r="L68">
        <v>24</v>
      </c>
      <c r="M68">
        <v>8</v>
      </c>
      <c r="N68">
        <v>13</v>
      </c>
      <c r="O68">
        <v>0</v>
      </c>
      <c r="P68">
        <v>0</v>
      </c>
      <c r="Q68">
        <v>29370</v>
      </c>
      <c r="R68">
        <v>4066</v>
      </c>
      <c r="S68">
        <v>24675</v>
      </c>
      <c r="T68">
        <v>1320</v>
      </c>
      <c r="U68">
        <v>1519</v>
      </c>
      <c r="V68">
        <v>2573</v>
      </c>
      <c r="W68">
        <v>12678</v>
      </c>
      <c r="X68">
        <v>8608</v>
      </c>
      <c r="Y68">
        <v>8014</v>
      </c>
      <c r="Z68">
        <v>1402</v>
      </c>
      <c r="AA68">
        <v>204</v>
      </c>
      <c r="AB68">
        <v>1031</v>
      </c>
      <c r="AC68">
        <v>28</v>
      </c>
      <c r="AD68">
        <v>957</v>
      </c>
      <c r="AE68">
        <v>9328</v>
      </c>
      <c r="AF68">
        <v>79</v>
      </c>
      <c r="AG68">
        <v>31580</v>
      </c>
      <c r="AH68">
        <v>29260</v>
      </c>
      <c r="AI68">
        <v>479</v>
      </c>
      <c r="AJ68">
        <v>322</v>
      </c>
      <c r="AK68">
        <v>26675</v>
      </c>
      <c r="AL68">
        <v>11069</v>
      </c>
      <c r="AM68">
        <v>78</v>
      </c>
      <c r="AN68">
        <v>5582</v>
      </c>
      <c r="AO68">
        <v>423</v>
      </c>
      <c r="AP68">
        <v>4908</v>
      </c>
      <c r="AQ68">
        <v>4501</v>
      </c>
      <c r="AR68">
        <v>4463</v>
      </c>
      <c r="AS68">
        <v>1306</v>
      </c>
      <c r="AT68">
        <v>643</v>
      </c>
      <c r="AU68">
        <v>13901</v>
      </c>
      <c r="AV68">
        <v>4019</v>
      </c>
      <c r="AW68">
        <v>715</v>
      </c>
      <c r="AX68">
        <v>2180</v>
      </c>
      <c r="AY68">
        <v>1686</v>
      </c>
      <c r="AZ68">
        <v>368</v>
      </c>
      <c r="BA68">
        <v>11102</v>
      </c>
      <c r="BB68">
        <v>9531</v>
      </c>
      <c r="BC68">
        <v>28</v>
      </c>
    </row>
    <row r="69" spans="1:55">
      <c r="A69" s="1">
        <v>1168</v>
      </c>
      <c r="B69" s="1">
        <v>76</v>
      </c>
      <c r="C69" t="s">
        <v>219</v>
      </c>
      <c r="D69">
        <v>85258</v>
      </c>
      <c r="E69">
        <v>80830</v>
      </c>
      <c r="F69">
        <v>71821</v>
      </c>
      <c r="G69">
        <v>19519</v>
      </c>
      <c r="H69">
        <v>315</v>
      </c>
      <c r="I69">
        <v>310</v>
      </c>
      <c r="J69">
        <v>284</v>
      </c>
      <c r="K69">
        <v>283</v>
      </c>
      <c r="L69">
        <v>283</v>
      </c>
      <c r="M69">
        <v>53</v>
      </c>
      <c r="N69">
        <v>180</v>
      </c>
      <c r="O69">
        <v>1</v>
      </c>
      <c r="P69">
        <v>4</v>
      </c>
      <c r="Q69">
        <v>12052</v>
      </c>
      <c r="R69">
        <v>380</v>
      </c>
      <c r="S69">
        <v>11234</v>
      </c>
      <c r="T69">
        <v>307</v>
      </c>
      <c r="U69">
        <v>521</v>
      </c>
      <c r="V69">
        <v>901</v>
      </c>
      <c r="W69">
        <v>3398</v>
      </c>
      <c r="X69">
        <v>1551</v>
      </c>
      <c r="Y69">
        <v>1454</v>
      </c>
      <c r="Z69">
        <v>2445</v>
      </c>
      <c r="AA69">
        <v>210</v>
      </c>
      <c r="AB69">
        <v>1446</v>
      </c>
      <c r="AC69">
        <v>65</v>
      </c>
      <c r="AD69">
        <v>1208</v>
      </c>
      <c r="AE69">
        <v>4080</v>
      </c>
      <c r="AF69">
        <v>52</v>
      </c>
      <c r="AG69">
        <v>6580</v>
      </c>
      <c r="AH69">
        <v>5899</v>
      </c>
      <c r="AI69">
        <v>51</v>
      </c>
      <c r="AJ69">
        <v>95</v>
      </c>
      <c r="AK69">
        <v>5583</v>
      </c>
      <c r="AL69">
        <v>1250</v>
      </c>
      <c r="AM69">
        <v>24</v>
      </c>
      <c r="AN69">
        <v>355</v>
      </c>
      <c r="AO69">
        <v>8</v>
      </c>
      <c r="AP69">
        <v>340</v>
      </c>
      <c r="AQ69">
        <v>800</v>
      </c>
      <c r="AR69">
        <v>800</v>
      </c>
      <c r="AS69">
        <v>263</v>
      </c>
      <c r="AT69">
        <v>32</v>
      </c>
      <c r="AU69">
        <v>3914</v>
      </c>
      <c r="AV69">
        <v>1101</v>
      </c>
      <c r="AW69">
        <v>60</v>
      </c>
      <c r="AX69">
        <v>239</v>
      </c>
      <c r="AY69">
        <v>222</v>
      </c>
      <c r="AZ69">
        <v>13</v>
      </c>
      <c r="BA69">
        <v>3578</v>
      </c>
      <c r="BB69">
        <v>3336</v>
      </c>
      <c r="BC69">
        <v>34</v>
      </c>
    </row>
    <row r="70" spans="1:55">
      <c r="A70" s="1">
        <v>1258</v>
      </c>
      <c r="B70" s="1">
        <v>76</v>
      </c>
      <c r="C70" t="s">
        <v>233</v>
      </c>
      <c r="D70">
        <v>284351</v>
      </c>
      <c r="E70">
        <v>257365</v>
      </c>
      <c r="F70">
        <v>244867</v>
      </c>
      <c r="G70">
        <v>125873</v>
      </c>
      <c r="H70">
        <v>654</v>
      </c>
      <c r="I70">
        <v>651</v>
      </c>
      <c r="J70">
        <v>612</v>
      </c>
      <c r="K70">
        <v>608</v>
      </c>
      <c r="L70">
        <v>607</v>
      </c>
      <c r="M70">
        <v>107</v>
      </c>
      <c r="N70">
        <v>377</v>
      </c>
      <c r="O70">
        <v>9</v>
      </c>
      <c r="P70">
        <v>22</v>
      </c>
      <c r="Q70">
        <v>80189</v>
      </c>
      <c r="R70">
        <v>22269</v>
      </c>
      <c r="S70">
        <v>55458</v>
      </c>
      <c r="T70">
        <v>2003</v>
      </c>
      <c r="U70">
        <v>5426</v>
      </c>
      <c r="V70">
        <v>6784</v>
      </c>
      <c r="W70">
        <v>23128</v>
      </c>
      <c r="X70">
        <v>8107</v>
      </c>
      <c r="Y70">
        <v>8010</v>
      </c>
      <c r="Z70">
        <v>8088</v>
      </c>
      <c r="AA70">
        <v>884</v>
      </c>
      <c r="AB70">
        <v>6142</v>
      </c>
      <c r="AC70">
        <v>712</v>
      </c>
      <c r="AD70">
        <v>5160</v>
      </c>
      <c r="AE70">
        <v>20229</v>
      </c>
      <c r="AF70">
        <v>136</v>
      </c>
      <c r="AG70">
        <v>43882</v>
      </c>
      <c r="AH70">
        <v>41370</v>
      </c>
      <c r="AI70">
        <v>228</v>
      </c>
      <c r="AJ70">
        <v>154</v>
      </c>
      <c r="AK70">
        <v>40179</v>
      </c>
      <c r="AL70">
        <v>29171</v>
      </c>
      <c r="AM70">
        <v>127</v>
      </c>
      <c r="AN70">
        <v>7243</v>
      </c>
      <c r="AO70">
        <v>1948</v>
      </c>
      <c r="AP70">
        <v>4680</v>
      </c>
      <c r="AQ70">
        <v>19336</v>
      </c>
      <c r="AR70">
        <v>19055</v>
      </c>
      <c r="AS70">
        <v>2222</v>
      </c>
      <c r="AT70">
        <v>377</v>
      </c>
      <c r="AU70">
        <v>9452</v>
      </c>
      <c r="AV70">
        <v>1833</v>
      </c>
      <c r="AW70">
        <v>77</v>
      </c>
      <c r="AX70">
        <v>1173</v>
      </c>
      <c r="AY70">
        <v>329</v>
      </c>
      <c r="AZ70">
        <v>776</v>
      </c>
      <c r="BA70">
        <v>7848</v>
      </c>
      <c r="BB70">
        <v>6177</v>
      </c>
      <c r="BC70">
        <v>16</v>
      </c>
    </row>
    <row r="71" spans="1:55">
      <c r="A71" s="1">
        <v>1016</v>
      </c>
      <c r="B71" s="1">
        <v>78</v>
      </c>
      <c r="C71" t="s">
        <v>174</v>
      </c>
      <c r="D71">
        <v>68990</v>
      </c>
      <c r="E71">
        <v>66382</v>
      </c>
      <c r="F71">
        <v>62287</v>
      </c>
      <c r="G71">
        <v>24096</v>
      </c>
      <c r="H71">
        <v>2069</v>
      </c>
      <c r="I71">
        <v>2063</v>
      </c>
      <c r="J71">
        <v>2052</v>
      </c>
      <c r="K71">
        <v>2051</v>
      </c>
      <c r="L71">
        <v>2051</v>
      </c>
      <c r="M71">
        <v>1541</v>
      </c>
      <c r="N71">
        <v>330</v>
      </c>
      <c r="O71">
        <v>0</v>
      </c>
      <c r="P71">
        <v>3</v>
      </c>
      <c r="Q71">
        <v>9198</v>
      </c>
      <c r="R71">
        <v>1354</v>
      </c>
      <c r="S71">
        <v>7746</v>
      </c>
      <c r="T71">
        <v>485</v>
      </c>
      <c r="U71">
        <v>230</v>
      </c>
      <c r="V71">
        <v>662</v>
      </c>
      <c r="W71">
        <v>2203</v>
      </c>
      <c r="X71">
        <v>566</v>
      </c>
      <c r="Y71">
        <v>491</v>
      </c>
      <c r="Z71">
        <v>1667</v>
      </c>
      <c r="AA71">
        <v>720</v>
      </c>
      <c r="AB71">
        <v>660</v>
      </c>
      <c r="AC71">
        <v>262</v>
      </c>
      <c r="AD71">
        <v>369</v>
      </c>
      <c r="AE71">
        <v>3017</v>
      </c>
      <c r="AF71">
        <v>35</v>
      </c>
      <c r="AG71">
        <v>12328</v>
      </c>
      <c r="AH71">
        <v>11598</v>
      </c>
      <c r="AI71">
        <v>134</v>
      </c>
      <c r="AJ71">
        <v>524</v>
      </c>
      <c r="AK71">
        <v>10499</v>
      </c>
      <c r="AL71">
        <v>6185</v>
      </c>
      <c r="AM71">
        <v>10</v>
      </c>
      <c r="AN71">
        <v>4949</v>
      </c>
      <c r="AO71">
        <v>711</v>
      </c>
      <c r="AP71">
        <v>3833</v>
      </c>
      <c r="AQ71">
        <v>1000</v>
      </c>
      <c r="AR71">
        <v>984</v>
      </c>
      <c r="AS71">
        <v>741</v>
      </c>
      <c r="AT71">
        <v>395</v>
      </c>
      <c r="AU71">
        <v>3931</v>
      </c>
      <c r="AV71">
        <v>1005</v>
      </c>
      <c r="AW71">
        <v>184</v>
      </c>
      <c r="AX71">
        <v>594</v>
      </c>
      <c r="AY71">
        <v>386</v>
      </c>
      <c r="AZ71">
        <v>164</v>
      </c>
      <c r="BA71">
        <v>3159</v>
      </c>
      <c r="BB71">
        <v>2169</v>
      </c>
      <c r="BC71">
        <v>14</v>
      </c>
    </row>
    <row r="72" spans="1:55">
      <c r="A72" s="1">
        <v>1073</v>
      </c>
      <c r="B72" s="1">
        <v>78</v>
      </c>
      <c r="C72" t="s">
        <v>192</v>
      </c>
      <c r="D72">
        <v>52549</v>
      </c>
      <c r="E72">
        <v>50413</v>
      </c>
      <c r="F72">
        <v>48624</v>
      </c>
      <c r="G72">
        <v>28018</v>
      </c>
      <c r="H72">
        <v>145</v>
      </c>
      <c r="I72">
        <v>143</v>
      </c>
      <c r="J72">
        <v>140</v>
      </c>
      <c r="K72">
        <v>140</v>
      </c>
      <c r="L72">
        <v>140</v>
      </c>
      <c r="M72">
        <v>47</v>
      </c>
      <c r="N72">
        <v>74</v>
      </c>
      <c r="O72">
        <v>6</v>
      </c>
      <c r="P72">
        <v>2</v>
      </c>
      <c r="Q72">
        <v>17963</v>
      </c>
      <c r="R72">
        <v>3239</v>
      </c>
      <c r="S72">
        <v>14171</v>
      </c>
      <c r="T72">
        <v>447</v>
      </c>
      <c r="U72">
        <v>784</v>
      </c>
      <c r="V72">
        <v>2288</v>
      </c>
      <c r="W72">
        <v>3058</v>
      </c>
      <c r="X72">
        <v>587</v>
      </c>
      <c r="Y72">
        <v>552</v>
      </c>
      <c r="Z72">
        <v>925</v>
      </c>
      <c r="AA72">
        <v>102</v>
      </c>
      <c r="AB72">
        <v>745</v>
      </c>
      <c r="AC72">
        <v>178</v>
      </c>
      <c r="AD72">
        <v>499</v>
      </c>
      <c r="AE72">
        <v>9782</v>
      </c>
      <c r="AF72">
        <v>25</v>
      </c>
      <c r="AG72">
        <v>9638</v>
      </c>
      <c r="AH72">
        <v>9360</v>
      </c>
      <c r="AI72">
        <v>74</v>
      </c>
      <c r="AJ72">
        <v>41</v>
      </c>
      <c r="AK72">
        <v>8801</v>
      </c>
      <c r="AL72">
        <v>4881</v>
      </c>
      <c r="AM72">
        <v>54</v>
      </c>
      <c r="AN72">
        <v>3368</v>
      </c>
      <c r="AO72">
        <v>509</v>
      </c>
      <c r="AP72">
        <v>2626</v>
      </c>
      <c r="AQ72">
        <v>1164</v>
      </c>
      <c r="AR72">
        <v>1155</v>
      </c>
      <c r="AS72">
        <v>492</v>
      </c>
      <c r="AT72">
        <v>181</v>
      </c>
      <c r="AU72">
        <v>3349</v>
      </c>
      <c r="AV72">
        <v>438</v>
      </c>
      <c r="AW72">
        <v>50</v>
      </c>
      <c r="AX72">
        <v>1048</v>
      </c>
      <c r="AY72">
        <v>657</v>
      </c>
      <c r="AZ72">
        <v>309</v>
      </c>
      <c r="BA72">
        <v>2031</v>
      </c>
      <c r="BB72">
        <v>1366</v>
      </c>
      <c r="BC72">
        <v>11</v>
      </c>
    </row>
    <row r="73" spans="1:55">
      <c r="A73" s="1">
        <v>1156</v>
      </c>
      <c r="B73" s="1">
        <v>78</v>
      </c>
      <c r="C73" t="s">
        <v>210</v>
      </c>
      <c r="D73">
        <v>94953</v>
      </c>
      <c r="E73">
        <v>87185</v>
      </c>
      <c r="F73">
        <v>85970</v>
      </c>
      <c r="G73">
        <v>55444</v>
      </c>
      <c r="H73">
        <v>641</v>
      </c>
      <c r="I73">
        <v>615</v>
      </c>
      <c r="J73">
        <v>564</v>
      </c>
      <c r="K73">
        <v>557</v>
      </c>
      <c r="L73">
        <v>549</v>
      </c>
      <c r="M73">
        <v>152</v>
      </c>
      <c r="N73">
        <v>334</v>
      </c>
      <c r="O73">
        <v>64</v>
      </c>
      <c r="P73">
        <v>12</v>
      </c>
      <c r="Q73">
        <v>26662</v>
      </c>
      <c r="R73">
        <v>6097</v>
      </c>
      <c r="S73">
        <v>19150</v>
      </c>
      <c r="T73">
        <v>1374</v>
      </c>
      <c r="U73">
        <v>2846</v>
      </c>
      <c r="V73">
        <v>2831</v>
      </c>
      <c r="W73">
        <v>9192</v>
      </c>
      <c r="X73">
        <v>4548</v>
      </c>
      <c r="Y73">
        <v>4358</v>
      </c>
      <c r="Z73">
        <v>2090</v>
      </c>
      <c r="AA73">
        <v>269</v>
      </c>
      <c r="AB73">
        <v>1412</v>
      </c>
      <c r="AC73">
        <v>172</v>
      </c>
      <c r="AD73">
        <v>1162</v>
      </c>
      <c r="AE73">
        <v>6759</v>
      </c>
      <c r="AF73">
        <v>72</v>
      </c>
      <c r="AG73">
        <v>26319</v>
      </c>
      <c r="AH73">
        <v>24480</v>
      </c>
      <c r="AI73">
        <v>319</v>
      </c>
      <c r="AJ73">
        <v>271</v>
      </c>
      <c r="AK73">
        <v>22811</v>
      </c>
      <c r="AL73">
        <v>18172</v>
      </c>
      <c r="AM73">
        <v>338</v>
      </c>
      <c r="AN73">
        <v>8746</v>
      </c>
      <c r="AO73">
        <v>4190</v>
      </c>
      <c r="AP73">
        <v>3967</v>
      </c>
      <c r="AQ73">
        <v>7403</v>
      </c>
      <c r="AR73">
        <v>7256</v>
      </c>
      <c r="AS73">
        <v>4061</v>
      </c>
      <c r="AT73">
        <v>2269</v>
      </c>
      <c r="AU73">
        <v>3721</v>
      </c>
      <c r="AV73">
        <v>2150</v>
      </c>
      <c r="AW73">
        <v>963</v>
      </c>
      <c r="AX73">
        <v>766</v>
      </c>
      <c r="AY73">
        <v>226</v>
      </c>
      <c r="AZ73">
        <v>519</v>
      </c>
      <c r="BA73">
        <v>2396</v>
      </c>
      <c r="BB73">
        <v>1824</v>
      </c>
      <c r="BC73">
        <v>15</v>
      </c>
    </row>
    <row r="74" spans="1:55">
      <c r="A74" s="1">
        <v>1022</v>
      </c>
      <c r="B74" s="1">
        <v>79</v>
      </c>
      <c r="C74" t="s">
        <v>177</v>
      </c>
      <c r="D74">
        <v>214901</v>
      </c>
      <c r="E74">
        <v>208043</v>
      </c>
      <c r="F74">
        <v>204524</v>
      </c>
      <c r="G74">
        <v>115766</v>
      </c>
      <c r="H74">
        <v>1203</v>
      </c>
      <c r="I74">
        <v>1147</v>
      </c>
      <c r="J74">
        <v>1114</v>
      </c>
      <c r="K74">
        <v>1106</v>
      </c>
      <c r="L74">
        <v>1103</v>
      </c>
      <c r="M74">
        <v>231</v>
      </c>
      <c r="N74">
        <v>777</v>
      </c>
      <c r="O74">
        <v>25</v>
      </c>
      <c r="P74">
        <v>12</v>
      </c>
      <c r="Q74">
        <v>69363</v>
      </c>
      <c r="R74">
        <v>26951</v>
      </c>
      <c r="S74">
        <v>35074</v>
      </c>
      <c r="T74">
        <v>2522</v>
      </c>
      <c r="U74">
        <v>2953</v>
      </c>
      <c r="V74">
        <v>3384</v>
      </c>
      <c r="W74">
        <v>13383</v>
      </c>
      <c r="X74">
        <v>3161</v>
      </c>
      <c r="Y74">
        <v>2853</v>
      </c>
      <c r="Z74">
        <v>8709</v>
      </c>
      <c r="AA74">
        <v>1677</v>
      </c>
      <c r="AB74">
        <v>5405</v>
      </c>
      <c r="AC74">
        <v>172</v>
      </c>
      <c r="AD74">
        <v>5126</v>
      </c>
      <c r="AE74">
        <v>10282</v>
      </c>
      <c r="AF74">
        <v>172</v>
      </c>
      <c r="AG74">
        <v>42430</v>
      </c>
      <c r="AH74">
        <v>40972</v>
      </c>
      <c r="AI74">
        <v>162</v>
      </c>
      <c r="AJ74">
        <v>339</v>
      </c>
      <c r="AK74">
        <v>39428</v>
      </c>
      <c r="AL74">
        <v>23898</v>
      </c>
      <c r="AM74">
        <v>55</v>
      </c>
      <c r="AN74">
        <v>17942</v>
      </c>
      <c r="AO74">
        <v>13786</v>
      </c>
      <c r="AP74">
        <v>3233</v>
      </c>
      <c r="AQ74">
        <v>4811</v>
      </c>
      <c r="AR74">
        <v>4592</v>
      </c>
      <c r="AS74">
        <v>1748</v>
      </c>
      <c r="AT74">
        <v>404</v>
      </c>
      <c r="AU74">
        <v>13083</v>
      </c>
      <c r="AV74">
        <v>3842</v>
      </c>
      <c r="AW74">
        <v>335</v>
      </c>
      <c r="AX74">
        <v>1852</v>
      </c>
      <c r="AY74">
        <v>421</v>
      </c>
      <c r="AZ74">
        <v>1377</v>
      </c>
      <c r="BA74">
        <v>10786</v>
      </c>
      <c r="BB74">
        <v>6785</v>
      </c>
      <c r="BC74">
        <v>26</v>
      </c>
    </row>
    <row r="75" spans="1:55">
      <c r="A75" s="1">
        <v>1033</v>
      </c>
      <c r="B75" s="1">
        <v>79</v>
      </c>
      <c r="C75" t="s">
        <v>181</v>
      </c>
      <c r="D75">
        <v>128942</v>
      </c>
      <c r="E75">
        <v>125796</v>
      </c>
      <c r="F75">
        <v>122517</v>
      </c>
      <c r="G75">
        <v>55016</v>
      </c>
      <c r="H75">
        <v>301</v>
      </c>
      <c r="I75">
        <v>298</v>
      </c>
      <c r="J75">
        <v>283</v>
      </c>
      <c r="K75">
        <v>281</v>
      </c>
      <c r="L75">
        <v>280</v>
      </c>
      <c r="M75">
        <v>108</v>
      </c>
      <c r="N75">
        <v>26</v>
      </c>
      <c r="O75">
        <v>0</v>
      </c>
      <c r="P75">
        <v>0</v>
      </c>
      <c r="Q75">
        <v>39045</v>
      </c>
      <c r="R75">
        <v>4140</v>
      </c>
      <c r="S75">
        <v>33986</v>
      </c>
      <c r="T75">
        <v>1626</v>
      </c>
      <c r="U75">
        <v>2000</v>
      </c>
      <c r="V75">
        <v>4095</v>
      </c>
      <c r="W75">
        <v>14520</v>
      </c>
      <c r="X75">
        <v>1992</v>
      </c>
      <c r="Y75">
        <v>1773</v>
      </c>
      <c r="Z75">
        <v>6444</v>
      </c>
      <c r="AA75">
        <v>629</v>
      </c>
      <c r="AB75">
        <v>4481</v>
      </c>
      <c r="AC75">
        <v>135</v>
      </c>
      <c r="AD75">
        <v>4076</v>
      </c>
      <c r="AE75">
        <v>10491</v>
      </c>
      <c r="AF75">
        <v>85</v>
      </c>
      <c r="AG75">
        <v>15102</v>
      </c>
      <c r="AH75">
        <v>13977</v>
      </c>
      <c r="AI75">
        <v>190</v>
      </c>
      <c r="AJ75">
        <v>90</v>
      </c>
      <c r="AK75">
        <v>13318</v>
      </c>
      <c r="AL75">
        <v>7793</v>
      </c>
      <c r="AM75">
        <v>38</v>
      </c>
      <c r="AN75">
        <v>1699</v>
      </c>
      <c r="AO75">
        <v>286</v>
      </c>
      <c r="AP75">
        <v>1342</v>
      </c>
      <c r="AQ75">
        <v>5530</v>
      </c>
      <c r="AR75">
        <v>5493</v>
      </c>
      <c r="AS75">
        <v>1408</v>
      </c>
      <c r="AT75">
        <v>199</v>
      </c>
      <c r="AU75">
        <v>5054</v>
      </c>
      <c r="AV75">
        <v>2254</v>
      </c>
      <c r="AW75">
        <v>122</v>
      </c>
      <c r="AX75">
        <v>345</v>
      </c>
      <c r="AY75">
        <v>241</v>
      </c>
      <c r="AZ75">
        <v>81</v>
      </c>
      <c r="BA75">
        <v>4510</v>
      </c>
      <c r="BB75">
        <v>3052</v>
      </c>
      <c r="BC75">
        <v>68</v>
      </c>
    </row>
    <row r="76" spans="1:55">
      <c r="A76" s="1">
        <v>1040</v>
      </c>
      <c r="B76" s="1">
        <v>80</v>
      </c>
      <c r="C76" t="s">
        <v>183</v>
      </c>
      <c r="D76">
        <v>69173</v>
      </c>
      <c r="E76">
        <v>66483</v>
      </c>
      <c r="F76">
        <v>62058</v>
      </c>
      <c r="G76">
        <v>39796</v>
      </c>
      <c r="H76">
        <v>913</v>
      </c>
      <c r="I76">
        <v>890</v>
      </c>
      <c r="J76">
        <v>792</v>
      </c>
      <c r="K76">
        <v>791</v>
      </c>
      <c r="L76">
        <v>788</v>
      </c>
      <c r="M76">
        <v>157</v>
      </c>
      <c r="N76">
        <v>534</v>
      </c>
      <c r="O76">
        <v>53</v>
      </c>
      <c r="P76">
        <v>13</v>
      </c>
      <c r="Q76">
        <v>22630</v>
      </c>
      <c r="R76">
        <v>2121</v>
      </c>
      <c r="S76">
        <v>20291</v>
      </c>
      <c r="T76">
        <v>984</v>
      </c>
      <c r="U76">
        <v>1013</v>
      </c>
      <c r="V76">
        <v>999</v>
      </c>
      <c r="W76">
        <v>12056</v>
      </c>
      <c r="X76">
        <v>3069</v>
      </c>
      <c r="Y76">
        <v>3013</v>
      </c>
      <c r="Z76">
        <v>3179</v>
      </c>
      <c r="AA76">
        <v>436</v>
      </c>
      <c r="AB76">
        <v>2357</v>
      </c>
      <c r="AC76">
        <v>75</v>
      </c>
      <c r="AD76">
        <v>1955</v>
      </c>
      <c r="AE76">
        <v>3783</v>
      </c>
      <c r="AF76">
        <v>48</v>
      </c>
      <c r="AG76">
        <v>15299</v>
      </c>
      <c r="AH76">
        <v>14780</v>
      </c>
      <c r="AI76">
        <v>191</v>
      </c>
      <c r="AJ76">
        <v>288</v>
      </c>
      <c r="AK76">
        <v>13461</v>
      </c>
      <c r="AL76">
        <v>7442</v>
      </c>
      <c r="AM76">
        <v>36</v>
      </c>
      <c r="AN76">
        <v>4594</v>
      </c>
      <c r="AO76">
        <v>1297</v>
      </c>
      <c r="AP76">
        <v>2954</v>
      </c>
      <c r="AQ76">
        <v>2204</v>
      </c>
      <c r="AR76">
        <v>2186</v>
      </c>
      <c r="AS76">
        <v>664</v>
      </c>
      <c r="AT76">
        <v>205</v>
      </c>
      <c r="AU76">
        <v>5013</v>
      </c>
      <c r="AV76">
        <v>1756</v>
      </c>
      <c r="AW76">
        <v>119</v>
      </c>
      <c r="AX76">
        <v>1009</v>
      </c>
      <c r="AY76">
        <v>587</v>
      </c>
      <c r="AZ76">
        <v>351</v>
      </c>
      <c r="BA76">
        <v>3640</v>
      </c>
      <c r="BB76">
        <v>2576</v>
      </c>
      <c r="BC76">
        <v>7</v>
      </c>
    </row>
    <row r="77" spans="1:55">
      <c r="A77" s="1">
        <v>1155</v>
      </c>
      <c r="B77" s="1">
        <v>89</v>
      </c>
      <c r="C77" t="s">
        <v>209</v>
      </c>
      <c r="D77">
        <v>348111</v>
      </c>
      <c r="E77">
        <v>320999</v>
      </c>
      <c r="F77">
        <v>317961</v>
      </c>
      <c r="G77">
        <v>189871</v>
      </c>
      <c r="H77">
        <v>681</v>
      </c>
      <c r="I77">
        <v>661</v>
      </c>
      <c r="J77">
        <v>641</v>
      </c>
      <c r="K77">
        <v>635</v>
      </c>
      <c r="L77">
        <v>632</v>
      </c>
      <c r="M77">
        <v>223</v>
      </c>
      <c r="N77">
        <v>292</v>
      </c>
      <c r="O77">
        <v>1</v>
      </c>
      <c r="P77">
        <v>2</v>
      </c>
      <c r="Q77">
        <v>74044</v>
      </c>
      <c r="R77">
        <v>13874</v>
      </c>
      <c r="S77">
        <v>59298</v>
      </c>
      <c r="T77">
        <v>2902</v>
      </c>
      <c r="U77">
        <v>3767</v>
      </c>
      <c r="V77">
        <v>4702</v>
      </c>
      <c r="W77">
        <v>34939</v>
      </c>
      <c r="X77">
        <v>4768</v>
      </c>
      <c r="Y77">
        <v>686</v>
      </c>
      <c r="Z77">
        <v>6655</v>
      </c>
      <c r="AA77">
        <v>2254</v>
      </c>
      <c r="AB77">
        <v>3526</v>
      </c>
      <c r="AC77">
        <v>361</v>
      </c>
      <c r="AD77">
        <v>2871</v>
      </c>
      <c r="AE77">
        <v>15353</v>
      </c>
      <c r="AF77">
        <v>125</v>
      </c>
      <c r="AG77">
        <v>113906</v>
      </c>
      <c r="AH77">
        <v>104450</v>
      </c>
      <c r="AI77">
        <v>943</v>
      </c>
      <c r="AJ77">
        <v>1434</v>
      </c>
      <c r="AK77">
        <v>98560</v>
      </c>
      <c r="AL77">
        <v>71002</v>
      </c>
      <c r="AM77">
        <v>163</v>
      </c>
      <c r="AN77">
        <v>41835</v>
      </c>
      <c r="AO77">
        <v>10625</v>
      </c>
      <c r="AP77">
        <v>27403</v>
      </c>
      <c r="AQ77">
        <v>22552</v>
      </c>
      <c r="AR77">
        <v>21350</v>
      </c>
      <c r="AS77">
        <v>3133</v>
      </c>
      <c r="AT77">
        <v>453</v>
      </c>
      <c r="AU77">
        <v>24339</v>
      </c>
      <c r="AV77">
        <v>2576</v>
      </c>
      <c r="AW77">
        <v>143</v>
      </c>
      <c r="AX77">
        <v>2919</v>
      </c>
      <c r="AY77">
        <v>874</v>
      </c>
      <c r="AZ77">
        <v>1808</v>
      </c>
      <c r="BA77">
        <v>20550</v>
      </c>
      <c r="BB77">
        <v>9545</v>
      </c>
      <c r="BC77">
        <v>535</v>
      </c>
    </row>
  </sheetData>
  <sortState xmlns:xlrd2="http://schemas.microsoft.com/office/spreadsheetml/2017/richdata2" ref="A2:BC77">
    <sortCondition ref="B2:B77"/>
  </sortState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41EF-FD73-8048-A073-6895705612E0}">
  <dimension ref="A1:BF78"/>
  <sheetViews>
    <sheetView workbookViewId="0">
      <selection activeCell="BD9" sqref="BD9"/>
    </sheetView>
  </sheetViews>
  <sheetFormatPr defaultColWidth="11" defaultRowHeight="15.95"/>
  <sheetData>
    <row r="1" spans="1:58" ht="288.95">
      <c r="A1" s="1" t="s">
        <v>0</v>
      </c>
      <c r="B1" s="1" t="s">
        <v>7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  <c r="U1" s="2" t="s">
        <v>130</v>
      </c>
      <c r="V1" s="2" t="s">
        <v>131</v>
      </c>
      <c r="W1" s="2" t="s">
        <v>132</v>
      </c>
      <c r="X1" s="2" t="s">
        <v>133</v>
      </c>
      <c r="Y1" s="2" t="s">
        <v>134</v>
      </c>
      <c r="Z1" s="2" t="s">
        <v>135</v>
      </c>
      <c r="AA1" s="2" t="s">
        <v>136</v>
      </c>
      <c r="AB1" s="2" t="s">
        <v>137</v>
      </c>
      <c r="AC1" s="2" t="s">
        <v>138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150</v>
      </c>
      <c r="AP1" s="2" t="s">
        <v>151</v>
      </c>
      <c r="AQ1" s="2" t="s">
        <v>152</v>
      </c>
      <c r="AR1" s="2" t="s">
        <v>153</v>
      </c>
      <c r="AS1" s="2" t="s">
        <v>154</v>
      </c>
      <c r="AT1" s="2" t="s">
        <v>155</v>
      </c>
      <c r="AU1" s="2" t="s">
        <v>156</v>
      </c>
      <c r="AV1" s="2" t="s">
        <v>157</v>
      </c>
      <c r="AW1" s="2" t="s">
        <v>158</v>
      </c>
      <c r="AX1" s="2" t="s">
        <v>159</v>
      </c>
      <c r="AY1" s="2" t="s">
        <v>160</v>
      </c>
      <c r="AZ1" s="2" t="s">
        <v>161</v>
      </c>
      <c r="BA1" s="2" t="s">
        <v>162</v>
      </c>
      <c r="BB1" s="2" t="s">
        <v>163</v>
      </c>
      <c r="BC1" s="2" t="s">
        <v>164</v>
      </c>
      <c r="BF1" s="2" t="s">
        <v>245</v>
      </c>
    </row>
    <row r="2" spans="1:58">
      <c r="A2" s="1">
        <v>1048</v>
      </c>
      <c r="B2" s="1">
        <v>24</v>
      </c>
      <c r="C2" t="s">
        <v>186</v>
      </c>
      <c r="D2">
        <v>148761</v>
      </c>
      <c r="E2">
        <v>144702</v>
      </c>
      <c r="F2">
        <v>136700</v>
      </c>
      <c r="G2">
        <f>Age!G2/Age!$F2</f>
        <v>0.69349670811997077</v>
      </c>
      <c r="H2">
        <f>Age!H2/Age!$F2</f>
        <v>5.4133138258961227E-4</v>
      </c>
      <c r="I2">
        <f>Age!I2/Age!$F2</f>
        <v>4.9012435991221655E-4</v>
      </c>
      <c r="J2">
        <f>Age!J2/Age!$F2</f>
        <v>4.3160204828090711E-4</v>
      </c>
      <c r="K2">
        <f>Age!K2/Age!$F2</f>
        <v>4.3160204828090711E-4</v>
      </c>
      <c r="L2">
        <f>Age!L2/Age!$F2</f>
        <v>4.3160204828090711E-4</v>
      </c>
      <c r="M2">
        <f>Age!M2/Age!$F2</f>
        <v>8.7783467446964149E-5</v>
      </c>
      <c r="N2">
        <f>Age!N2/Age!$F2</f>
        <v>2.9261155815654721E-4</v>
      </c>
      <c r="O2">
        <f>Age!O2/Age!$F2</f>
        <v>0</v>
      </c>
      <c r="P2">
        <f>Age!P2/Age!$F2</f>
        <v>0</v>
      </c>
      <c r="Q2">
        <f>Age!Q2/Age!$F2</f>
        <v>0.24074615947329919</v>
      </c>
      <c r="R2">
        <f>Age!R2/Age!$F2</f>
        <v>5.6803218727139719E-2</v>
      </c>
      <c r="S2">
        <f>Age!S2/Age!$F2</f>
        <v>0.18006583760058523</v>
      </c>
      <c r="T2">
        <f>Age!T2/Age!$F2</f>
        <v>1.0124359912216533E-2</v>
      </c>
      <c r="U2">
        <f>Age!U2/Age!$F2</f>
        <v>1.9363569861009511E-2</v>
      </c>
      <c r="V2">
        <f>Age!V2/Age!$F2</f>
        <v>3.1602048280907097E-2</v>
      </c>
      <c r="W2">
        <f>Age!W2/Age!$F2</f>
        <v>7.065837600585223E-2</v>
      </c>
      <c r="X2">
        <f>Age!X2/Age!$F2</f>
        <v>2.980248719824433E-2</v>
      </c>
      <c r="Y2">
        <f>Age!Y2/Age!$F2</f>
        <v>2.9209948792977322E-2</v>
      </c>
      <c r="Z2">
        <f>Age!Z2/Age!$F2</f>
        <v>1.2692026335040234E-2</v>
      </c>
      <c r="AA2">
        <f>Age!AA2/Age!$F2</f>
        <v>2.670080468178493E-3</v>
      </c>
      <c r="AB2">
        <f>Age!AB2/Age!$F2</f>
        <v>8.4052670080468177E-3</v>
      </c>
      <c r="AC2">
        <f>Age!AC2/Age!$F2</f>
        <v>6.9495245062179951E-4</v>
      </c>
      <c r="AD2">
        <f>Age!AD2/Age!$F2</f>
        <v>7.483540599853694E-3</v>
      </c>
      <c r="AE2">
        <f>Age!AE2/Age!$F2</f>
        <v>8.9326993416239939E-2</v>
      </c>
      <c r="AF2">
        <f>Age!AF2/Age!$F2</f>
        <v>1.2874908558888076E-3</v>
      </c>
      <c r="AG2">
        <f>Age!AG2/Age!$F2</f>
        <v>0.44869787856620336</v>
      </c>
      <c r="AH2">
        <f>Age!AH2/Age!$F2</f>
        <v>0.40759326993416239</v>
      </c>
      <c r="AI2">
        <f>Age!AI2/Age!$F2</f>
        <v>3.9136795903438187E-3</v>
      </c>
      <c r="AJ2">
        <f>Age!AJ2/Age!$F2</f>
        <v>2.7286027798098023E-3</v>
      </c>
      <c r="AK2">
        <f>Age!AK2/Age!$F2</f>
        <v>0.39136795903438187</v>
      </c>
      <c r="AL2">
        <f>Age!AL2/Age!$F2</f>
        <v>0.22164594001463059</v>
      </c>
      <c r="AM2">
        <f>Age!AM2/Age!$F2</f>
        <v>4.6817849305047548E-4</v>
      </c>
      <c r="AN2">
        <f>Age!AN2/Age!$F2</f>
        <v>0.14292611558156548</v>
      </c>
      <c r="AO2">
        <f>Age!AO2/Age!$F2</f>
        <v>5.6035113386978787E-2</v>
      </c>
      <c r="AP2">
        <f>Age!AP2/Age!$F2</f>
        <v>7.4754937820043887E-2</v>
      </c>
      <c r="AQ2">
        <f>Age!AQ2/Age!$F2</f>
        <v>6.4133138258961234E-2</v>
      </c>
      <c r="AR2">
        <f>Age!AR2/Age!$F2</f>
        <v>6.3730797366495978E-2</v>
      </c>
      <c r="AS2">
        <f>Age!AS2/Age!$F2</f>
        <v>1.70592538405267E-2</v>
      </c>
      <c r="AT2">
        <f>Age!AT2/Age!$F2</f>
        <v>5.0841258229700073E-3</v>
      </c>
      <c r="AU2">
        <f>Age!AU2/Age!$F2</f>
        <v>0.1496196049743965</v>
      </c>
      <c r="AV2">
        <f>Age!AV2/Age!$F2</f>
        <v>2.2926115581565473E-2</v>
      </c>
      <c r="AW2">
        <f>Age!AW2/Age!$F2</f>
        <v>3.4089246525237748E-3</v>
      </c>
      <c r="AX2">
        <f>Age!AX2/Age!$F2</f>
        <v>8.2304316020482812E-2</v>
      </c>
      <c r="AY2">
        <f>Age!AY2/Age!$F2</f>
        <v>1.3913679590343819E-2</v>
      </c>
      <c r="AZ2">
        <f>Age!AZ2/Age!$F2</f>
        <v>6.4374542794440381E-2</v>
      </c>
      <c r="BA2">
        <f>Age!BA2/Age!$F2</f>
        <v>6.0892465252377466E-2</v>
      </c>
      <c r="BB2">
        <f>Age!BB2/Age!$F2</f>
        <v>4.9897585954645211E-2</v>
      </c>
      <c r="BC2">
        <f>Age!BC2/Age!$F2</f>
        <v>1.1923920994879298E-3</v>
      </c>
    </row>
    <row r="3" spans="1:58">
      <c r="A3" s="1">
        <v>1235</v>
      </c>
      <c r="B3" s="1">
        <v>25</v>
      </c>
      <c r="C3" t="s">
        <v>231</v>
      </c>
      <c r="D3">
        <v>36749</v>
      </c>
      <c r="E3">
        <v>35528</v>
      </c>
      <c r="F3">
        <v>35018</v>
      </c>
      <c r="G3">
        <f>Age!G3/Age!$F3</f>
        <v>0.86901022331372435</v>
      </c>
      <c r="H3">
        <f>Age!H3/Age!$F3</f>
        <v>8.8525900965217891E-4</v>
      </c>
      <c r="I3">
        <f>Age!I3/Age!$F3</f>
        <v>8.8525900965217891E-4</v>
      </c>
      <c r="J3">
        <f>Age!J3/Age!$F3</f>
        <v>7.995887829116454E-4</v>
      </c>
      <c r="K3">
        <f>Age!K3/Age!$F3</f>
        <v>7.995887829116454E-4</v>
      </c>
      <c r="L3">
        <f>Age!L3/Age!$F3</f>
        <v>7.995887829116454E-4</v>
      </c>
      <c r="M3">
        <f>Age!M3/Age!$F3</f>
        <v>2.855674224684448E-4</v>
      </c>
      <c r="N3">
        <f>Age!N3/Age!$F3</f>
        <v>3.7123764920897825E-4</v>
      </c>
      <c r="O3">
        <f>Age!O3/Age!$F3</f>
        <v>0</v>
      </c>
      <c r="P3">
        <f>Age!P3/Age!$F3</f>
        <v>0</v>
      </c>
      <c r="Q3">
        <f>Age!Q3/Age!$F3</f>
        <v>0.43788908561311324</v>
      </c>
      <c r="R3">
        <f>Age!R3/Age!$F3</f>
        <v>5.7998743503341138E-2</v>
      </c>
      <c r="S3">
        <f>Age!S3/Age!$F3</f>
        <v>0.37132331943571878</v>
      </c>
      <c r="T3">
        <f>Age!T3/Age!$F3</f>
        <v>2.5329830372951053E-2</v>
      </c>
      <c r="U3">
        <f>Age!U3/Age!$F3</f>
        <v>6.4481123993374842E-2</v>
      </c>
      <c r="V3">
        <f>Age!V3/Age!$F3</f>
        <v>9.1752812839111311E-2</v>
      </c>
      <c r="W3">
        <f>Age!W3/Age!$F3</f>
        <v>5.4172140042263978E-2</v>
      </c>
      <c r="X3">
        <f>Age!X3/Age!$F3</f>
        <v>7.795990633388543E-3</v>
      </c>
      <c r="Y3">
        <f>Age!Y3/Age!$F3</f>
        <v>7.253412530698498E-3</v>
      </c>
      <c r="Z3">
        <f>Age!Z3/Age!$F3</f>
        <v>2.1046319035924382E-2</v>
      </c>
      <c r="AA3">
        <f>Age!AA3/Age!$F3</f>
        <v>4.5976355017419614E-3</v>
      </c>
      <c r="AB3">
        <f>Age!AB3/Age!$F3</f>
        <v>1.396424695870695E-2</v>
      </c>
      <c r="AC3">
        <f>Age!AC3/Age!$F3</f>
        <v>3.9122736878176934E-3</v>
      </c>
      <c r="AD3">
        <f>Age!AD3/Age!$F3</f>
        <v>6.4538237477868524E-3</v>
      </c>
      <c r="AE3">
        <f>Age!AE3/Age!$F3</f>
        <v>0.2713176080872694</v>
      </c>
      <c r="AF3">
        <f>Age!AF3/Age!$F3</f>
        <v>1.313610143354846E-3</v>
      </c>
      <c r="AG3">
        <f>Age!AG3/Age!$F3</f>
        <v>0.42461020046833059</v>
      </c>
      <c r="AH3">
        <f>Age!AH3/Age!$F3</f>
        <v>0.36923867725169912</v>
      </c>
      <c r="AI3">
        <f>Age!AI3/Age!$F3</f>
        <v>5.9969158718373411E-4</v>
      </c>
      <c r="AJ3">
        <f>Age!AJ3/Age!$F3</f>
        <v>1.2850534011080016E-3</v>
      </c>
      <c r="AK3">
        <f>Age!AK3/Age!$F3</f>
        <v>0.36209949168998801</v>
      </c>
      <c r="AL3">
        <f>Age!AL3/Age!$F3</f>
        <v>0.18387686332743161</v>
      </c>
      <c r="AM3">
        <f>Age!AM3/Age!$F3</f>
        <v>1.2564966588611572E-3</v>
      </c>
      <c r="AN3">
        <f>Age!AN3/Age!$F3</f>
        <v>6.3053286881032608E-2</v>
      </c>
      <c r="AO3">
        <f>Age!AO3/Age!$F3</f>
        <v>2.530127363070421E-2</v>
      </c>
      <c r="AP3">
        <f>Age!AP3/Age!$F3</f>
        <v>3.1155405791307329E-2</v>
      </c>
      <c r="AQ3">
        <f>Age!AQ3/Age!$F3</f>
        <v>0.10140499171854475</v>
      </c>
      <c r="AR3">
        <f>Age!AR3/Age!$F3</f>
        <v>9.4894054486264201E-2</v>
      </c>
      <c r="AS3">
        <f>Age!AS3/Age!$F3</f>
        <v>1.1165686218516192E-2</v>
      </c>
      <c r="AT3">
        <f>Age!AT3/Age!$F3</f>
        <v>2.3702096064880918E-3</v>
      </c>
      <c r="AU3">
        <f>Age!AU3/Age!$F3</f>
        <v>0.16348734936318465</v>
      </c>
      <c r="AV3">
        <f>Age!AV3/Age!$F3</f>
        <v>1.4735278999371751E-2</v>
      </c>
      <c r="AW3">
        <f>Age!AW3/Age!$F3</f>
        <v>2.7985607401907592E-3</v>
      </c>
      <c r="AX3">
        <f>Age!AX3/Age!$F3</f>
        <v>6.1568336284196702E-2</v>
      </c>
      <c r="AY3">
        <f>Age!AY3/Age!$F3</f>
        <v>3.398252327374493E-3</v>
      </c>
      <c r="AZ3">
        <f>Age!AZ3/Age!$F3</f>
        <v>5.6028328288308872E-2</v>
      </c>
      <c r="BA3">
        <f>Age!BA3/Age!$F3</f>
        <v>8.4042492432463298E-2</v>
      </c>
      <c r="BB3">
        <f>Age!BB3/Age!$F3</f>
        <v>5.1973270889256955E-2</v>
      </c>
      <c r="BC3">
        <f>Age!BC3/Age!$F3</f>
        <v>3.997943914558227E-4</v>
      </c>
      <c r="BF3" t="str">
        <f t="shared" ref="BF3:BF67" si="0">IF(B3&lt;60, "under 60", "over 60")</f>
        <v>under 60</v>
      </c>
    </row>
    <row r="4" spans="1:58">
      <c r="A4" s="1">
        <v>1090</v>
      </c>
      <c r="B4" s="1">
        <v>29</v>
      </c>
      <c r="C4" t="s">
        <v>194</v>
      </c>
      <c r="D4">
        <v>41092</v>
      </c>
      <c r="E4">
        <v>39807</v>
      </c>
      <c r="F4">
        <v>35649</v>
      </c>
      <c r="G4">
        <f>Age!G4/Age!$F4</f>
        <v>0.53788325058206399</v>
      </c>
      <c r="H4">
        <f>Age!H4/Age!$F4</f>
        <v>1.1501023871637354E-3</v>
      </c>
      <c r="I4">
        <f>Age!I4/Age!$F4</f>
        <v>1.1501023871637354E-3</v>
      </c>
      <c r="J4">
        <f>Age!J4/Age!$F4</f>
        <v>1.0659485539566327E-3</v>
      </c>
      <c r="K4">
        <f>Age!K4/Age!$F4</f>
        <v>1.0659485539566327E-3</v>
      </c>
      <c r="L4">
        <f>Age!L4/Age!$F4</f>
        <v>1.0659485539566327E-3</v>
      </c>
      <c r="M4">
        <f>Age!M4/Age!$F4</f>
        <v>2.8051277735700864E-4</v>
      </c>
      <c r="N4">
        <f>Age!N4/Age!$F4</f>
        <v>5.8907683244971811E-4</v>
      </c>
      <c r="O4">
        <f>Age!O4/Age!$F4</f>
        <v>0</v>
      </c>
      <c r="P4">
        <f>Age!P4/Age!$F4</f>
        <v>0</v>
      </c>
      <c r="Q4">
        <f>Age!Q4/Age!$F4</f>
        <v>0.21487278745546859</v>
      </c>
      <c r="R4">
        <f>Age!R4/Age!$F4</f>
        <v>3.7139891722067941E-2</v>
      </c>
      <c r="S4">
        <f>Age!S4/Age!$F4</f>
        <v>0.16696120508289153</v>
      </c>
      <c r="T4">
        <f>Age!T4/Age!$F4</f>
        <v>1.234256220370838E-2</v>
      </c>
      <c r="U4">
        <f>Age!U4/Age!$F4</f>
        <v>1.2286459648236978E-2</v>
      </c>
      <c r="V4">
        <f>Age!V4/Age!$F4</f>
        <v>3.7111840444332238E-2</v>
      </c>
      <c r="W4">
        <f>Age!W4/Age!$F4</f>
        <v>3.9496199051866812E-2</v>
      </c>
      <c r="X4">
        <f>Age!X4/Age!$F4</f>
        <v>5.0772812701618559E-3</v>
      </c>
      <c r="Y4">
        <f>Age!Y4/Age!$F4</f>
        <v>4.6004095486549415E-3</v>
      </c>
      <c r="Z4">
        <f>Age!Z4/Age!$F4</f>
        <v>1.3969536312379028E-2</v>
      </c>
      <c r="AA4">
        <f>Age!AA4/Age!$F4</f>
        <v>1.7952817750848552E-3</v>
      </c>
      <c r="AB4">
        <f>Age!AB4/Age!$F4</f>
        <v>9.9301523184381051E-3</v>
      </c>
      <c r="AC4">
        <f>Age!AC4/Age!$F4</f>
        <v>7.2933322112822237E-4</v>
      </c>
      <c r="AD4">
        <f>Age!AD4/Age!$F4</f>
        <v>9.0605627086313787E-3</v>
      </c>
      <c r="AE4">
        <f>Age!AE4/Age!$F4</f>
        <v>0.10839013717074812</v>
      </c>
      <c r="AF4">
        <f>Age!AF4/Age!$F4</f>
        <v>1.7111279418777524E-3</v>
      </c>
      <c r="AG4">
        <f>Age!AG4/Age!$F4</f>
        <v>0.31863446379982607</v>
      </c>
      <c r="AH4">
        <f>Age!AH4/Age!$F4</f>
        <v>0.29655810822182949</v>
      </c>
      <c r="AI4">
        <f>Age!AI4/Age!$F4</f>
        <v>2.4404611630059747E-3</v>
      </c>
      <c r="AJ4">
        <f>Age!AJ4/Age!$F4</f>
        <v>9.2569216527812841E-4</v>
      </c>
      <c r="AK4">
        <f>Age!AK4/Age!$F4</f>
        <v>0.28474852029509945</v>
      </c>
      <c r="AL4">
        <f>Age!AL4/Age!$F4</f>
        <v>0.17832197256585036</v>
      </c>
      <c r="AM4">
        <f>Age!AM4/Age!$F4</f>
        <v>3.0856405509270947E-4</v>
      </c>
      <c r="AN4">
        <f>Age!AN4/Age!$F4</f>
        <v>9.8992959129288335E-2</v>
      </c>
      <c r="AO4">
        <f>Age!AO4/Age!$F4</f>
        <v>3.4334763948497854E-2</v>
      </c>
      <c r="AP4">
        <f>Age!AP4/Age!$F4</f>
        <v>5.5204914583859295E-2</v>
      </c>
      <c r="AQ4">
        <f>Age!AQ4/Age!$F4</f>
        <v>6.7715784453981881E-2</v>
      </c>
      <c r="AR4">
        <f>Age!AR4/Age!$F4</f>
        <v>6.5107015624561698E-2</v>
      </c>
      <c r="AS4">
        <f>Age!AS4/Age!$F4</f>
        <v>1.758815114028444E-2</v>
      </c>
      <c r="AT4">
        <f>Age!AT4/Age!$F4</f>
        <v>7.0689219893966173E-3</v>
      </c>
      <c r="AU4">
        <f>Age!AU4/Age!$F4</f>
        <v>8.6706499481051358E-2</v>
      </c>
      <c r="AV4">
        <f>Age!AV4/Age!$F4</f>
        <v>1.2286459648236978E-2</v>
      </c>
      <c r="AW4">
        <f>Age!AW4/Age!$F4</f>
        <v>3.0856405509270949E-3</v>
      </c>
      <c r="AX4">
        <f>Age!AX4/Age!$F4</f>
        <v>3.8963224774888498E-2</v>
      </c>
      <c r="AY4">
        <f>Age!AY4/Age!$F4</f>
        <v>8.3031782097674547E-3</v>
      </c>
      <c r="AZ4">
        <f>Age!AZ4/Age!$F4</f>
        <v>2.6732867682122921E-2</v>
      </c>
      <c r="BA4">
        <f>Age!BA4/Age!$F4</f>
        <v>4.4713736710707171E-2</v>
      </c>
      <c r="BB4">
        <f>Age!BB4/Age!$F4</f>
        <v>3.3409071783219724E-2</v>
      </c>
      <c r="BC4">
        <f>Age!BC4/Age!$F4</f>
        <v>2.1038458301775647E-3</v>
      </c>
      <c r="BF4" t="str">
        <f t="shared" si="0"/>
        <v>under 60</v>
      </c>
    </row>
    <row r="5" spans="1:58">
      <c r="A5" s="1">
        <v>1012</v>
      </c>
      <c r="B5" s="1">
        <v>31</v>
      </c>
      <c r="C5" t="s">
        <v>170</v>
      </c>
      <c r="D5">
        <v>270926</v>
      </c>
      <c r="E5">
        <v>265202</v>
      </c>
      <c r="F5">
        <v>261135</v>
      </c>
      <c r="G5">
        <f>Age!G5/Age!$F5</f>
        <v>0.64270205066344999</v>
      </c>
      <c r="H5">
        <f>Age!H5/Age!$F5</f>
        <v>5.9241388553813159E-3</v>
      </c>
      <c r="I5">
        <f>Age!I5/Age!$F5</f>
        <v>5.805426312060811E-3</v>
      </c>
      <c r="J5">
        <f>Age!J5/Age!$F5</f>
        <v>5.5680012254198021E-3</v>
      </c>
      <c r="K5">
        <f>Age!K5/Age!$F5</f>
        <v>5.5105596722002026E-3</v>
      </c>
      <c r="L5">
        <f>Age!L5/Age!$F5</f>
        <v>5.483753614031057E-3</v>
      </c>
      <c r="M5">
        <f>Age!M5/Age!$F5</f>
        <v>2.44701016715492E-3</v>
      </c>
      <c r="N5">
        <f>Age!N5/Age!$F5</f>
        <v>2.3436153713596417E-3</v>
      </c>
      <c r="O5">
        <f>Age!O5/Age!$F5</f>
        <v>6.1270990100905655E-5</v>
      </c>
      <c r="P5">
        <f>Age!P5/Age!$F5</f>
        <v>7.6588737626132083E-5</v>
      </c>
      <c r="Q5">
        <f>Age!Q5/Age!$F5</f>
        <v>0.38497328967775291</v>
      </c>
      <c r="R5">
        <f>Age!R5/Age!$F5</f>
        <v>9.2875332682329059E-2</v>
      </c>
      <c r="S5">
        <f>Age!S5/Age!$F5</f>
        <v>0.27202021942673332</v>
      </c>
      <c r="T5">
        <f>Age!T5/Age!$F5</f>
        <v>8.2447776054531182E-3</v>
      </c>
      <c r="U5">
        <f>Age!U5/Age!$F5</f>
        <v>1.013651942481858E-2</v>
      </c>
      <c r="V5">
        <f>Age!V5/Age!$F5</f>
        <v>1.6734639171309858E-2</v>
      </c>
      <c r="W5">
        <f>Age!W5/Age!$F5</f>
        <v>0.10457809179160205</v>
      </c>
      <c r="X5">
        <f>Age!X5/Age!$F5</f>
        <v>3.6513680663258469E-2</v>
      </c>
      <c r="Y5">
        <f>Age!Y5/Age!$F5</f>
        <v>3.5544833132287894E-2</v>
      </c>
      <c r="Z5">
        <f>Age!Z5/Age!$F5</f>
        <v>8.2846037490187069E-2</v>
      </c>
      <c r="AA5">
        <f>Age!AA5/Age!$F5</f>
        <v>1.7255442587167557E-2</v>
      </c>
      <c r="AB5">
        <f>Age!AB5/Age!$F5</f>
        <v>5.2260325119191223E-2</v>
      </c>
      <c r="AC5">
        <f>Age!AC5/Age!$F5</f>
        <v>5.9356271660252358E-4</v>
      </c>
      <c r="AD5">
        <f>Age!AD5/Age!$F5</f>
        <v>4.7431405211863592E-2</v>
      </c>
      <c r="AE5">
        <f>Age!AE5/Age!$F5</f>
        <v>5.9379248281540196E-2</v>
      </c>
      <c r="AF5">
        <f>Age!AF5/Age!$F5</f>
        <v>8.1949949259961324E-4</v>
      </c>
      <c r="AG5">
        <f>Age!AG5/Age!$F5</f>
        <v>0.2416298083366841</v>
      </c>
      <c r="AH5">
        <f>Age!AH5/Age!$F5</f>
        <v>0.23252340743293698</v>
      </c>
      <c r="AI5">
        <f>Age!AI5/Age!$F5</f>
        <v>1.9989660520420473E-3</v>
      </c>
      <c r="AJ5">
        <f>Age!AJ5/Age!$F5</f>
        <v>1.9874777413981274E-3</v>
      </c>
      <c r="AK5">
        <f>Age!AK5/Age!$F5</f>
        <v>0.21971394106496639</v>
      </c>
      <c r="AL5">
        <f>Age!AL5/Age!$F5</f>
        <v>9.6919218028988841E-2</v>
      </c>
      <c r="AM5">
        <f>Age!AM5/Age!$F5</f>
        <v>7.9652287131177363E-4</v>
      </c>
      <c r="AN5">
        <f>Age!AN5/Age!$F5</f>
        <v>4.7680318609148523E-2</v>
      </c>
      <c r="AO5">
        <f>Age!AO5/Age!$F5</f>
        <v>2.8931395638271393E-2</v>
      </c>
      <c r="AP5">
        <f>Age!AP5/Age!$F5</f>
        <v>1.521052329254983E-2</v>
      </c>
      <c r="AQ5">
        <f>Age!AQ5/Age!$F5</f>
        <v>4.1905527792138166E-2</v>
      </c>
      <c r="AR5">
        <f>Age!AR5/Age!$F5</f>
        <v>4.0530759951749096E-2</v>
      </c>
      <c r="AS5">
        <f>Age!AS5/Age!$F5</f>
        <v>7.7316330633580331E-3</v>
      </c>
      <c r="AT5">
        <f>Age!AT5/Age!$F5</f>
        <v>1.6619756064870661E-3</v>
      </c>
      <c r="AU5">
        <f>Age!AU5/Age!$F5</f>
        <v>0.11243226683516189</v>
      </c>
      <c r="AV5">
        <f>Age!AV5/Age!$F5</f>
        <v>2.0303674344687613E-2</v>
      </c>
      <c r="AW5">
        <f>Age!AW5/Age!$F5</f>
        <v>2.9103720297930188E-3</v>
      </c>
      <c r="AX5">
        <f>Age!AX5/Age!$F5</f>
        <v>4.7305033794780481E-2</v>
      </c>
      <c r="AY5">
        <f>Age!AY5/Age!$F5</f>
        <v>3.400539950600264E-3</v>
      </c>
      <c r="AZ5">
        <f>Age!AZ5/Age!$F5</f>
        <v>4.241867233423325E-2</v>
      </c>
      <c r="BA5">
        <f>Age!BA5/Age!$F5</f>
        <v>5.9689432668926033E-2</v>
      </c>
      <c r="BB5">
        <f>Age!BB5/Age!$F5</f>
        <v>3.8995155762345149E-2</v>
      </c>
      <c r="BC5">
        <f>Age!BC5/Age!$F5</f>
        <v>8.0418174507438679E-5</v>
      </c>
      <c r="BF5" t="str">
        <f t="shared" si="0"/>
        <v>under 60</v>
      </c>
    </row>
    <row r="6" spans="1:58">
      <c r="A6" s="1">
        <v>1001</v>
      </c>
      <c r="B6" s="1">
        <v>34</v>
      </c>
      <c r="C6" t="s">
        <v>165</v>
      </c>
      <c r="D6">
        <v>277764</v>
      </c>
      <c r="E6">
        <v>265500</v>
      </c>
      <c r="F6">
        <v>262632</v>
      </c>
      <c r="G6">
        <f>Age!G6/Age!$F6</f>
        <v>0.3891985744311432</v>
      </c>
      <c r="H6">
        <f>Age!H6/Age!$F6</f>
        <v>1.027292942215724E-2</v>
      </c>
      <c r="I6">
        <f>Age!I6/Age!$F6</f>
        <v>1.0086356574979439E-2</v>
      </c>
      <c r="J6">
        <f>Age!J6/Age!$F6</f>
        <v>9.4504858509244869E-3</v>
      </c>
      <c r="K6">
        <f>Age!K6/Age!$F6</f>
        <v>9.4124097596637122E-3</v>
      </c>
      <c r="L6">
        <f>Age!L6/Age!$F6</f>
        <v>9.3781412775290132E-3</v>
      </c>
      <c r="M6">
        <f>Age!M6/Age!$F6</f>
        <v>2.0827621919644215E-3</v>
      </c>
      <c r="N6">
        <f>Age!N6/Age!$F6</f>
        <v>5.7761430442596481E-3</v>
      </c>
      <c r="O6">
        <f>Age!O6/Age!$F6</f>
        <v>2.0180328368211032E-4</v>
      </c>
      <c r="P6">
        <f>Age!P6/Age!$F6</f>
        <v>3.2745438484266959E-4</v>
      </c>
      <c r="Q6">
        <f>Age!Q6/Age!$F6</f>
        <v>0.14674906332815499</v>
      </c>
      <c r="R6">
        <f>Age!R6/Age!$F6</f>
        <v>2.7662280300953426E-2</v>
      </c>
      <c r="S6">
        <f>Age!S6/Age!$F6</f>
        <v>0.11406454658990527</v>
      </c>
      <c r="T6">
        <f>Age!T6/Age!$F6</f>
        <v>4.9498918639008195E-3</v>
      </c>
      <c r="U6">
        <f>Age!U6/Age!$F6</f>
        <v>3.3849645130829449E-3</v>
      </c>
      <c r="V6">
        <f>Age!V6/Age!$F6</f>
        <v>3.9066069633555698E-3</v>
      </c>
      <c r="W6">
        <f>Age!W6/Age!$F6</f>
        <v>5.0945810106917663E-2</v>
      </c>
      <c r="X6">
        <f>Age!X6/Age!$F6</f>
        <v>2.1608181790490115E-2</v>
      </c>
      <c r="Y6">
        <f>Age!Y6/Age!$F6</f>
        <v>2.141399372506016E-2</v>
      </c>
      <c r="Z6">
        <f>Age!Z6/Age!$F6</f>
        <v>3.1443236163148439E-2</v>
      </c>
      <c r="AA6">
        <f>Age!AA6/Age!$F6</f>
        <v>8.6661183709525122E-3</v>
      </c>
      <c r="AB6">
        <f>Age!AB6/Age!$F6</f>
        <v>1.9399768497365133E-2</v>
      </c>
      <c r="AC6">
        <f>Age!AC6/Age!$F6</f>
        <v>1.5991958329525724E-4</v>
      </c>
      <c r="AD6">
        <f>Age!AD6/Age!$F6</f>
        <v>1.8596362971762769E-2</v>
      </c>
      <c r="AE6">
        <f>Age!AE6/Age!$F6</f>
        <v>2.1889944865819855E-2</v>
      </c>
      <c r="AF6">
        <f>Age!AF6/Age!$F6</f>
        <v>4.0360656736422064E-4</v>
      </c>
      <c r="AG6">
        <f>Age!AG6/Age!$F6</f>
        <v>0.22110405434219746</v>
      </c>
      <c r="AH6">
        <f>Age!AH6/Age!$F6</f>
        <v>0.21136419019769107</v>
      </c>
      <c r="AI6">
        <f>Age!AI6/Age!$F6</f>
        <v>1.1460903469493436E-3</v>
      </c>
      <c r="AJ6">
        <f>Age!AJ6/Age!$F6</f>
        <v>6.7013920618964938E-4</v>
      </c>
      <c r="AK6">
        <f>Age!AK6/Age!$F6</f>
        <v>0.2050816351396631</v>
      </c>
      <c r="AL6">
        <f>Age!AL6/Age!$F6</f>
        <v>0.12483627280757867</v>
      </c>
      <c r="AM6">
        <f>Age!AM6/Age!$F6</f>
        <v>4.949891863900819E-4</v>
      </c>
      <c r="AN6">
        <f>Age!AN6/Age!$F6</f>
        <v>7.5592463980017663E-2</v>
      </c>
      <c r="AO6">
        <f>Age!AO6/Age!$F6</f>
        <v>5.9611928477870176E-2</v>
      </c>
      <c r="AP6">
        <f>Age!AP6/Age!$F6</f>
        <v>1.1925431782874897E-2</v>
      </c>
      <c r="AQ6">
        <f>Age!AQ6/Age!$F6</f>
        <v>2.9109171768862897E-2</v>
      </c>
      <c r="AR6">
        <f>Age!AR6/Age!$F6</f>
        <v>2.31883395778123E-2</v>
      </c>
      <c r="AS6">
        <f>Age!AS6/Age!$F6</f>
        <v>4.3559048402327209E-3</v>
      </c>
      <c r="AT6">
        <f>Age!AT6/Age!$F6</f>
        <v>7.6532943434158823E-4</v>
      </c>
      <c r="AU6">
        <f>Age!AU6/Age!$F6</f>
        <v>7.4987054128971331E-2</v>
      </c>
      <c r="AV6">
        <f>Age!AV6/Age!$F6</f>
        <v>6.3015931036583504E-3</v>
      </c>
      <c r="AW6">
        <f>Age!AW6/Age!$F6</f>
        <v>4.949891863900819E-4</v>
      </c>
      <c r="AX6">
        <f>Age!AX6/Age!$F6</f>
        <v>2.7544244418045021E-2</v>
      </c>
      <c r="AY6">
        <f>Age!AY6/Age!$F6</f>
        <v>1.134667519571111E-3</v>
      </c>
      <c r="AZ6">
        <f>Age!AZ6/Age!$F6</f>
        <v>2.6025008376740079E-2</v>
      </c>
      <c r="BA6">
        <f>Age!BA6/Age!$F6</f>
        <v>4.3178287489719455E-2</v>
      </c>
      <c r="BB6">
        <f>Age!BB6/Age!$F6</f>
        <v>2.1764293764659295E-2</v>
      </c>
      <c r="BC6">
        <f>Age!BC6/Age!$F6</f>
        <v>5.8637180541594317E-4</v>
      </c>
      <c r="BF6" t="str">
        <f t="shared" si="0"/>
        <v>under 60</v>
      </c>
    </row>
    <row r="7" spans="1:58">
      <c r="A7" s="1">
        <v>1015</v>
      </c>
      <c r="B7" s="1">
        <v>34</v>
      </c>
      <c r="C7" t="s">
        <v>173</v>
      </c>
      <c r="D7">
        <v>34385</v>
      </c>
      <c r="E7">
        <v>33666</v>
      </c>
      <c r="F7">
        <v>33296</v>
      </c>
      <c r="G7">
        <f>Age!G7/Age!$F7</f>
        <v>0.83214199903892361</v>
      </c>
      <c r="H7">
        <f>Age!H7/Age!$F7</f>
        <v>6.307063911580971E-4</v>
      </c>
      <c r="I7">
        <f>Age!I7/Age!$F7</f>
        <v>6.307063911580971E-4</v>
      </c>
      <c r="J7">
        <f>Age!J7/Age!$F7</f>
        <v>5.4060547813551175E-4</v>
      </c>
      <c r="K7">
        <f>Age!K7/Age!$F7</f>
        <v>5.4060547813551175E-4</v>
      </c>
      <c r="L7">
        <f>Age!L7/Age!$F7</f>
        <v>5.1057184046131667E-4</v>
      </c>
      <c r="M7">
        <f>Age!M7/Age!$F7</f>
        <v>2.1023546371936569E-4</v>
      </c>
      <c r="N7">
        <f>Age!N7/Age!$F7</f>
        <v>2.7030273906775588E-4</v>
      </c>
      <c r="O7">
        <f>Age!O7/Age!$F7</f>
        <v>0</v>
      </c>
      <c r="P7">
        <f>Age!P7/Age!$F7</f>
        <v>0</v>
      </c>
      <c r="Q7">
        <f>Age!Q7/Age!$F7</f>
        <v>0.28165545410860165</v>
      </c>
      <c r="R7">
        <f>Age!R7/Age!$F7</f>
        <v>1.9521864488226813E-2</v>
      </c>
      <c r="S7">
        <f>Age!S7/Age!$F7</f>
        <v>0.25967083133109081</v>
      </c>
      <c r="T7">
        <f>Age!T7/Age!$F7</f>
        <v>1.4596347909658818E-2</v>
      </c>
      <c r="U7">
        <f>Age!U7/Age!$F7</f>
        <v>2.874219125420471E-2</v>
      </c>
      <c r="V7">
        <f>Age!V7/Age!$F7</f>
        <v>5.1537722248918789E-2</v>
      </c>
      <c r="W7">
        <f>Age!W7/Age!$F7</f>
        <v>0.13304901489668428</v>
      </c>
      <c r="X7">
        <f>Age!X7/Age!$F7</f>
        <v>7.1720326765977893E-2</v>
      </c>
      <c r="Y7">
        <f>Age!Y7/Age!$F7</f>
        <v>7.1119654012493996E-2</v>
      </c>
      <c r="Z7">
        <f>Age!Z7/Age!$F7</f>
        <v>1.7569678039404131E-2</v>
      </c>
      <c r="AA7">
        <f>Age!AA7/Age!$F7</f>
        <v>5.7964920711196539E-3</v>
      </c>
      <c r="AB7">
        <f>Age!AB7/Age!$F7</f>
        <v>1.0722008649687651E-2</v>
      </c>
      <c r="AC7">
        <f>Age!AC7/Age!$F7</f>
        <v>4.8053820278712162E-3</v>
      </c>
      <c r="AD7">
        <f>Age!AD7/Age!$F7</f>
        <v>4.9855838539163864E-3</v>
      </c>
      <c r="AE7">
        <f>Age!AE7/Age!$F7</f>
        <v>9.4846227775108122E-2</v>
      </c>
      <c r="AF7">
        <f>Age!AF7/Age!$F7</f>
        <v>4.2047092743873138E-4</v>
      </c>
      <c r="AG7">
        <f>Age!AG7/Age!$F7</f>
        <v>0.54303820278712156</v>
      </c>
      <c r="AH7">
        <f>Age!AH7/Age!$F7</f>
        <v>0.52982340221047575</v>
      </c>
      <c r="AI7">
        <f>Age!AI7/Age!$F7</f>
        <v>3.1234983181162904E-3</v>
      </c>
      <c r="AJ7">
        <f>Age!AJ7/Age!$F7</f>
        <v>4.5050456511292646E-4</v>
      </c>
      <c r="AK7">
        <f>Age!AK7/Age!$F7</f>
        <v>0.51753964440172995</v>
      </c>
      <c r="AL7">
        <f>Age!AL7/Age!$F7</f>
        <v>0.3817575684766939</v>
      </c>
      <c r="AM7">
        <f>Age!AM7/Age!$F7</f>
        <v>1.4115809706871697E-3</v>
      </c>
      <c r="AN7">
        <f>Age!AN7/Age!$F7</f>
        <v>0.25636713118692939</v>
      </c>
      <c r="AO7">
        <f>Age!AO7/Age!$F7</f>
        <v>0.12854396924555503</v>
      </c>
      <c r="AP7">
        <f>Age!AP7/Age!$F7</f>
        <v>0.10667948101874099</v>
      </c>
      <c r="AQ7">
        <f>Age!AQ7/Age!$F7</f>
        <v>9.2023065833733778E-2</v>
      </c>
      <c r="AR7">
        <f>Age!AR7/Age!$F7</f>
        <v>8.974050937049495E-2</v>
      </c>
      <c r="AS7">
        <f>Age!AS7/Age!$F7</f>
        <v>2.009250360403652E-2</v>
      </c>
      <c r="AT7">
        <f>Age!AT7/Age!$F7</f>
        <v>1.5076886112445939E-2</v>
      </c>
      <c r="AU7">
        <f>Age!AU7/Age!$F7</f>
        <v>0.12391878904372898</v>
      </c>
      <c r="AV7">
        <f>Age!AV7/Age!$F7</f>
        <v>4.9555502162421912E-3</v>
      </c>
      <c r="AW7">
        <f>Age!AW7/Age!$F7</f>
        <v>4.0845747236905334E-3</v>
      </c>
      <c r="AX7">
        <f>Age!AX7/Age!$F7</f>
        <v>0.11388755406054782</v>
      </c>
      <c r="AY7">
        <f>Age!AY7/Age!$F7</f>
        <v>2.0122537241710715E-3</v>
      </c>
      <c r="AZ7">
        <f>Age!AZ7/Age!$F7</f>
        <v>0.10971287842383469</v>
      </c>
      <c r="BA7">
        <f>Age!BA7/Age!$F7</f>
        <v>6.0067275348390193E-3</v>
      </c>
      <c r="BB7">
        <f>Age!BB7/Age!$F7</f>
        <v>4.3849111004324844E-3</v>
      </c>
      <c r="BC7">
        <f>Age!BC7/Age!$F7</f>
        <v>6.0067275348390199E-5</v>
      </c>
      <c r="BF7" t="str">
        <f t="shared" si="0"/>
        <v>under 60</v>
      </c>
    </row>
    <row r="8" spans="1:58">
      <c r="A8" s="1">
        <v>1337</v>
      </c>
      <c r="B8" s="1">
        <v>34</v>
      </c>
      <c r="C8" t="s">
        <v>239</v>
      </c>
      <c r="D8">
        <v>50067</v>
      </c>
      <c r="E8">
        <v>47421</v>
      </c>
      <c r="F8">
        <v>43820</v>
      </c>
      <c r="G8">
        <f>Age!G8/Age!$F8</f>
        <v>0.51045184847101777</v>
      </c>
      <c r="H8">
        <f>Age!H8/Age!$F8</f>
        <v>8.2382473756275679E-3</v>
      </c>
      <c r="I8">
        <f>Age!I8/Age!$F8</f>
        <v>8.1697854860794152E-3</v>
      </c>
      <c r="J8">
        <f>Age!J8/Age!$F8</f>
        <v>7.6449109995435872E-3</v>
      </c>
      <c r="K8">
        <f>Age!K8/Age!$F8</f>
        <v>7.6449109995435872E-3</v>
      </c>
      <c r="L8">
        <f>Age!L8/Age!$F8</f>
        <v>7.5764491099954362E-3</v>
      </c>
      <c r="M8">
        <f>Age!M8/Age!$F8</f>
        <v>4.3359196713829299E-3</v>
      </c>
      <c r="N8">
        <f>Age!N8/Age!$F8</f>
        <v>1.7115472387037882E-3</v>
      </c>
      <c r="O8">
        <f>Age!O8/Age!$F8</f>
        <v>0</v>
      </c>
      <c r="P8">
        <f>Age!P8/Age!$F8</f>
        <v>4.5641259698767684E-5</v>
      </c>
      <c r="Q8">
        <f>Age!Q8/Age!$F8</f>
        <v>0.26115928799634869</v>
      </c>
      <c r="R8">
        <f>Age!R8/Age!$F8</f>
        <v>3.8544043815609309E-2</v>
      </c>
      <c r="S8">
        <f>Age!S8/Age!$F8</f>
        <v>0.21531264262893657</v>
      </c>
      <c r="T8">
        <f>Age!T8/Age!$F8</f>
        <v>7.1656777727065269E-3</v>
      </c>
      <c r="U8">
        <f>Age!U8/Age!$F8</f>
        <v>1.3235965312642629E-3</v>
      </c>
      <c r="V8">
        <f>Age!V8/Age!$F8</f>
        <v>4.6325878594249198E-3</v>
      </c>
      <c r="W8">
        <f>Age!W8/Age!$F8</f>
        <v>6.9465997261524415E-2</v>
      </c>
      <c r="X8">
        <f>Age!X8/Age!$F8</f>
        <v>1.2254678229119124E-2</v>
      </c>
      <c r="Y8">
        <f>Age!Y8/Age!$F8</f>
        <v>9.6759470561387489E-3</v>
      </c>
      <c r="Z8">
        <f>Age!Z8/Age!$F8</f>
        <v>8.4413509812870838E-2</v>
      </c>
      <c r="AA8">
        <f>Age!AA8/Age!$F8</f>
        <v>8.3295298950251031E-3</v>
      </c>
      <c r="AB8">
        <f>Age!AB8/Age!$F8</f>
        <v>6.4605203103605666E-2</v>
      </c>
      <c r="AC8">
        <f>Age!AC8/Age!$F8</f>
        <v>1.026928343222273E-3</v>
      </c>
      <c r="AD8">
        <f>Age!AD8/Age!$F8</f>
        <v>6.1296211775445003E-2</v>
      </c>
      <c r="AE8">
        <f>Age!AE8/Age!$F8</f>
        <v>3.7996348699224101E-2</v>
      </c>
      <c r="AF8">
        <f>Age!AF8/Age!$F8</f>
        <v>1.2323140118667274E-3</v>
      </c>
      <c r="AG8">
        <f>Age!AG8/Age!$F8</f>
        <v>0.23085349155636695</v>
      </c>
      <c r="AH8">
        <f>Age!AH8/Age!$F8</f>
        <v>0.20921953445915106</v>
      </c>
      <c r="AI8">
        <f>Age!AI8/Age!$F8</f>
        <v>1.9625741670470107E-3</v>
      </c>
      <c r="AJ8">
        <f>Age!AJ8/Age!$F8</f>
        <v>6.3897763578274762E-4</v>
      </c>
      <c r="AK8">
        <f>Age!AK8/Age!$F8</f>
        <v>0.19678229119123689</v>
      </c>
      <c r="AL8">
        <f>Age!AL8/Age!$F8</f>
        <v>9.7193062528525789E-2</v>
      </c>
      <c r="AM8">
        <f>Age!AM8/Age!$F8</f>
        <v>2.5102692834322229E-4</v>
      </c>
      <c r="AN8">
        <f>Age!AN8/Age!$F8</f>
        <v>3.1401186672752171E-2</v>
      </c>
      <c r="AO8">
        <f>Age!AO8/Age!$F8</f>
        <v>1.0839799178457326E-2</v>
      </c>
      <c r="AP8">
        <f>Age!AP8/Age!$F8</f>
        <v>1.7571884984025558E-2</v>
      </c>
      <c r="AQ8">
        <f>Age!AQ8/Age!$F8</f>
        <v>5.951620264719306E-2</v>
      </c>
      <c r="AR8">
        <f>Age!AR8/Age!$F8</f>
        <v>5.8877225011410315E-2</v>
      </c>
      <c r="AS8">
        <f>Age!AS8/Age!$F8</f>
        <v>5.956184390689183E-3</v>
      </c>
      <c r="AT8">
        <f>Age!AT8/Age!$F8</f>
        <v>2.441807393884071E-3</v>
      </c>
      <c r="AU8">
        <f>Age!AU8/Age!$F8</f>
        <v>8.0716567777270654E-2</v>
      </c>
      <c r="AV8">
        <f>Age!AV8/Age!$F8</f>
        <v>2.3368324965769054E-2</v>
      </c>
      <c r="AW8">
        <f>Age!AW8/Age!$F8</f>
        <v>3.3774532177088088E-3</v>
      </c>
      <c r="AX8">
        <f>Age!AX8/Age!$F8</f>
        <v>2.8525787311729802E-2</v>
      </c>
      <c r="AY8">
        <f>Age!AY8/Age!$F8</f>
        <v>4.9064354176175263E-3</v>
      </c>
      <c r="AZ8">
        <f>Age!AZ8/Age!$F8</f>
        <v>2.1611136467366499E-2</v>
      </c>
      <c r="BA8">
        <f>Age!BA8/Age!$F8</f>
        <v>4.8904609767229573E-2</v>
      </c>
      <c r="BB8">
        <f>Age!BB8/Age!$F8</f>
        <v>3.0556823368324965E-2</v>
      </c>
      <c r="BC8">
        <f>Age!BC8/Age!$F8</f>
        <v>4.5641259698767684E-5</v>
      </c>
      <c r="BF8" t="str">
        <f t="shared" si="0"/>
        <v>under 60</v>
      </c>
    </row>
    <row r="9" spans="1:58">
      <c r="A9" s="1">
        <v>1003</v>
      </c>
      <c r="B9" s="1">
        <v>35</v>
      </c>
      <c r="C9" t="s">
        <v>166</v>
      </c>
      <c r="D9">
        <v>321845</v>
      </c>
      <c r="E9">
        <v>314310</v>
      </c>
      <c r="F9">
        <v>309191</v>
      </c>
      <c r="G9">
        <f>Age!G9/Age!$F9</f>
        <v>0.58793755316293161</v>
      </c>
      <c r="H9">
        <f>Age!H9/Age!$F9</f>
        <v>1.076680757201859E-2</v>
      </c>
      <c r="I9">
        <f>Age!I9/Age!$F9</f>
        <v>1.0339886995417073E-2</v>
      </c>
      <c r="J9">
        <f>Age!J9/Age!$F9</f>
        <v>9.6251184542887735E-3</v>
      </c>
      <c r="K9">
        <f>Age!K9/Age!$F9</f>
        <v>9.4925143357989083E-3</v>
      </c>
      <c r="L9">
        <f>Age!L9/Age!$F9</f>
        <v>9.3922526852333998E-3</v>
      </c>
      <c r="M9">
        <f>Age!M9/Age!$F9</f>
        <v>3.7581947728103342E-3</v>
      </c>
      <c r="N9">
        <f>Age!N9/Age!$F9</f>
        <v>1.3163384445213477E-3</v>
      </c>
      <c r="O9">
        <f>Age!O9/Age!$F9</f>
        <v>2.9108221131921693E-5</v>
      </c>
      <c r="P9">
        <f>Age!P9/Age!$F9</f>
        <v>6.4684935848714867E-5</v>
      </c>
      <c r="Q9">
        <f>Age!Q9/Age!$F9</f>
        <v>0.29295160596524478</v>
      </c>
      <c r="R9">
        <f>Age!R9/Age!$F9</f>
        <v>0.11359968433751305</v>
      </c>
      <c r="S9">
        <f>Age!S9/Age!$F9</f>
        <v>0.1677668496172269</v>
      </c>
      <c r="T9">
        <f>Age!T9/Age!$F9</f>
        <v>5.3656154286508984E-3</v>
      </c>
      <c r="U9">
        <f>Age!U9/Age!$F9</f>
        <v>2.9981467765879343E-3</v>
      </c>
      <c r="V9">
        <f>Age!V9/Age!$F9</f>
        <v>8.1147252022212811E-3</v>
      </c>
      <c r="W9">
        <f>Age!W9/Age!$F9</f>
        <v>6.9791811533970904E-2</v>
      </c>
      <c r="X9">
        <f>Age!X9/Age!$F9</f>
        <v>3.6556691494901213E-2</v>
      </c>
      <c r="Y9">
        <f>Age!Y9/Age!$F9</f>
        <v>3.5127154412644614E-2</v>
      </c>
      <c r="Z9">
        <f>Age!Z9/Age!$F9</f>
        <v>4.3196600159771795E-2</v>
      </c>
      <c r="AA9">
        <f>Age!AA9/Age!$F9</f>
        <v>9.2596485667435346E-3</v>
      </c>
      <c r="AB9">
        <f>Age!AB9/Age!$F9</f>
        <v>2.7934189546267519E-2</v>
      </c>
      <c r="AC9">
        <f>Age!AC9/Age!$F9</f>
        <v>1.0252562332021308E-3</v>
      </c>
      <c r="AD9">
        <f>Age!AD9/Age!$F9</f>
        <v>2.0408097260269542E-2</v>
      </c>
      <c r="AE9">
        <f>Age!AE9/Age!$F9</f>
        <v>3.0906462348515965E-2</v>
      </c>
      <c r="AF9">
        <f>Age!AF9/Age!$F9</f>
        <v>3.9457810867716072E-4</v>
      </c>
      <c r="AG9">
        <f>Age!AG9/Age!$F9</f>
        <v>0.26560604933520054</v>
      </c>
      <c r="AH9">
        <f>Age!AH9/Age!$F9</f>
        <v>0.24500389726738489</v>
      </c>
      <c r="AI9">
        <f>Age!AI9/Age!$F9</f>
        <v>1.9987645177252894E-3</v>
      </c>
      <c r="AJ9">
        <f>Age!AJ9/Age!$F9</f>
        <v>2.1054946618756691E-3</v>
      </c>
      <c r="AK9">
        <f>Age!AK9/Age!$F9</f>
        <v>0.23425326092932847</v>
      </c>
      <c r="AL9">
        <f>Age!AL9/Age!$F9</f>
        <v>0.14896940725959035</v>
      </c>
      <c r="AM9">
        <f>Age!AM9/Age!$F9</f>
        <v>4.0428084905446793E-4</v>
      </c>
      <c r="AN9">
        <f>Age!AN9/Age!$F9</f>
        <v>0.1236387863812336</v>
      </c>
      <c r="AO9">
        <f>Age!AO9/Age!$F9</f>
        <v>0.11669485851787406</v>
      </c>
      <c r="AP9">
        <f>Age!AP9/Age!$F9</f>
        <v>4.8060907335595151E-3</v>
      </c>
      <c r="AQ9">
        <f>Age!AQ9/Age!$F9</f>
        <v>1.8438440963676174E-2</v>
      </c>
      <c r="AR9">
        <f>Age!AR9/Age!$F9</f>
        <v>7.7718950422230922E-3</v>
      </c>
      <c r="AS9">
        <f>Age!AS9/Age!$F9</f>
        <v>1.794683545122594E-2</v>
      </c>
      <c r="AT9">
        <f>Age!AT9/Age!$F9</f>
        <v>9.8773897040987605E-3</v>
      </c>
      <c r="AU9">
        <f>Age!AU9/Age!$F9</f>
        <v>7.7815977826003996E-2</v>
      </c>
      <c r="AV9">
        <f>Age!AV9/Age!$F9</f>
        <v>1.2367759734274283E-2</v>
      </c>
      <c r="AW9">
        <f>Age!AW9/Age!$F9</f>
        <v>2.3804056392327075E-3</v>
      </c>
      <c r="AX9">
        <f>Age!AX9/Age!$F9</f>
        <v>2.6478778489671433E-2</v>
      </c>
      <c r="AY9">
        <f>Age!AY9/Age!$F9</f>
        <v>2.8784796452678118E-4</v>
      </c>
      <c r="AZ9">
        <f>Age!AZ9/Age!$F9</f>
        <v>2.5796352416467491E-2</v>
      </c>
      <c r="BA9">
        <f>Age!BA9/Age!$F9</f>
        <v>4.9212299193702277E-2</v>
      </c>
      <c r="BB9">
        <f>Age!BB9/Age!$F9</f>
        <v>2.5485864724393661E-3</v>
      </c>
      <c r="BC9">
        <f>Age!BC9/Age!$F9</f>
        <v>5.3365072075189771E-4</v>
      </c>
      <c r="BF9" t="str">
        <f t="shared" si="0"/>
        <v>under 60</v>
      </c>
    </row>
    <row r="10" spans="1:58">
      <c r="A10" s="1">
        <v>1118</v>
      </c>
      <c r="B10" s="1">
        <v>41</v>
      </c>
      <c r="C10" t="s">
        <v>201</v>
      </c>
      <c r="D10">
        <v>122549</v>
      </c>
      <c r="E10">
        <v>120601</v>
      </c>
      <c r="F10">
        <v>112566</v>
      </c>
      <c r="G10">
        <f>Age!G10/Age!$F10</f>
        <v>0.73427144963843438</v>
      </c>
      <c r="H10">
        <f>Age!H10/Age!$F10</f>
        <v>2.9937991933621164E-3</v>
      </c>
      <c r="I10">
        <f>Age!I10/Age!$F10</f>
        <v>2.9849155162304779E-3</v>
      </c>
      <c r="J10">
        <f>Age!J10/Age!$F10</f>
        <v>2.7805909422027966E-3</v>
      </c>
      <c r="K10">
        <f>Age!K10/Age!$F10</f>
        <v>2.7539399108078818E-3</v>
      </c>
      <c r="L10">
        <f>Age!L10/Age!$F10</f>
        <v>2.7539399108078818E-3</v>
      </c>
      <c r="M10">
        <f>Age!M10/Age!$F10</f>
        <v>8.1729829611072616E-4</v>
      </c>
      <c r="N10">
        <f>Age!N10/Age!$F10</f>
        <v>1.2970168612191958E-3</v>
      </c>
      <c r="O10">
        <f>Age!O10/Age!$F10</f>
        <v>3.5534708526553308E-5</v>
      </c>
      <c r="P10">
        <f>Age!P10/Age!$F10</f>
        <v>8.8836771316383269E-6</v>
      </c>
      <c r="Q10">
        <f>Age!Q10/Age!$F10</f>
        <v>0.22040402963594691</v>
      </c>
      <c r="R10">
        <f>Age!R10/Age!$F10</f>
        <v>3.8137625926123339E-2</v>
      </c>
      <c r="S10">
        <f>Age!S10/Age!$F10</f>
        <v>0.17607448074907164</v>
      </c>
      <c r="T10">
        <f>Age!T10/Age!$F10</f>
        <v>6.2185739921468298E-3</v>
      </c>
      <c r="U10">
        <f>Age!U10/Age!$F10</f>
        <v>4.6994652026366756E-3</v>
      </c>
      <c r="V10">
        <f>Age!V10/Age!$F10</f>
        <v>1.927757937565517E-2</v>
      </c>
      <c r="W10">
        <f>Age!W10/Age!$F10</f>
        <v>5.4323685659968375E-2</v>
      </c>
      <c r="X10">
        <f>Age!X10/Age!$F10</f>
        <v>1.7465309240800954E-2</v>
      </c>
      <c r="Y10">
        <f>Age!Y10/Age!$F10</f>
        <v>1.6585825204768759E-2</v>
      </c>
      <c r="Z10">
        <f>Age!Z10/Age!$F10</f>
        <v>3.3118348346747685E-2</v>
      </c>
      <c r="AA10">
        <f>Age!AA10/Age!$F10</f>
        <v>5.0814633192971231E-3</v>
      </c>
      <c r="AB10">
        <f>Age!AB10/Age!$F10</f>
        <v>2.5211875699589575E-2</v>
      </c>
      <c r="AC10">
        <f>Age!AC10/Age!$F10</f>
        <v>2.4696622425954551E-3</v>
      </c>
      <c r="AD10">
        <f>Age!AD10/Age!$F10</f>
        <v>2.0006040900449513E-2</v>
      </c>
      <c r="AE10">
        <f>Age!AE10/Age!$F10</f>
        <v>7.7145852211147239E-2</v>
      </c>
      <c r="AF10">
        <f>Age!AF10/Age!$F10</f>
        <v>3.9177016150525028E-3</v>
      </c>
      <c r="AG10">
        <f>Age!AG10/Age!$F10</f>
        <v>0.50135031892400905</v>
      </c>
      <c r="AH10">
        <f>Age!AH10/Age!$F10</f>
        <v>0.47297585416555621</v>
      </c>
      <c r="AI10">
        <f>Age!AI10/Age!$F10</f>
        <v>9.2390242169038605E-4</v>
      </c>
      <c r="AJ10">
        <f>Age!AJ10/Age!$F10</f>
        <v>4.9748591937174636E-4</v>
      </c>
      <c r="AK10">
        <f>Age!AK10/Age!$F10</f>
        <v>0.46745020698967715</v>
      </c>
      <c r="AL10">
        <f>Age!AL10/Age!$F10</f>
        <v>0.2923884654336123</v>
      </c>
      <c r="AM10">
        <f>Age!AM10/Age!$F10</f>
        <v>1.4480393724570473E-3</v>
      </c>
      <c r="AN10">
        <f>Age!AN10/Age!$F10</f>
        <v>0.13637332764777996</v>
      </c>
      <c r="AO10">
        <f>Age!AO10/Age!$F10</f>
        <v>6.0417888172272269E-2</v>
      </c>
      <c r="AP10">
        <f>Age!AP10/Age!$F10</f>
        <v>6.6858554092710049E-2</v>
      </c>
      <c r="AQ10">
        <f>Age!AQ10/Age!$F10</f>
        <v>0.13157614199669526</v>
      </c>
      <c r="AR10">
        <f>Age!AR10/Age!$F10</f>
        <v>0.1293108043281275</v>
      </c>
      <c r="AS10">
        <f>Age!AS10/Age!$F10</f>
        <v>1.1193433185864294E-2</v>
      </c>
      <c r="AT10">
        <f>Age!AT10/Age!$F10</f>
        <v>3.473517758470586E-3</v>
      </c>
      <c r="AU10">
        <f>Age!AU10/Age!$F10</f>
        <v>0.13918945329850932</v>
      </c>
      <c r="AV10">
        <f>Age!AV10/Age!$F10</f>
        <v>1.6434802693530905E-2</v>
      </c>
      <c r="AW10">
        <f>Age!AW10/Age!$F10</f>
        <v>2.2564539914361353E-3</v>
      </c>
      <c r="AX10">
        <f>Age!AX10/Age!$F10</f>
        <v>7.2828385125171008E-2</v>
      </c>
      <c r="AY10">
        <f>Age!AY10/Age!$F10</f>
        <v>8.2973544409501981E-3</v>
      </c>
      <c r="AZ10">
        <f>Age!AZ10/Age!$F10</f>
        <v>6.0799886288932715E-2</v>
      </c>
      <c r="BA10">
        <f>Age!BA10/Age!$F10</f>
        <v>5.795710960680845E-2</v>
      </c>
      <c r="BB10">
        <f>Age!BB10/Age!$F10</f>
        <v>5.0308263596467853E-2</v>
      </c>
      <c r="BC10">
        <f>Age!BC10/Age!$F10</f>
        <v>3.1092869960734149E-4</v>
      </c>
      <c r="BF10" t="str">
        <f t="shared" si="0"/>
        <v>under 60</v>
      </c>
    </row>
    <row r="11" spans="1:58">
      <c r="A11" s="1">
        <v>1150</v>
      </c>
      <c r="B11" s="1">
        <v>42</v>
      </c>
      <c r="C11" t="s">
        <v>206</v>
      </c>
      <c r="D11">
        <v>130632</v>
      </c>
      <c r="E11">
        <v>125538</v>
      </c>
      <c r="F11">
        <v>119786</v>
      </c>
      <c r="G11">
        <f>Age!G11/Age!$F11</f>
        <v>0.55981500342277057</v>
      </c>
      <c r="H11">
        <f>Age!H11/Age!$F11</f>
        <v>3.7066101213831331E-3</v>
      </c>
      <c r="I11">
        <f>Age!I11/Age!$F11</f>
        <v>3.639824353430284E-3</v>
      </c>
      <c r="J11">
        <f>Age!J11/Age!$F11</f>
        <v>3.3392883976424625E-3</v>
      </c>
      <c r="K11">
        <f>Age!K11/Age!$F11</f>
        <v>3.3392883976424625E-3</v>
      </c>
      <c r="L11">
        <f>Age!L11/Age!$F11</f>
        <v>3.3142437346601441E-3</v>
      </c>
      <c r="M11">
        <f>Age!M11/Age!$F11</f>
        <v>9.767418563104203E-4</v>
      </c>
      <c r="N11">
        <f>Age!N11/Age!$F11</f>
        <v>1.9618319336149465E-3</v>
      </c>
      <c r="O11">
        <f>Age!O11/Age!$F11</f>
        <v>1.6696441988212313E-5</v>
      </c>
      <c r="P11">
        <f>Age!P11/Age!$F11</f>
        <v>8.3482209941061566E-6</v>
      </c>
      <c r="Q11">
        <f>Age!Q11/Age!$F11</f>
        <v>0.23170487369141635</v>
      </c>
      <c r="R11">
        <f>Age!R11/Age!$F11</f>
        <v>4.4245571268762628E-2</v>
      </c>
      <c r="S11">
        <f>Age!S11/Age!$F11</f>
        <v>0.17887733124071262</v>
      </c>
      <c r="T11">
        <f>Age!T11/Age!$F11</f>
        <v>7.5384435576778585E-3</v>
      </c>
      <c r="U11">
        <f>Age!U11/Age!$F11</f>
        <v>2.99701133688411E-3</v>
      </c>
      <c r="V11">
        <f>Age!V11/Age!$F11</f>
        <v>1.2822867446947056E-2</v>
      </c>
      <c r="W11">
        <f>Age!W11/Age!$F11</f>
        <v>6.8413671046699945E-2</v>
      </c>
      <c r="X11">
        <f>Age!X11/Age!$F11</f>
        <v>1.7314210341776166E-2</v>
      </c>
      <c r="Y11">
        <f>Age!Y11/Age!$F11</f>
        <v>1.6120414739618987E-2</v>
      </c>
      <c r="Z11">
        <f>Age!Z11/Age!$F11</f>
        <v>4.4262267710750841E-2</v>
      </c>
      <c r="AA11">
        <f>Age!AA11/Age!$F11</f>
        <v>1.0702419314444092E-2</v>
      </c>
      <c r="AB11">
        <f>Age!AB11/Age!$F11</f>
        <v>2.9869934716911826E-2</v>
      </c>
      <c r="AC11">
        <f>Age!AC11/Age!$F11</f>
        <v>2.0870552485265392E-3</v>
      </c>
      <c r="AD11">
        <f>Age!AD11/Age!$F11</f>
        <v>2.6864575159033611E-2</v>
      </c>
      <c r="AE11">
        <f>Age!AE11/Age!$F11</f>
        <v>4.9479905832067184E-2</v>
      </c>
      <c r="AF11">
        <f>Age!AF11/Age!$F11</f>
        <v>1.0936169502279065E-3</v>
      </c>
      <c r="AG11">
        <f>Age!AG11/Age!$F11</f>
        <v>0.31941963167648973</v>
      </c>
      <c r="AH11">
        <f>Age!AH11/Age!$F11</f>
        <v>0.28894027682700818</v>
      </c>
      <c r="AI11">
        <f>Age!AI11/Age!$F11</f>
        <v>1.5026797789391081E-3</v>
      </c>
      <c r="AJ11">
        <f>Age!AJ11/Age!$F11</f>
        <v>1.6779924198153373E-3</v>
      </c>
      <c r="AK11">
        <f>Age!AK11/Age!$F11</f>
        <v>0.28013290367822619</v>
      </c>
      <c r="AL11">
        <f>Age!AL11/Age!$F11</f>
        <v>0.11923764045881823</v>
      </c>
      <c r="AM11">
        <f>Age!AM11/Age!$F11</f>
        <v>2.4209840882907853E-4</v>
      </c>
      <c r="AN11">
        <f>Age!AN11/Age!$F11</f>
        <v>5.9489422804000471E-2</v>
      </c>
      <c r="AO11">
        <f>Age!AO11/Age!$F11</f>
        <v>1.5352378408161222E-2</v>
      </c>
      <c r="AP11">
        <f>Age!AP11/Age!$F11</f>
        <v>3.8385120130900105E-2</v>
      </c>
      <c r="AQ11">
        <f>Age!AQ11/Age!$F11</f>
        <v>5.2184729434157584E-2</v>
      </c>
      <c r="AR11">
        <f>Age!AR11/Age!$F11</f>
        <v>5.1708880837493532E-2</v>
      </c>
      <c r="AS11">
        <f>Age!AS11/Age!$F11</f>
        <v>1.2589117259112083E-2</v>
      </c>
      <c r="AT11">
        <f>Age!AT11/Age!$F11</f>
        <v>2.7716093700432438E-3</v>
      </c>
      <c r="AU11">
        <f>Age!AU11/Age!$F11</f>
        <v>0.14677007329738032</v>
      </c>
      <c r="AV11">
        <f>Age!AV11/Age!$F11</f>
        <v>4.80022707161104E-2</v>
      </c>
      <c r="AW11">
        <f>Age!AW11/Age!$F11</f>
        <v>5.1758970163458167E-3</v>
      </c>
      <c r="AX11">
        <f>Age!AX11/Age!$F11</f>
        <v>3.1873507755497306E-2</v>
      </c>
      <c r="AY11">
        <f>Age!AY11/Age!$F11</f>
        <v>1.0326749369709315E-2</v>
      </c>
      <c r="AZ11">
        <f>Age!AZ11/Age!$F11</f>
        <v>1.8733407910774214E-2</v>
      </c>
      <c r="BA11">
        <f>Age!BA11/Age!$F11</f>
        <v>0.11108977676857061</v>
      </c>
      <c r="BB11">
        <f>Age!BB11/Age!$F11</f>
        <v>9.264020837159602E-2</v>
      </c>
      <c r="BC11">
        <f>Age!BC11/Age!$F11</f>
        <v>6.1776835356385559E-4</v>
      </c>
      <c r="BF11" t="str">
        <f t="shared" si="0"/>
        <v>under 60</v>
      </c>
    </row>
    <row r="12" spans="1:58">
      <c r="A12" s="1">
        <v>1186</v>
      </c>
      <c r="B12" s="1">
        <v>42</v>
      </c>
      <c r="C12" t="s">
        <v>224</v>
      </c>
      <c r="D12">
        <v>130376</v>
      </c>
      <c r="E12">
        <v>126147</v>
      </c>
      <c r="F12">
        <v>120112</v>
      </c>
      <c r="G12">
        <f>Age!G12/Age!$F12</f>
        <v>0.78937158651924866</v>
      </c>
      <c r="H12">
        <f>Age!H12/Age!$F12</f>
        <v>9.9906753696549889E-5</v>
      </c>
      <c r="I12">
        <f>Age!I12/Age!$F12</f>
        <v>9.9906753696549889E-5</v>
      </c>
      <c r="J12">
        <f>Age!J12/Age!$F12</f>
        <v>8.3255628080458236E-5</v>
      </c>
      <c r="K12">
        <f>Age!K12/Age!$F12</f>
        <v>8.3255628080458236E-5</v>
      </c>
      <c r="L12">
        <f>Age!L12/Age!$F12</f>
        <v>8.3255628080458236E-5</v>
      </c>
      <c r="M12">
        <f>Age!M12/Age!$F12</f>
        <v>4.1627814040229118E-5</v>
      </c>
      <c r="N12">
        <f>Age!N12/Age!$F12</f>
        <v>2.4976688424137472E-5</v>
      </c>
      <c r="O12">
        <f>Age!O12/Age!$F12</f>
        <v>0</v>
      </c>
      <c r="P12">
        <f>Age!P12/Age!$F12</f>
        <v>0</v>
      </c>
      <c r="Q12">
        <f>Age!Q12/Age!$F12</f>
        <v>0.19956374050885839</v>
      </c>
      <c r="R12">
        <f>Age!R12/Age!$F12</f>
        <v>4.0462235247102706E-2</v>
      </c>
      <c r="S12">
        <f>Age!S12/Age!$F12</f>
        <v>0.15692020780604768</v>
      </c>
      <c r="T12">
        <f>Age!T12/Age!$F12</f>
        <v>1.7317170640735315E-2</v>
      </c>
      <c r="U12">
        <f>Age!U12/Age!$F12</f>
        <v>9.3079792193952304E-3</v>
      </c>
      <c r="V12">
        <f>Age!V12/Age!$F12</f>
        <v>9.7658851738377517E-3</v>
      </c>
      <c r="W12">
        <f>Age!W12/Age!$F12</f>
        <v>1.9706607166644467E-2</v>
      </c>
      <c r="X12">
        <f>Age!X12/Age!$F12</f>
        <v>5.0119888104435857E-3</v>
      </c>
      <c r="Y12">
        <f>Age!Y12/Age!$F12</f>
        <v>4.5957106700412944E-3</v>
      </c>
      <c r="Z12">
        <f>Age!Z12/Age!$F12</f>
        <v>1.0823231650459571E-2</v>
      </c>
      <c r="AA12">
        <f>Age!AA12/Age!$F12</f>
        <v>1.656786998801119E-3</v>
      </c>
      <c r="AB12">
        <f>Age!AB12/Age!$F12</f>
        <v>8.1340748634607697E-3</v>
      </c>
      <c r="AC12">
        <f>Age!AC12/Age!$F12</f>
        <v>3.7465032636206208E-4</v>
      </c>
      <c r="AD12">
        <f>Age!AD12/Age!$F12</f>
        <v>6.5605434927401094E-3</v>
      </c>
      <c r="AE12">
        <f>Age!AE12/Age!$F12</f>
        <v>0.11953843079792194</v>
      </c>
      <c r="AF12">
        <f>Age!AF12/Age!$F12</f>
        <v>2.8306913547355801E-3</v>
      </c>
      <c r="AG12">
        <f>Age!AG12/Age!$F12</f>
        <v>0.58152391101638468</v>
      </c>
      <c r="AH12">
        <f>Age!AH12/Age!$F12</f>
        <v>0.51212201944851476</v>
      </c>
      <c r="AI12">
        <f>Age!AI12/Age!$F12</f>
        <v>4.2460370321033706E-3</v>
      </c>
      <c r="AJ12">
        <f>Age!AJ12/Age!$F12</f>
        <v>4.8038497402424401E-3</v>
      </c>
      <c r="AK12">
        <f>Age!AK12/Age!$F12</f>
        <v>0.49382243239642998</v>
      </c>
      <c r="AL12">
        <f>Age!AL12/Age!$F12</f>
        <v>0.28663247635540162</v>
      </c>
      <c r="AM12">
        <f>Age!AM12/Age!$F12</f>
        <v>1.3320900492873318E-3</v>
      </c>
      <c r="AN12">
        <f>Age!AN12/Age!$F12</f>
        <v>0.13640602104702279</v>
      </c>
      <c r="AO12">
        <f>Age!AO12/Age!$F12</f>
        <v>9.2072399094178761E-2</v>
      </c>
      <c r="AP12">
        <f>Age!AP12/Age!$F12</f>
        <v>3.3701878246969498E-2</v>
      </c>
      <c r="AQ12">
        <f>Age!AQ12/Age!$F12</f>
        <v>0.11999633675236446</v>
      </c>
      <c r="AR12">
        <f>Age!AR12/Age!$F12</f>
        <v>0.10509357932596243</v>
      </c>
      <c r="AS12">
        <f>Age!AS12/Age!$F12</f>
        <v>1.2738111096310111E-2</v>
      </c>
      <c r="AT12">
        <f>Age!AT12/Age!$F12</f>
        <v>3.172039429865459E-3</v>
      </c>
      <c r="AU12">
        <f>Age!AU12/Age!$F12</f>
        <v>0.18396163580658054</v>
      </c>
      <c r="AV12">
        <f>Age!AV12/Age!$F12</f>
        <v>1.0298721193552685E-2</v>
      </c>
      <c r="AW12">
        <f>Age!AW12/Age!$F12</f>
        <v>1.8899027574264019E-3</v>
      </c>
      <c r="AX12">
        <f>Age!AX12/Age!$F12</f>
        <v>7.0392633542027447E-2</v>
      </c>
      <c r="AY12">
        <f>Age!AY12/Age!$F12</f>
        <v>4.3292926601838288E-3</v>
      </c>
      <c r="AZ12">
        <f>Age!AZ12/Age!$F12</f>
        <v>6.3324230717996532E-2</v>
      </c>
      <c r="BA12">
        <f>Age!BA12/Age!$F12</f>
        <v>0.10514353270281071</v>
      </c>
      <c r="BB12">
        <f>Age!BB12/Age!$F12</f>
        <v>6.4056880245104572E-2</v>
      </c>
      <c r="BC12">
        <f>Age!BC12/Age!$F12</f>
        <v>1.7317170640735314E-3</v>
      </c>
      <c r="BF12" t="str">
        <f t="shared" si="0"/>
        <v>under 60</v>
      </c>
    </row>
    <row r="13" spans="1:58">
      <c r="A13" s="1">
        <v>1321</v>
      </c>
      <c r="B13" s="1">
        <v>45</v>
      </c>
      <c r="C13" t="s">
        <v>238</v>
      </c>
      <c r="D13">
        <v>202436</v>
      </c>
      <c r="E13">
        <v>196874</v>
      </c>
      <c r="F13">
        <v>194481</v>
      </c>
      <c r="G13">
        <f>Age!G13/Age!$F13</f>
        <v>0.9045253778004021</v>
      </c>
      <c r="H13">
        <f>Age!H13/Age!$F13</f>
        <v>7.4557411778014299E-4</v>
      </c>
      <c r="I13">
        <f>Age!I13/Age!$F13</f>
        <v>7.352903368452445E-4</v>
      </c>
      <c r="J13">
        <f>Age!J13/Age!$F13</f>
        <v>6.8901332263820113E-4</v>
      </c>
      <c r="K13">
        <f>Age!K13/Age!$F13</f>
        <v>6.8387143217075194E-4</v>
      </c>
      <c r="L13">
        <f>Age!L13/Age!$F13</f>
        <v>6.8387143217075194E-4</v>
      </c>
      <c r="M13">
        <f>Age!M13/Age!$F13</f>
        <v>1.6968238542582566E-4</v>
      </c>
      <c r="N13">
        <f>Age!N13/Age!$F13</f>
        <v>3.5479044225399911E-4</v>
      </c>
      <c r="O13">
        <f>Age!O13/Age!$F13</f>
        <v>0</v>
      </c>
      <c r="P13">
        <f>Age!P13/Age!$F13</f>
        <v>1.5425671402347786E-5</v>
      </c>
      <c r="Q13">
        <f>Age!Q13/Age!$F13</f>
        <v>0.42390773391745207</v>
      </c>
      <c r="R13">
        <f>Age!R13/Age!$F13</f>
        <v>9.2086116381548844E-2</v>
      </c>
      <c r="S13">
        <f>Age!S13/Age!$F13</f>
        <v>0.31993870866562801</v>
      </c>
      <c r="T13">
        <f>Age!T13/Age!$F13</f>
        <v>2.9802397149335923E-2</v>
      </c>
      <c r="U13">
        <f>Age!U13/Age!$F13</f>
        <v>8.3504301191376015E-3</v>
      </c>
      <c r="V13">
        <f>Age!V13/Age!$F13</f>
        <v>1.2988415320776837E-2</v>
      </c>
      <c r="W13">
        <f>Age!W13/Age!$F13</f>
        <v>0.14034790030902761</v>
      </c>
      <c r="X13">
        <f>Age!X13/Age!$F13</f>
        <v>3.5160247016418053E-2</v>
      </c>
      <c r="Y13">
        <f>Age!Y13/Age!$F13</f>
        <v>1.5425671402347786E-5</v>
      </c>
      <c r="Z13">
        <f>Age!Z13/Age!$F13</f>
        <v>2.6984641173173729E-2</v>
      </c>
      <c r="AA13">
        <f>Age!AA13/Age!$F13</f>
        <v>4.859086491739553E-3</v>
      </c>
      <c r="AB13">
        <f>Age!AB13/Age!$F13</f>
        <v>2.0588129431666848E-2</v>
      </c>
      <c r="AC13">
        <f>Age!AC13/Age!$F13</f>
        <v>2.4166885197011534E-3</v>
      </c>
      <c r="AD13">
        <f>Age!AD13/Age!$F13</f>
        <v>1.7071076351931551E-2</v>
      </c>
      <c r="AE13">
        <f>Age!AE13/Age!$F13</f>
        <v>0.13989027205742463</v>
      </c>
      <c r="AF13">
        <f>Age!AF13/Age!$F13</f>
        <v>1.5219995783649816E-3</v>
      </c>
      <c r="AG13">
        <f>Age!AG13/Age!$F13</f>
        <v>0.47744509746453379</v>
      </c>
      <c r="AH13">
        <f>Age!AH13/Age!$F13</f>
        <v>0.44175009383950103</v>
      </c>
      <c r="AI13">
        <f>Age!AI13/Age!$F13</f>
        <v>2.5349520004524862E-3</v>
      </c>
      <c r="AJ13">
        <f>Age!AJ13/Age!$F13</f>
        <v>1.0695132172294465E-3</v>
      </c>
      <c r="AK13">
        <f>Age!AK13/Age!$F13</f>
        <v>0.42963579989819056</v>
      </c>
      <c r="AL13">
        <f>Age!AL13/Age!$F13</f>
        <v>0.31680215548048396</v>
      </c>
      <c r="AM13">
        <f>Age!AM13/Age!$F13</f>
        <v>7.7642546058483857E-4</v>
      </c>
      <c r="AN13">
        <f>Age!AN13/Age!$F13</f>
        <v>0.21863832456641008</v>
      </c>
      <c r="AO13">
        <f>Age!AO13/Age!$F13</f>
        <v>8.321635532519886E-2</v>
      </c>
      <c r="AP13">
        <f>Age!AP13/Age!$F13</f>
        <v>0.11272566471789018</v>
      </c>
      <c r="AQ13">
        <f>Age!AQ13/Age!$F13</f>
        <v>7.5328695348131691E-2</v>
      </c>
      <c r="AR13">
        <f>Age!AR13/Age!$F13</f>
        <v>7.4655107696895845E-2</v>
      </c>
      <c r="AS13">
        <f>Age!AS13/Age!$F13</f>
        <v>1.8356548968793868E-2</v>
      </c>
      <c r="AT13">
        <f>Age!AT13/Age!$F13</f>
        <v>7.3426195875175466E-3</v>
      </c>
      <c r="AU13">
        <f>Age!AU13/Age!$F13</f>
        <v>9.9459587311871087E-2</v>
      </c>
      <c r="AV13">
        <f>Age!AV13/Age!$F13</f>
        <v>7.106092626014881E-3</v>
      </c>
      <c r="AW13">
        <f>Age!AW13/Age!$F13</f>
        <v>2.7869046333575003E-3</v>
      </c>
      <c r="AX13">
        <f>Age!AX13/Age!$F13</f>
        <v>4.8117810994390199E-2</v>
      </c>
      <c r="AY13">
        <f>Age!AY13/Age!$F13</f>
        <v>8.8440516040127308E-3</v>
      </c>
      <c r="AZ13">
        <f>Age!AZ13/Age!$F13</f>
        <v>3.5437909101660316E-2</v>
      </c>
      <c r="BA13">
        <f>Age!BA13/Age!$F13</f>
        <v>4.5197217208879016E-2</v>
      </c>
      <c r="BB13">
        <f>Age!BB13/Age!$F13</f>
        <v>3.3160051624580293E-2</v>
      </c>
      <c r="BC13">
        <f>Age!BC13/Age!$F13</f>
        <v>5.1933093721237555E-4</v>
      </c>
      <c r="BF13" t="str">
        <f t="shared" si="0"/>
        <v>under 60</v>
      </c>
    </row>
    <row r="14" spans="1:58">
      <c r="A14" s="1">
        <v>1300</v>
      </c>
      <c r="B14" s="1">
        <v>46</v>
      </c>
      <c r="C14" t="s">
        <v>234</v>
      </c>
      <c r="D14">
        <v>93789</v>
      </c>
      <c r="E14">
        <v>90800</v>
      </c>
      <c r="F14">
        <v>89845</v>
      </c>
      <c r="G14">
        <f>Age!G14/Age!$F14</f>
        <v>0.91881573821581608</v>
      </c>
      <c r="H14">
        <f>Age!H14/Age!$F14</f>
        <v>1.5025877900829206E-3</v>
      </c>
      <c r="I14">
        <f>Age!I14/Age!$F14</f>
        <v>1.4914575101563805E-3</v>
      </c>
      <c r="J14">
        <f>Age!J14/Age!$F14</f>
        <v>1.391284990817519E-3</v>
      </c>
      <c r="K14">
        <f>Age!K14/Age!$F14</f>
        <v>1.3801547108909789E-3</v>
      </c>
      <c r="L14">
        <f>Age!L14/Age!$F14</f>
        <v>1.3690244309644388E-3</v>
      </c>
      <c r="M14">
        <f>Age!M14/Age!$F14</f>
        <v>4.006900773554455E-4</v>
      </c>
      <c r="N14">
        <f>Age!N14/Age!$F14</f>
        <v>6.9007735544548943E-4</v>
      </c>
      <c r="O14">
        <f>Age!O14/Age!$F14</f>
        <v>0</v>
      </c>
      <c r="P14">
        <f>Age!P14/Age!$F14</f>
        <v>4.4521119706160609E-5</v>
      </c>
      <c r="Q14">
        <f>Age!Q14/Age!$F14</f>
        <v>0.54227836830096277</v>
      </c>
      <c r="R14">
        <f>Age!R14/Age!$F14</f>
        <v>0.1071957259725082</v>
      </c>
      <c r="S14">
        <f>Age!S14/Age!$F14</f>
        <v>0.41002838221381266</v>
      </c>
      <c r="T14">
        <f>Age!T14/Age!$F14</f>
        <v>6.7004285157771714E-3</v>
      </c>
      <c r="U14">
        <f>Age!U14/Age!$F14</f>
        <v>3.6507318159051702E-3</v>
      </c>
      <c r="V14">
        <f>Age!V14/Age!$F14</f>
        <v>1.5304134898992709E-2</v>
      </c>
      <c r="W14">
        <f>Age!W14/Age!$F14</f>
        <v>0.24291835939673884</v>
      </c>
      <c r="X14">
        <f>Age!X14/Age!$F14</f>
        <v>7.3548889754577323E-2</v>
      </c>
      <c r="Y14">
        <f>Age!Y14/Age!$F14</f>
        <v>7.2424731481996768E-2</v>
      </c>
      <c r="Z14">
        <f>Age!Z14/Age!$F14</f>
        <v>6.5446045968056102E-2</v>
      </c>
      <c r="AA14">
        <f>Age!AA14/Age!$F14</f>
        <v>1.0106294173298459E-2</v>
      </c>
      <c r="AB14">
        <f>Age!AB14/Age!$F14</f>
        <v>1.590517001502588E-2</v>
      </c>
      <c r="AC14">
        <f>Age!AC14/Age!$F14</f>
        <v>4.6747175691468643E-4</v>
      </c>
      <c r="AD14">
        <f>Age!AD14/Age!$F14</f>
        <v>1.4435973064722578E-2</v>
      </c>
      <c r="AE14">
        <f>Age!AE14/Age!$F14</f>
        <v>7.3816016472814286E-2</v>
      </c>
      <c r="AF14">
        <f>Age!AF14/Age!$F14</f>
        <v>4.1070732928933165E-3</v>
      </c>
      <c r="AG14">
        <f>Age!AG14/Age!$F14</f>
        <v>0.3667315932995715</v>
      </c>
      <c r="AH14">
        <f>Age!AH14/Age!$F14</f>
        <v>0.34005231231565475</v>
      </c>
      <c r="AI14">
        <f>Age!AI14/Age!$F14</f>
        <v>2.9495241805331403E-3</v>
      </c>
      <c r="AJ14">
        <f>Age!AJ14/Age!$F14</f>
        <v>4.7860203684122653E-4</v>
      </c>
      <c r="AK14">
        <f>Age!AK14/Age!$F14</f>
        <v>0.32404696978129</v>
      </c>
      <c r="AL14">
        <f>Age!AL14/Age!$F14</f>
        <v>0.1493015749346096</v>
      </c>
      <c r="AM14">
        <f>Age!AM14/Age!$F14</f>
        <v>2.5265735433246147E-3</v>
      </c>
      <c r="AN14">
        <f>Age!AN14/Age!$F14</f>
        <v>4.0013356335911847E-2</v>
      </c>
      <c r="AO14">
        <f>Age!AO14/Age!$F14</f>
        <v>9.2937837386610281E-3</v>
      </c>
      <c r="AP14">
        <f>Age!AP14/Age!$F14</f>
        <v>2.8704991930547052E-2</v>
      </c>
      <c r="AQ14">
        <f>Age!AQ14/Age!$F14</f>
        <v>9.6621960042295063E-2</v>
      </c>
      <c r="AR14">
        <f>Age!AR14/Age!$F14</f>
        <v>9.5987534086482279E-2</v>
      </c>
      <c r="AS14">
        <f>Age!AS14/Age!$F14</f>
        <v>1.6005342534364739E-2</v>
      </c>
      <c r="AT14">
        <f>Age!AT14/Age!$F14</f>
        <v>5.1421893260615503E-3</v>
      </c>
      <c r="AU14">
        <f>Age!AU14/Age!$F14</f>
        <v>0.14284601257721632</v>
      </c>
      <c r="AV14">
        <f>Age!AV14/Age!$F14</f>
        <v>1.2065223440369525E-2</v>
      </c>
      <c r="AW14">
        <f>Age!AW14/Age!$F14</f>
        <v>4.9084534476042073E-3</v>
      </c>
      <c r="AX14">
        <f>Age!AX14/Age!$F14</f>
        <v>2.259446825087651E-2</v>
      </c>
      <c r="AY14">
        <f>Age!AY14/Age!$F14</f>
        <v>1.2120874840002226E-2</v>
      </c>
      <c r="AZ14">
        <f>Age!AZ14/Age!$F14</f>
        <v>8.9153542211586629E-3</v>
      </c>
      <c r="BA14">
        <f>Age!BA14/Age!$F14</f>
        <v>0.10678390561522623</v>
      </c>
      <c r="BB14">
        <f>Age!BB14/Age!$F14</f>
        <v>9.379486894095386E-2</v>
      </c>
      <c r="BC14">
        <f>Age!BC14/Age!$F14</f>
        <v>6.4555623573932881E-4</v>
      </c>
      <c r="BF14" t="str">
        <f t="shared" si="0"/>
        <v>under 60</v>
      </c>
    </row>
    <row r="15" spans="1:58">
      <c r="A15" s="1">
        <v>1315</v>
      </c>
      <c r="B15" s="1">
        <v>46</v>
      </c>
      <c r="C15" t="s">
        <v>237</v>
      </c>
      <c r="D15">
        <v>150567</v>
      </c>
      <c r="E15">
        <v>146792</v>
      </c>
      <c r="F15">
        <v>145799</v>
      </c>
      <c r="G15">
        <f>Age!G15/Age!$F15</f>
        <v>0.81231009814882127</v>
      </c>
      <c r="H15">
        <f>Age!H15/Age!$F15</f>
        <v>8.6420345818558422E-4</v>
      </c>
      <c r="I15">
        <f>Age!I15/Age!$F15</f>
        <v>8.5734470058093681E-4</v>
      </c>
      <c r="J15">
        <f>Age!J15/Age!$F15</f>
        <v>8.0933339734840426E-4</v>
      </c>
      <c r="K15">
        <f>Age!K15/Age!$F15</f>
        <v>8.0933339734840426E-4</v>
      </c>
      <c r="L15">
        <f>Age!L15/Age!$F15</f>
        <v>8.0933339734840426E-4</v>
      </c>
      <c r="M15">
        <f>Age!M15/Age!$F15</f>
        <v>3.7037291065096468E-4</v>
      </c>
      <c r="N15">
        <f>Age!N15/Age!$F15</f>
        <v>2.8120906179054727E-4</v>
      </c>
      <c r="O15">
        <f>Age!O15/Age!$F15</f>
        <v>0</v>
      </c>
      <c r="P15">
        <f>Age!P15/Age!$F15</f>
        <v>6.8587576046474943E-6</v>
      </c>
      <c r="Q15">
        <f>Age!Q15/Age!$F15</f>
        <v>0.35702576835232064</v>
      </c>
      <c r="R15">
        <f>Age!R15/Age!$F15</f>
        <v>3.8806850527095524E-2</v>
      </c>
      <c r="S15">
        <f>Age!S15/Age!$F15</f>
        <v>0.31377444289741357</v>
      </c>
      <c r="T15">
        <f>Age!T15/Age!$F15</f>
        <v>7.4074582130192936E-3</v>
      </c>
      <c r="U15">
        <f>Age!U15/Age!$F15</f>
        <v>3.5939889848352869E-3</v>
      </c>
      <c r="V15">
        <f>Age!V15/Age!$F15</f>
        <v>1.3264837207388254E-2</v>
      </c>
      <c r="W15">
        <f>Age!W15/Age!$F15</f>
        <v>0.17344426230632584</v>
      </c>
      <c r="X15">
        <f>Age!X15/Age!$F15</f>
        <v>2.8991968394844959E-2</v>
      </c>
      <c r="Y15">
        <f>Age!Y15/Age!$F15</f>
        <v>2.7496759237031803E-2</v>
      </c>
      <c r="Z15">
        <f>Age!Z15/Age!$F15</f>
        <v>2.7688804449961933E-2</v>
      </c>
      <c r="AA15">
        <f>Age!AA15/Age!$F15</f>
        <v>3.4362375599283944E-3</v>
      </c>
      <c r="AB15">
        <f>Age!AB15/Age!$F15</f>
        <v>2.2098917002174225E-2</v>
      </c>
      <c r="AC15">
        <f>Age!AC15/Age!$F15</f>
        <v>1.0013786102785341E-3</v>
      </c>
      <c r="AD15">
        <f>Age!AD15/Age!$F15</f>
        <v>2.0144171084849689E-2</v>
      </c>
      <c r="AE15">
        <f>Age!AE15/Age!$F15</f>
        <v>0.1004396463624579</v>
      </c>
      <c r="AF15">
        <f>Age!AF15/Age!$F15</f>
        <v>1.8930170988827083E-3</v>
      </c>
      <c r="AG15">
        <f>Age!AG15/Age!$F15</f>
        <v>0.44818551567569048</v>
      </c>
      <c r="AH15">
        <f>Age!AH15/Age!$F15</f>
        <v>0.42203993168677428</v>
      </c>
      <c r="AI15">
        <f>Age!AI15/Age!$F15</f>
        <v>1.6598193403246937E-3</v>
      </c>
      <c r="AJ15">
        <f>Age!AJ15/Age!$F15</f>
        <v>1.289446429673729E-3</v>
      </c>
      <c r="AK15">
        <f>Age!AK15/Age!$F15</f>
        <v>0.41137456361154739</v>
      </c>
      <c r="AL15">
        <f>Age!AL15/Age!$F15</f>
        <v>0.28283458734284872</v>
      </c>
      <c r="AM15">
        <f>Age!AM15/Age!$F15</f>
        <v>1.3717515209294988E-3</v>
      </c>
      <c r="AN15">
        <f>Age!AN15/Age!$F15</f>
        <v>0.17550188958772009</v>
      </c>
      <c r="AO15">
        <f>Age!AO15/Age!$F15</f>
        <v>8.4582198780512902E-2</v>
      </c>
      <c r="AP15">
        <f>Age!AP15/Age!$F15</f>
        <v>7.3059486004705104E-2</v>
      </c>
      <c r="AQ15">
        <f>Age!AQ15/Age!$F15</f>
        <v>7.8923723756678721E-2</v>
      </c>
      <c r="AR15">
        <f>Age!AR15/Age!$F15</f>
        <v>7.4637000253774025E-2</v>
      </c>
      <c r="AS15">
        <f>Age!AS15/Age!$F15</f>
        <v>1.2716136599016454E-2</v>
      </c>
      <c r="AT15">
        <f>Age!AT15/Age!$F15</f>
        <v>6.8107463014149619E-3</v>
      </c>
      <c r="AU15">
        <f>Age!AU15/Age!$F15</f>
        <v>0.104698934834944</v>
      </c>
      <c r="AV15">
        <f>Age!AV15/Age!$F15</f>
        <v>8.5803057634140159E-3</v>
      </c>
      <c r="AW15">
        <f>Age!AW15/Age!$F15</f>
        <v>2.8463844059287099E-3</v>
      </c>
      <c r="AX15">
        <f>Age!AX15/Age!$F15</f>
        <v>5.2833009828599647E-2</v>
      </c>
      <c r="AY15">
        <f>Age!AY15/Age!$F15</f>
        <v>4.1358308356024389E-3</v>
      </c>
      <c r="AZ15">
        <f>Age!AZ15/Age!$F15</f>
        <v>4.5850794587068498E-2</v>
      </c>
      <c r="BA15">
        <f>Age!BA15/Age!$F15</f>
        <v>4.6214308740114812E-2</v>
      </c>
      <c r="BB15">
        <f>Age!BB15/Age!$F15</f>
        <v>2.4677809861521682E-2</v>
      </c>
      <c r="BC15">
        <f>Age!BC15/Age!$F15</f>
        <v>6.8587576046474937E-5</v>
      </c>
      <c r="BF15" t="str">
        <f t="shared" si="0"/>
        <v>under 60</v>
      </c>
    </row>
    <row r="16" spans="1:58">
      <c r="A16" s="1">
        <v>1023</v>
      </c>
      <c r="B16" s="1">
        <v>47</v>
      </c>
      <c r="C16" t="s">
        <v>178</v>
      </c>
      <c r="D16">
        <v>28053</v>
      </c>
      <c r="E16">
        <v>26751</v>
      </c>
      <c r="F16">
        <v>26457</v>
      </c>
      <c r="G16">
        <f>Age!G16/Age!$F16</f>
        <v>0.74660770306535129</v>
      </c>
      <c r="H16">
        <f>Age!H16/Age!$F16</f>
        <v>4.1576898363382088E-3</v>
      </c>
      <c r="I16">
        <f>Age!I16/Age!$F16</f>
        <v>4.1198926560078617E-3</v>
      </c>
      <c r="J16">
        <f>Age!J16/Age!$F16</f>
        <v>3.8553123936954305E-3</v>
      </c>
      <c r="K16">
        <f>Age!K16/Age!$F16</f>
        <v>3.8553123936954305E-3</v>
      </c>
      <c r="L16">
        <f>Age!L16/Age!$F16</f>
        <v>3.7797180330347356E-3</v>
      </c>
      <c r="M16">
        <f>Age!M16/Age!$F16</f>
        <v>4.9136334429451562E-4</v>
      </c>
      <c r="N16">
        <f>Age!N16/Age!$F16</f>
        <v>2.7213969837850097E-3</v>
      </c>
      <c r="O16">
        <f>Age!O16/Age!$F16</f>
        <v>0</v>
      </c>
      <c r="P16">
        <f>Age!P16/Age!$F16</f>
        <v>1.1339154099104207E-4</v>
      </c>
      <c r="Q16">
        <f>Age!Q16/Age!$F16</f>
        <v>0.20338662735759913</v>
      </c>
      <c r="R16">
        <f>Age!R16/Age!$F16</f>
        <v>7.6803870431265825E-2</v>
      </c>
      <c r="S16">
        <f>Age!S16/Age!$F16</f>
        <v>0.10632346826926711</v>
      </c>
      <c r="T16">
        <f>Age!T16/Age!$F16</f>
        <v>6.6901009184714821E-3</v>
      </c>
      <c r="U16">
        <f>Age!U16/Age!$F16</f>
        <v>4.8002419019541141E-3</v>
      </c>
      <c r="V16">
        <f>Age!V16/Age!$F16</f>
        <v>9.4870922629171871E-3</v>
      </c>
      <c r="W16">
        <f>Age!W16/Age!$F16</f>
        <v>5.5410666364289221E-2</v>
      </c>
      <c r="X16">
        <f>Age!X16/Age!$F16</f>
        <v>2.3963412329440225E-2</v>
      </c>
      <c r="Y16">
        <f>Age!Y16/Age!$F16</f>
        <v>2.1960161771931812E-2</v>
      </c>
      <c r="Z16">
        <f>Age!Z16/Age!$F16</f>
        <v>8.2775824923460705E-3</v>
      </c>
      <c r="AA16">
        <f>Age!AA16/Age!$F16</f>
        <v>1.1339154099104206E-3</v>
      </c>
      <c r="AB16">
        <f>Age!AB16/Age!$F16</f>
        <v>5.5561855085610613E-3</v>
      </c>
      <c r="AC16">
        <f>Age!AC16/Age!$F16</f>
        <v>1.5118872132138942E-3</v>
      </c>
      <c r="AD16">
        <f>Age!AD16/Age!$F16</f>
        <v>3.4773405903919569E-3</v>
      </c>
      <c r="AE16">
        <f>Age!AE16/Age!$F16</f>
        <v>3.5907321313829989E-2</v>
      </c>
      <c r="AF16">
        <f>Age!AF16/Age!$F16</f>
        <v>6.0475488528555774E-4</v>
      </c>
      <c r="AG16">
        <f>Age!AG16/Age!$F16</f>
        <v>0.5316551385266659</v>
      </c>
      <c r="AH16">
        <f>Age!AH16/Age!$F16</f>
        <v>0.49223267944211363</v>
      </c>
      <c r="AI16">
        <f>Age!AI16/Age!$F16</f>
        <v>6.3877234758287034E-3</v>
      </c>
      <c r="AJ16">
        <f>Age!AJ16/Age!$F16</f>
        <v>1.3606984918925048E-3</v>
      </c>
      <c r="AK16">
        <f>Age!AK16/Age!$F16</f>
        <v>0.47254034849000265</v>
      </c>
      <c r="AL16">
        <f>Age!AL16/Age!$F16</f>
        <v>0.36402464376157539</v>
      </c>
      <c r="AM16">
        <f>Age!AM16/Age!$F16</f>
        <v>1.2851041312318102E-3</v>
      </c>
      <c r="AN16">
        <f>Age!AN16/Age!$F16</f>
        <v>0.24757153116377517</v>
      </c>
      <c r="AO16">
        <f>Age!AO16/Age!$F16</f>
        <v>5.6544581774199645E-2</v>
      </c>
      <c r="AP16">
        <f>Age!AP16/Age!$F16</f>
        <v>0.17677741240503458</v>
      </c>
      <c r="AQ16">
        <f>Age!AQ16/Age!$F16</f>
        <v>8.4514495218656685E-2</v>
      </c>
      <c r="AR16">
        <f>Age!AR16/Age!$F16</f>
        <v>8.3342782628415921E-2</v>
      </c>
      <c r="AS16">
        <f>Age!AS16/Age!$F16</f>
        <v>4.588577692104169E-2</v>
      </c>
      <c r="AT16">
        <f>Age!AT16/Age!$F16</f>
        <v>3.326151869070567E-2</v>
      </c>
      <c r="AU16">
        <f>Age!AU16/Age!$F16</f>
        <v>9.1431379219110251E-2</v>
      </c>
      <c r="AV16">
        <f>Age!AV16/Age!$F16</f>
        <v>2.2186944853913898E-2</v>
      </c>
      <c r="AW16">
        <f>Age!AW16/Age!$F16</f>
        <v>9.6382809842385751E-3</v>
      </c>
      <c r="AX16">
        <f>Age!AX16/Age!$F16</f>
        <v>3.2014211739804212E-2</v>
      </c>
      <c r="AY16">
        <f>Age!AY16/Age!$F16</f>
        <v>1.7802471935593606E-2</v>
      </c>
      <c r="AZ16">
        <f>Age!AZ16/Age!$F16</f>
        <v>1.2926635672978797E-2</v>
      </c>
      <c r="BA16">
        <f>Age!BA16/Age!$F16</f>
        <v>5.1819934232906227E-2</v>
      </c>
      <c r="BB16">
        <f>Age!BB16/Age!$F16</f>
        <v>4.2068261707676607E-2</v>
      </c>
      <c r="BC16">
        <f>Age!BC16/Age!$F16</f>
        <v>1.6630759345352838E-3</v>
      </c>
      <c r="BF16" t="str">
        <f t="shared" si="0"/>
        <v>under 60</v>
      </c>
    </row>
    <row r="17" spans="1:58">
      <c r="A17" s="1">
        <v>1146</v>
      </c>
      <c r="B17" s="1">
        <v>47</v>
      </c>
      <c r="C17" t="s">
        <v>204</v>
      </c>
      <c r="D17">
        <v>120485</v>
      </c>
      <c r="E17">
        <v>116000</v>
      </c>
      <c r="F17">
        <v>110462</v>
      </c>
      <c r="G17">
        <f>Age!G17/Age!$F17</f>
        <v>0.62471257083884046</v>
      </c>
      <c r="H17">
        <f>Age!H17/Age!$F17</f>
        <v>1.4575148014701889E-3</v>
      </c>
      <c r="I17">
        <f>Age!I17/Age!$F17</f>
        <v>1.4213032536075755E-3</v>
      </c>
      <c r="J17">
        <f>Age!J17/Age!$F17</f>
        <v>1.385091705744962E-3</v>
      </c>
      <c r="K17">
        <f>Age!K17/Age!$F17</f>
        <v>1.385091705744962E-3</v>
      </c>
      <c r="L17">
        <f>Age!L17/Age!$F17</f>
        <v>1.385091705744962E-3</v>
      </c>
      <c r="M17">
        <f>Age!M17/Age!$F17</f>
        <v>9.0528869656533468E-4</v>
      </c>
      <c r="N17">
        <f>Age!N17/Age!$F17</f>
        <v>2.8063949593525375E-4</v>
      </c>
      <c r="O17">
        <f>Age!O17/Age!$F17</f>
        <v>9.0528869656533464E-6</v>
      </c>
      <c r="P17">
        <f>Age!P17/Age!$F17</f>
        <v>0</v>
      </c>
      <c r="Q17">
        <f>Age!Q17/Age!$F17</f>
        <v>0.41746482953413844</v>
      </c>
      <c r="R17">
        <f>Age!R17/Age!$F17</f>
        <v>2.5067444007894117E-2</v>
      </c>
      <c r="S17">
        <f>Age!S17/Age!$F17</f>
        <v>0.38516412884068729</v>
      </c>
      <c r="T17">
        <f>Age!T17/Age!$F17</f>
        <v>1.5724864659339862E-2</v>
      </c>
      <c r="U17">
        <f>Age!U17/Age!$F17</f>
        <v>1.3959551701037461E-2</v>
      </c>
      <c r="V17">
        <f>Age!V17/Age!$F17</f>
        <v>1.4149662327316181E-2</v>
      </c>
      <c r="W17">
        <f>Age!W17/Age!$F17</f>
        <v>0.2193514511777806</v>
      </c>
      <c r="X17">
        <f>Age!X17/Age!$F17</f>
        <v>9.4647933225905742E-2</v>
      </c>
      <c r="Y17">
        <f>Age!Y17/Age!$F17</f>
        <v>9.338052905071427E-2</v>
      </c>
      <c r="Z17">
        <f>Age!Z17/Age!$F17</f>
        <v>5.6308956926363819E-2</v>
      </c>
      <c r="AA17">
        <f>Age!AA17/Age!$F17</f>
        <v>5.6490014665676888E-3</v>
      </c>
      <c r="AB17">
        <f>Age!AB17/Age!$F17</f>
        <v>4.1163477032825767E-2</v>
      </c>
      <c r="AC17">
        <f>Age!AC17/Age!$F17</f>
        <v>1.3488801578823487E-3</v>
      </c>
      <c r="AD17">
        <f>Age!AD17/Age!$F17</f>
        <v>3.5134254313700639E-2</v>
      </c>
      <c r="AE17">
        <f>Age!AE17/Age!$F17</f>
        <v>7.0983686697687898E-2</v>
      </c>
      <c r="AF17">
        <f>Age!AF17/Age!$F17</f>
        <v>7.4233673118357442E-4</v>
      </c>
      <c r="AG17">
        <f>Age!AG17/Age!$F17</f>
        <v>0.19872897467002226</v>
      </c>
      <c r="AH17">
        <f>Age!AH17/Age!$F17</f>
        <v>0.18220745595770491</v>
      </c>
      <c r="AI17">
        <f>Age!AI17/Age!$F17</f>
        <v>2.3628034980355235E-3</v>
      </c>
      <c r="AJ17">
        <f>Age!AJ17/Age!$F17</f>
        <v>1.9192120367185095E-3</v>
      </c>
      <c r="AK17">
        <f>Age!AK17/Age!$F17</f>
        <v>0.16994984700621027</v>
      </c>
      <c r="AL17">
        <f>Age!AL17/Age!$F17</f>
        <v>6.2854194202531188E-2</v>
      </c>
      <c r="AM17">
        <f>Age!AM17/Age!$F17</f>
        <v>3.4400970469482717E-4</v>
      </c>
      <c r="AN17">
        <f>Age!AN17/Age!$F17</f>
        <v>3.2871032572287302E-2</v>
      </c>
      <c r="AO17">
        <f>Age!AO17/Age!$F17</f>
        <v>1.1660118411761511E-2</v>
      </c>
      <c r="AP17">
        <f>Age!AP17/Age!$F17</f>
        <v>1.8947692419112455E-2</v>
      </c>
      <c r="AQ17">
        <f>Age!AQ17/Age!$F17</f>
        <v>2.6733175209574335E-2</v>
      </c>
      <c r="AR17">
        <f>Age!AR17/Age!$F17</f>
        <v>2.6208107765566438E-2</v>
      </c>
      <c r="AS17">
        <f>Age!AS17/Age!$F17</f>
        <v>9.8223823577338817E-3</v>
      </c>
      <c r="AT17">
        <f>Age!AT17/Age!$F17</f>
        <v>4.6803425612427802E-3</v>
      </c>
      <c r="AU17">
        <f>Age!AU17/Age!$F17</f>
        <v>9.8667415038655823E-2</v>
      </c>
      <c r="AV17">
        <f>Age!AV17/Age!$F17</f>
        <v>2.3736669623943076E-2</v>
      </c>
      <c r="AW17">
        <f>Age!AW17/Age!$F17</f>
        <v>4.9790878311093412E-3</v>
      </c>
      <c r="AX17">
        <f>Age!AX17/Age!$F17</f>
        <v>3.0182325143488259E-2</v>
      </c>
      <c r="AY17">
        <f>Age!AY17/Age!$F17</f>
        <v>9.4874255400047083E-3</v>
      </c>
      <c r="AZ17">
        <f>Age!AZ17/Age!$F17</f>
        <v>1.9146855932356828E-2</v>
      </c>
      <c r="BA17">
        <f>Age!BA17/Age!$F17</f>
        <v>6.4203074360413531E-2</v>
      </c>
      <c r="BB17">
        <f>Age!BB17/Age!$F17</f>
        <v>3.4020749216925279E-2</v>
      </c>
      <c r="BC17">
        <f>Age!BC17/Age!$F17</f>
        <v>2.6253372200394704E-4</v>
      </c>
      <c r="BF17" t="str">
        <f t="shared" si="0"/>
        <v>under 60</v>
      </c>
    </row>
    <row r="18" spans="1:58">
      <c r="A18" s="1">
        <v>1245</v>
      </c>
      <c r="B18" s="1">
        <v>47</v>
      </c>
      <c r="C18" t="s">
        <v>232</v>
      </c>
      <c r="D18">
        <v>41053</v>
      </c>
      <c r="E18">
        <v>38077</v>
      </c>
      <c r="F18">
        <v>36555</v>
      </c>
      <c r="G18">
        <f>Age!G18/Age!$F18</f>
        <v>0.75486253590480101</v>
      </c>
      <c r="H18">
        <f>Age!H18/Age!$F18</f>
        <v>1.8328546026535357E-3</v>
      </c>
      <c r="I18">
        <f>Age!I18/Age!$F18</f>
        <v>1.7781425249623855E-3</v>
      </c>
      <c r="J18">
        <f>Age!J18/Age!$F18</f>
        <v>1.5866502530433593E-3</v>
      </c>
      <c r="K18">
        <f>Age!K18/Age!$F18</f>
        <v>1.5592942141977842E-3</v>
      </c>
      <c r="L18">
        <f>Age!L18/Age!$F18</f>
        <v>1.5319381753522089E-3</v>
      </c>
      <c r="M18">
        <f>Age!M18/Age!$F18</f>
        <v>3.8298454383805223E-4</v>
      </c>
      <c r="N18">
        <f>Age!N18/Age!$F18</f>
        <v>9.848173984407058E-4</v>
      </c>
      <c r="O18">
        <f>Age!O18/Age!$F18</f>
        <v>0</v>
      </c>
      <c r="P18">
        <f>Age!P18/Age!$F18</f>
        <v>0</v>
      </c>
      <c r="Q18">
        <f>Age!Q18/Age!$F18</f>
        <v>0.40470523868143893</v>
      </c>
      <c r="R18">
        <f>Age!R18/Age!$F18</f>
        <v>8.5897961975106005E-2</v>
      </c>
      <c r="S18">
        <f>Age!S18/Age!$F18</f>
        <v>0.30969771577075639</v>
      </c>
      <c r="T18">
        <f>Age!T18/Age!$F18</f>
        <v>8.6171522363561754E-3</v>
      </c>
      <c r="U18">
        <f>Age!U18/Age!$F18</f>
        <v>1.5045821365066339E-3</v>
      </c>
      <c r="V18">
        <f>Age!V18/Age!$F18</f>
        <v>1.2966762412802627E-2</v>
      </c>
      <c r="W18">
        <f>Age!W18/Age!$F18</f>
        <v>0.18730679797565314</v>
      </c>
      <c r="X18">
        <f>Age!X18/Age!$F18</f>
        <v>3.8024893995349474E-2</v>
      </c>
      <c r="Y18">
        <f>Age!Y18/Age!$F18</f>
        <v>3.7094788674599921E-2</v>
      </c>
      <c r="Z18">
        <f>Age!Z18/Age!$F18</f>
        <v>3.8106962111886196E-2</v>
      </c>
      <c r="AA18">
        <f>Age!AA18/Age!$F18</f>
        <v>4.4043222541376012E-3</v>
      </c>
      <c r="AB18">
        <f>Age!AB18/Age!$F18</f>
        <v>3.1213240322801258E-2</v>
      </c>
      <c r="AC18">
        <f>Age!AC18/Age!$F18</f>
        <v>5.4438517302694573E-3</v>
      </c>
      <c r="AD18">
        <f>Age!AD18/Age!$F18</f>
        <v>2.4237450417179594E-2</v>
      </c>
      <c r="AE18">
        <f>Age!AE18/Age!$F18</f>
        <v>6.0128573382574206E-2</v>
      </c>
      <c r="AF18">
        <f>Age!AF18/Age!$F18</f>
        <v>2.708247845711941E-3</v>
      </c>
      <c r="AG18">
        <f>Age!AG18/Age!$F18</f>
        <v>0.34137600875393243</v>
      </c>
      <c r="AH18">
        <f>Age!AH18/Age!$F18</f>
        <v>0.31546983996717276</v>
      </c>
      <c r="AI18">
        <f>Age!AI18/Age!$F18</f>
        <v>1.6960744084256599E-3</v>
      </c>
      <c r="AJ18">
        <f>Age!AJ18/Age!$F18</f>
        <v>4.103405826836274E-4</v>
      </c>
      <c r="AK18">
        <f>Age!AK18/Age!$F18</f>
        <v>0.30720831623580908</v>
      </c>
      <c r="AL18">
        <f>Age!AL18/Age!$F18</f>
        <v>0.24138968677335521</v>
      </c>
      <c r="AM18">
        <f>Age!AM18/Age!$F18</f>
        <v>4.924086992203529E-4</v>
      </c>
      <c r="AN18">
        <f>Age!AN18/Age!$F18</f>
        <v>0.13169197100259883</v>
      </c>
      <c r="AO18">
        <f>Age!AO18/Age!$F18</f>
        <v>5.5943099439201206E-2</v>
      </c>
      <c r="AP18">
        <f>Age!AP18/Age!$F18</f>
        <v>6.4450827520175072E-2</v>
      </c>
      <c r="AQ18">
        <f>Age!AQ18/Age!$F18</f>
        <v>9.4733962522226781E-2</v>
      </c>
      <c r="AR18">
        <f>Age!AR18/Age!$F18</f>
        <v>9.3147312269183422E-2</v>
      </c>
      <c r="AS18">
        <f>Age!AS18/Age!$F18</f>
        <v>1.1243331965531391E-2</v>
      </c>
      <c r="AT18">
        <f>Age!AT18/Age!$F18</f>
        <v>5.1155792641225549E-3</v>
      </c>
      <c r="AU18">
        <f>Age!AU18/Age!$F18</f>
        <v>5.6326083983039253E-2</v>
      </c>
      <c r="AV18">
        <f>Age!AV18/Age!$F18</f>
        <v>8.1520995759813975E-3</v>
      </c>
      <c r="AW18">
        <f>Age!AW18/Age!$F18</f>
        <v>2.4893995349473397E-3</v>
      </c>
      <c r="AX18">
        <f>Age!AX18/Age!$F18</f>
        <v>2.5495828204076049E-2</v>
      </c>
      <c r="AY18">
        <f>Age!AY18/Age!$F18</f>
        <v>5.6353440021884834E-3</v>
      </c>
      <c r="AZ18">
        <f>Age!AZ18/Age!$F18</f>
        <v>1.849268225960881E-2</v>
      </c>
      <c r="BA18">
        <f>Age!BA18/Age!$F18</f>
        <v>2.8286144166324717E-2</v>
      </c>
      <c r="BB18">
        <f>Age!BB18/Age!$F18</f>
        <v>1.8109697715770756E-2</v>
      </c>
      <c r="BC18">
        <f>Age!BC18/Age!$F18</f>
        <v>1.9149227191902612E-4</v>
      </c>
      <c r="BF18" t="str">
        <f t="shared" si="0"/>
        <v>under 60</v>
      </c>
    </row>
    <row r="19" spans="1:58">
      <c r="A19" s="1">
        <v>1309</v>
      </c>
      <c r="B19" s="1">
        <v>47</v>
      </c>
      <c r="C19" t="s">
        <v>236</v>
      </c>
      <c r="D19">
        <v>23831</v>
      </c>
      <c r="E19">
        <v>22120</v>
      </c>
      <c r="F19">
        <v>20852</v>
      </c>
      <c r="G19">
        <f>Age!G19/Age!$F19</f>
        <v>0.62104354498369463</v>
      </c>
      <c r="H19">
        <f>Age!H19/Age!$F19</f>
        <v>1.0886245923652407E-2</v>
      </c>
      <c r="I19">
        <f>Age!I19/Age!$F19</f>
        <v>1.0886245923652407E-2</v>
      </c>
      <c r="J19">
        <f>Age!J19/Age!$F19</f>
        <v>1.0070976405140994E-2</v>
      </c>
      <c r="K19">
        <f>Age!K19/Age!$F19</f>
        <v>1.0070976405140994E-2</v>
      </c>
      <c r="L19">
        <f>Age!L19/Age!$F19</f>
        <v>1.0070976405140994E-2</v>
      </c>
      <c r="M19">
        <f>Age!M19/Age!$F19</f>
        <v>1.3907538845194705E-3</v>
      </c>
      <c r="N19">
        <f>Age!N19/Age!$F19</f>
        <v>7.2415116056013815E-3</v>
      </c>
      <c r="O19">
        <f>Age!O19/Age!$F19</f>
        <v>5.7548436600805678E-4</v>
      </c>
      <c r="P19">
        <f>Age!P19/Age!$F19</f>
        <v>0</v>
      </c>
      <c r="Q19">
        <f>Age!Q19/Age!$F19</f>
        <v>0.30529445616727413</v>
      </c>
      <c r="R19">
        <f>Age!R19/Age!$F19</f>
        <v>3.7262612699021674E-2</v>
      </c>
      <c r="S19">
        <f>Age!S19/Age!$F19</f>
        <v>0.25513140226357184</v>
      </c>
      <c r="T19">
        <f>Age!T19/Age!$F19</f>
        <v>8.1526951851141373E-3</v>
      </c>
      <c r="U19">
        <f>Age!U19/Age!$F19</f>
        <v>7.5292537886054098E-3</v>
      </c>
      <c r="V19">
        <f>Age!V19/Age!$F19</f>
        <v>1.7120659888739689E-2</v>
      </c>
      <c r="W19">
        <f>Age!W19/Age!$F19</f>
        <v>0.10425858430845962</v>
      </c>
      <c r="X19">
        <f>Age!X19/Age!$F19</f>
        <v>5.7068866295798965E-3</v>
      </c>
      <c r="Y19">
        <f>Age!Y19/Age!$F19</f>
        <v>4.316132745060426E-3</v>
      </c>
      <c r="Z19">
        <f>Age!Z19/Age!$F19</f>
        <v>5.3711874160751967E-2</v>
      </c>
      <c r="AA19">
        <f>Age!AA19/Age!$F19</f>
        <v>7.0017264530980242E-3</v>
      </c>
      <c r="AB19">
        <f>Age!AB19/Age!$F19</f>
        <v>4.1434874352580087E-2</v>
      </c>
      <c r="AC19">
        <f>Age!AC19/Age!$F19</f>
        <v>8.6322654901208517E-4</v>
      </c>
      <c r="AD19">
        <f>Age!AD19/Age!$F19</f>
        <v>3.8605409553040475E-2</v>
      </c>
      <c r="AE19">
        <f>Age!AE19/Age!$F19</f>
        <v>7.8457701899098412E-2</v>
      </c>
      <c r="AF19">
        <f>Age!AF19/Age!$F19</f>
        <v>3.8365624400537121E-4</v>
      </c>
      <c r="AG19">
        <f>Age!AG19/Age!$F19</f>
        <v>0.29584692115864186</v>
      </c>
      <c r="AH19">
        <f>Age!AH19/Age!$F19</f>
        <v>0.26803184346825243</v>
      </c>
      <c r="AI19">
        <f>Age!AI19/Age!$F19</f>
        <v>1.9182812200268559E-3</v>
      </c>
      <c r="AJ19">
        <f>Age!AJ19/Age!$F19</f>
        <v>2.541722616535584E-3</v>
      </c>
      <c r="AK19">
        <f>Age!AK19/Age!$F19</f>
        <v>0.25340494916554768</v>
      </c>
      <c r="AL19">
        <f>Age!AL19/Age!$F19</f>
        <v>0.13547861116439669</v>
      </c>
      <c r="AM19">
        <f>Age!AM19/Age!$F19</f>
        <v>9.1118357951275656E-4</v>
      </c>
      <c r="AN19">
        <f>Age!AN19/Age!$F19</f>
        <v>3.9756378285056591E-2</v>
      </c>
      <c r="AO19">
        <f>Age!AO19/Age!$F19</f>
        <v>1.7024745827738347E-2</v>
      </c>
      <c r="AP19">
        <f>Age!AP19/Age!$F19</f>
        <v>2.0285823901784003E-2</v>
      </c>
      <c r="AQ19">
        <f>Age!AQ19/Age!$F19</f>
        <v>9.1454057164780361E-2</v>
      </c>
      <c r="AR19">
        <f>Age!AR19/Age!$F19</f>
        <v>9.0878572798772303E-2</v>
      </c>
      <c r="AS19">
        <f>Age!AS19/Age!$F19</f>
        <v>2.5129483982351812E-2</v>
      </c>
      <c r="AT19">
        <f>Age!AT19/Age!$F19</f>
        <v>3.2610780740456552E-3</v>
      </c>
      <c r="AU19">
        <f>Age!AU19/Age!$F19</f>
        <v>9.8168041434874356E-2</v>
      </c>
      <c r="AV19">
        <f>Age!AV19/Age!$F19</f>
        <v>2.0717437176290043E-2</v>
      </c>
      <c r="AW19">
        <f>Age!AW19/Age!$F19</f>
        <v>3.3569921350469979E-3</v>
      </c>
      <c r="AX19">
        <f>Age!AX19/Age!$F19</f>
        <v>2.7575292537886053E-2</v>
      </c>
      <c r="AY19">
        <f>Age!AY19/Age!$F19</f>
        <v>2.6855937080375982E-3</v>
      </c>
      <c r="AZ19">
        <f>Age!AZ19/Age!$F19</f>
        <v>2.4122386341837714E-2</v>
      </c>
      <c r="BA19">
        <f>Age!BA19/Age!$F19</f>
        <v>6.766737003644735E-2</v>
      </c>
      <c r="BB19">
        <f>Age!BB19/Age!$F19</f>
        <v>4.2489929023594858E-2</v>
      </c>
      <c r="BC19">
        <f>Age!BC19/Age!$F19</f>
        <v>1.1030117015154422E-3</v>
      </c>
      <c r="BF19" t="str">
        <f t="shared" si="0"/>
        <v>under 60</v>
      </c>
    </row>
    <row r="20" spans="1:58">
      <c r="A20" s="1">
        <v>1061</v>
      </c>
      <c r="B20" s="1">
        <v>49</v>
      </c>
      <c r="C20" t="s">
        <v>189</v>
      </c>
      <c r="D20">
        <v>162753</v>
      </c>
      <c r="E20">
        <v>158102</v>
      </c>
      <c r="F20">
        <v>148260</v>
      </c>
      <c r="G20">
        <f>Age!G20/Age!$F20</f>
        <v>0.77994064481316605</v>
      </c>
      <c r="H20">
        <f>Age!H20/Age!$F20</f>
        <v>1.2815324430055309E-4</v>
      </c>
      <c r="I20">
        <f>Age!I20/Age!$F20</f>
        <v>9.4428706326723318E-5</v>
      </c>
      <c r="J20">
        <f>Age!J20/Age!$F20</f>
        <v>5.3959260758127611E-5</v>
      </c>
      <c r="K20">
        <f>Age!K20/Age!$F20</f>
        <v>5.3959260758127611E-5</v>
      </c>
      <c r="L20">
        <f>Age!L20/Age!$F20</f>
        <v>5.3959260758127611E-5</v>
      </c>
      <c r="M20">
        <f>Age!M20/Age!$F20</f>
        <v>6.7449075947659514E-6</v>
      </c>
      <c r="N20">
        <f>Age!N20/Age!$F20</f>
        <v>2.6979630379063805E-5</v>
      </c>
      <c r="O20">
        <f>Age!O20/Age!$F20</f>
        <v>0</v>
      </c>
      <c r="P20">
        <f>Age!P20/Age!$F20</f>
        <v>0</v>
      </c>
      <c r="Q20">
        <f>Age!Q20/Age!$F20</f>
        <v>0.35663024416565492</v>
      </c>
      <c r="R20">
        <f>Age!R20/Age!$F20</f>
        <v>5.9699177121273442E-2</v>
      </c>
      <c r="S20">
        <f>Age!S20/Age!$F20</f>
        <v>0.28932955618508027</v>
      </c>
      <c r="T20">
        <f>Age!T20/Age!$F20</f>
        <v>1.4299204100903818E-2</v>
      </c>
      <c r="U20">
        <f>Age!U20/Age!$F20</f>
        <v>1.1000944287063268E-2</v>
      </c>
      <c r="V20">
        <f>Age!V20/Age!$F20</f>
        <v>3.52219074598678E-2</v>
      </c>
      <c r="W20">
        <f>Age!W20/Age!$F20</f>
        <v>0.14674895453932282</v>
      </c>
      <c r="X20">
        <f>Age!X20/Age!$F20</f>
        <v>4.6114933225414809E-2</v>
      </c>
      <c r="Y20">
        <f>Age!Y20/Age!$F20</f>
        <v>4.4381491973559964E-2</v>
      </c>
      <c r="Z20">
        <f>Age!Z20/Age!$F20</f>
        <v>2.2453797382975853E-2</v>
      </c>
      <c r="AA20">
        <f>Age!AA20/Age!$F20</f>
        <v>3.8108727910427628E-3</v>
      </c>
      <c r="AB20">
        <f>Age!AB20/Age!$F20</f>
        <v>1.6720625927424793E-2</v>
      </c>
      <c r="AC20">
        <f>Age!AC20/Age!$F20</f>
        <v>7.0079589909618238E-3</v>
      </c>
      <c r="AD20">
        <f>Age!AD20/Age!$F20</f>
        <v>8.0938891137191417E-3</v>
      </c>
      <c r="AE20">
        <f>Age!AE20/Age!$F20</f>
        <v>0.10666396870362876</v>
      </c>
      <c r="AF20">
        <f>Age!AF20/Age!$F20</f>
        <v>3.7096991771212734E-4</v>
      </c>
      <c r="AG20">
        <f>Age!AG20/Age!$F20</f>
        <v>0.41995818157291243</v>
      </c>
      <c r="AH20">
        <f>Age!AH20/Age!$F20</f>
        <v>0.39414542020774318</v>
      </c>
      <c r="AI20">
        <f>Age!AI20/Age!$F20</f>
        <v>2.360717658168083E-3</v>
      </c>
      <c r="AJ20">
        <f>Age!AJ20/Age!$F20</f>
        <v>7.6217455820855253E-4</v>
      </c>
      <c r="AK20">
        <f>Age!AK20/Age!$F20</f>
        <v>0.3830028328611898</v>
      </c>
      <c r="AL20">
        <f>Age!AL20/Age!$F20</f>
        <v>0.28256441386753001</v>
      </c>
      <c r="AM20">
        <f>Age!AM20/Age!$F20</f>
        <v>1.0252259544044247E-3</v>
      </c>
      <c r="AN20">
        <f>Age!AN20/Age!$F20</f>
        <v>0.17834210171320652</v>
      </c>
      <c r="AO20">
        <f>Age!AO20/Age!$F20</f>
        <v>3.1694320787805208E-2</v>
      </c>
      <c r="AP20">
        <f>Age!AP20/Age!$F20</f>
        <v>0.13207203561311209</v>
      </c>
      <c r="AQ20">
        <f>Age!AQ20/Age!$F20</f>
        <v>8.5060029677593421E-2</v>
      </c>
      <c r="AR20">
        <f>Age!AR20/Age!$F20</f>
        <v>8.441251854849588E-2</v>
      </c>
      <c r="AS20">
        <f>Age!AS20/Age!$F20</f>
        <v>3.1067044381491972E-2</v>
      </c>
      <c r="AT20">
        <f>Age!AT20/Age!$F20</f>
        <v>1.6255227303385942E-2</v>
      </c>
      <c r="AU20">
        <f>Age!AU20/Age!$F20</f>
        <v>8.6368541750978009E-2</v>
      </c>
      <c r="AV20">
        <f>Age!AV20/Age!$F20</f>
        <v>1.2633211924996628E-2</v>
      </c>
      <c r="AW20">
        <f>Age!AW20/Age!$F20</f>
        <v>4.3234857682449748E-3</v>
      </c>
      <c r="AX20">
        <f>Age!AX20/Age!$F20</f>
        <v>3.2915149062457842E-2</v>
      </c>
      <c r="AY20">
        <f>Age!AY20/Age!$F20</f>
        <v>1.1095372993389991E-2</v>
      </c>
      <c r="AZ20">
        <f>Age!AZ20/Age!$F20</f>
        <v>1.7954944017266963E-2</v>
      </c>
      <c r="BA20">
        <f>Age!BA20/Age!$F20</f>
        <v>4.923782544179145E-2</v>
      </c>
      <c r="BB20">
        <f>Age!BB20/Age!$F20</f>
        <v>3.6206663968703631E-2</v>
      </c>
      <c r="BC20">
        <f>Age!BC20/Age!$F20</f>
        <v>1.551328746796169E-3</v>
      </c>
      <c r="BF20" t="str">
        <f t="shared" si="0"/>
        <v>under 60</v>
      </c>
    </row>
    <row r="21" spans="1:58">
      <c r="A21" s="1">
        <v>1306</v>
      </c>
      <c r="B21" s="1">
        <v>49</v>
      </c>
      <c r="C21" t="s">
        <v>235</v>
      </c>
      <c r="D21">
        <v>531658</v>
      </c>
      <c r="E21">
        <v>526326</v>
      </c>
      <c r="F21">
        <v>525070</v>
      </c>
      <c r="G21">
        <f>Age!G21/Age!$F21</f>
        <v>0.929083741215457</v>
      </c>
      <c r="H21">
        <f>Age!H21/Age!$F21</f>
        <v>2.6472660788085396E-4</v>
      </c>
      <c r="I21">
        <f>Age!I21/Age!$F21</f>
        <v>2.5329956005865886E-4</v>
      </c>
      <c r="J21">
        <f>Age!J21/Age!$F21</f>
        <v>2.3996800426609785E-4</v>
      </c>
      <c r="K21">
        <f>Age!K21/Age!$F21</f>
        <v>2.38063496295732E-4</v>
      </c>
      <c r="L21">
        <f>Age!L21/Age!$F21</f>
        <v>2.38063496295732E-4</v>
      </c>
      <c r="M21">
        <f>Age!M21/Age!$F21</f>
        <v>1.4855162168853677E-4</v>
      </c>
      <c r="N21">
        <f>Age!N21/Age!$F21</f>
        <v>4.5708191288780541E-5</v>
      </c>
      <c r="O21">
        <f>Age!O21/Age!$F21</f>
        <v>0</v>
      </c>
      <c r="P21">
        <f>Age!P21/Age!$F21</f>
        <v>3.809015940731712E-6</v>
      </c>
      <c r="Q21">
        <f>Age!Q21/Age!$F21</f>
        <v>0.32699259146399529</v>
      </c>
      <c r="R21">
        <f>Age!R21/Age!$F21</f>
        <v>0.21518845106366771</v>
      </c>
      <c r="S21">
        <f>Age!S21/Age!$F21</f>
        <v>0.1059458738834822</v>
      </c>
      <c r="T21">
        <f>Age!T21/Age!$F21</f>
        <v>2.074009179728417E-3</v>
      </c>
      <c r="U21">
        <f>Age!U21/Age!$F21</f>
        <v>1.163654369893538E-3</v>
      </c>
      <c r="V21">
        <f>Age!V21/Age!$F21</f>
        <v>8.4445883406022056E-3</v>
      </c>
      <c r="W21">
        <f>Age!W21/Age!$F21</f>
        <v>1.7704306092520997E-2</v>
      </c>
      <c r="X21">
        <f>Age!X21/Age!$F21</f>
        <v>1.0699525777515378E-2</v>
      </c>
      <c r="Y21">
        <f>Age!Y21/Age!$F21</f>
        <v>6.1706058239853739E-4</v>
      </c>
      <c r="Z21">
        <f>Age!Z21/Age!$F21</f>
        <v>1.1049955244062696E-2</v>
      </c>
      <c r="AA21">
        <f>Age!AA21/Age!$F21</f>
        <v>9.1606833374597674E-4</v>
      </c>
      <c r="AB21">
        <f>Age!AB21/Age!$F21</f>
        <v>9.3835107699925726E-3</v>
      </c>
      <c r="AC21">
        <f>Age!AC21/Age!$F21</f>
        <v>2.6263164911345155E-3</v>
      </c>
      <c r="AD21">
        <f>Age!AD21/Age!$F21</f>
        <v>5.9325423276896418E-3</v>
      </c>
      <c r="AE21">
        <f>Age!AE21/Age!$F21</f>
        <v>6.9895442512426909E-2</v>
      </c>
      <c r="AF21">
        <f>Age!AF21/Age!$F21</f>
        <v>1.0122459862494524E-2</v>
      </c>
      <c r="AG21">
        <f>Age!AG21/Age!$F21</f>
        <v>0.5764698040261298</v>
      </c>
      <c r="AH21">
        <f>Age!AH21/Age!$F21</f>
        <v>0.46121279067552895</v>
      </c>
      <c r="AI21">
        <f>Age!AI21/Age!$F21</f>
        <v>1.9749747652693926E-3</v>
      </c>
      <c r="AJ21">
        <f>Age!AJ21/Age!$F21</f>
        <v>4.0108937855904926E-3</v>
      </c>
      <c r="AK21">
        <f>Age!AK21/Age!$F21</f>
        <v>0.44654046127183045</v>
      </c>
      <c r="AL21">
        <f>Age!AL21/Age!$F21</f>
        <v>0.24467975698478298</v>
      </c>
      <c r="AM21">
        <f>Age!AM21/Age!$F21</f>
        <v>6.3801017007256177E-4</v>
      </c>
      <c r="AN21">
        <f>Age!AN21/Age!$F21</f>
        <v>3.9196678538099682E-2</v>
      </c>
      <c r="AO21">
        <f>Age!AO21/Age!$F21</f>
        <v>1.0051993067590987E-2</v>
      </c>
      <c r="AP21">
        <f>Age!AP21/Age!$F21</f>
        <v>2.679833165101796E-2</v>
      </c>
      <c r="AQ21">
        <f>Age!AQ21/Age!$F21</f>
        <v>0.18612565943588474</v>
      </c>
      <c r="AR21">
        <f>Age!AR21/Age!$F21</f>
        <v>0.17892852381587218</v>
      </c>
      <c r="AS21">
        <f>Age!AS21/Age!$F21</f>
        <v>5.0793227569657382E-3</v>
      </c>
      <c r="AT21">
        <f>Age!AT21/Age!$F21</f>
        <v>1.3864818024263432E-3</v>
      </c>
      <c r="AU21">
        <f>Age!AU21/Age!$F21</f>
        <v>0.17258651227455388</v>
      </c>
      <c r="AV21">
        <f>Age!AV21/Age!$F21</f>
        <v>8.0998723979659858E-3</v>
      </c>
      <c r="AW21">
        <f>Age!AW21/Age!$F21</f>
        <v>1.6988211095663435E-3</v>
      </c>
      <c r="AX21">
        <f>Age!AX21/Age!$F21</f>
        <v>2.4850019997333689E-2</v>
      </c>
      <c r="AY21">
        <f>Age!AY21/Age!$F21</f>
        <v>9.1264021939931814E-3</v>
      </c>
      <c r="AZ21">
        <f>Age!AZ21/Age!$F21</f>
        <v>1.4510446226217456E-2</v>
      </c>
      <c r="BA21">
        <f>Age!BA21/Age!$F21</f>
        <v>0.13697792675262346</v>
      </c>
      <c r="BB21">
        <f>Age!BB21/Age!$F21</f>
        <v>8.9054792694307425E-2</v>
      </c>
      <c r="BC21">
        <f>Age!BC21/Age!$F21</f>
        <v>1.6950120936256118E-4</v>
      </c>
      <c r="BF21" t="str">
        <f t="shared" si="0"/>
        <v>under 60</v>
      </c>
    </row>
    <row r="22" spans="1:58">
      <c r="A22" s="1">
        <v>1162</v>
      </c>
      <c r="B22" s="1">
        <v>53</v>
      </c>
      <c r="C22" t="s">
        <v>215</v>
      </c>
      <c r="D22">
        <v>135286</v>
      </c>
      <c r="E22">
        <v>129503</v>
      </c>
      <c r="F22">
        <v>117499</v>
      </c>
      <c r="G22">
        <f>Age!G22/Age!$F22</f>
        <v>0.60777538532242825</v>
      </c>
      <c r="H22">
        <f>Age!H22/Age!$F22</f>
        <v>5.4468548668499305E-3</v>
      </c>
      <c r="I22">
        <f>Age!I22/Age!$F22</f>
        <v>5.3787691810143062E-3</v>
      </c>
      <c r="J22">
        <f>Age!J22/Age!$F22</f>
        <v>5.1149371484012626E-3</v>
      </c>
      <c r="K22">
        <f>Age!K22/Age!$F22</f>
        <v>5.1064264376718101E-3</v>
      </c>
      <c r="L22">
        <f>Age!L22/Age!$F22</f>
        <v>5.0979157269423567E-3</v>
      </c>
      <c r="M22">
        <f>Age!M22/Age!$F22</f>
        <v>2.2127847896577842E-3</v>
      </c>
      <c r="N22">
        <f>Age!N22/Age!$F22</f>
        <v>2.1702312360105192E-3</v>
      </c>
      <c r="O22">
        <f>Age!O22/Age!$F22</f>
        <v>4.2553553647265082E-5</v>
      </c>
      <c r="P22">
        <f>Age!P22/Age!$F22</f>
        <v>1.7021421458906032E-5</v>
      </c>
      <c r="Q22">
        <f>Age!Q22/Age!$F22</f>
        <v>0.36552651511927758</v>
      </c>
      <c r="R22">
        <f>Age!R22/Age!$F22</f>
        <v>4.3234410505621323E-2</v>
      </c>
      <c r="S22">
        <f>Age!S22/Age!$F22</f>
        <v>0.3103685988816926</v>
      </c>
      <c r="T22">
        <f>Age!T22/Age!$F22</f>
        <v>8.3575179363228631E-3</v>
      </c>
      <c r="U22">
        <f>Age!U22/Age!$F22</f>
        <v>7.4128290453535778E-3</v>
      </c>
      <c r="V22">
        <f>Age!V22/Age!$F22</f>
        <v>1.8902288530115149E-2</v>
      </c>
      <c r="W22">
        <f>Age!W22/Age!$F22</f>
        <v>0.13749053183431348</v>
      </c>
      <c r="X22">
        <f>Age!X22/Age!$F22</f>
        <v>5.4289823743180796E-2</v>
      </c>
      <c r="Y22">
        <f>Age!Y22/Age!$F22</f>
        <v>5.2664277993855264E-2</v>
      </c>
      <c r="Z22">
        <f>Age!Z22/Age!$F22</f>
        <v>5.3991948867649936E-2</v>
      </c>
      <c r="AA22">
        <f>Age!AA22/Age!$F22</f>
        <v>7.0553791947165507E-3</v>
      </c>
      <c r="AB22">
        <f>Age!AB22/Age!$F22</f>
        <v>3.8740755240470132E-2</v>
      </c>
      <c r="AC22">
        <f>Age!AC22/Age!$F22</f>
        <v>1.7021421458906033E-4</v>
      </c>
      <c r="AD22">
        <f>Age!AD22/Age!$F22</f>
        <v>3.6723716797589769E-2</v>
      </c>
      <c r="AE22">
        <f>Age!AE22/Age!$F22</f>
        <v>9.3796542949301689E-2</v>
      </c>
      <c r="AF22">
        <f>Age!AF22/Age!$F22</f>
        <v>1.2595851879590465E-3</v>
      </c>
      <c r="AG22">
        <f>Age!AG22/Age!$F22</f>
        <v>0.2289296079115567</v>
      </c>
      <c r="AH22">
        <f>Age!AH22/Age!$F22</f>
        <v>0.2101805121745717</v>
      </c>
      <c r="AI22">
        <f>Age!AI22/Age!$F22</f>
        <v>3.6085413492880792E-3</v>
      </c>
      <c r="AJ22">
        <f>Age!AJ22/Age!$F22</f>
        <v>1.2000102128528754E-3</v>
      </c>
      <c r="AK22">
        <f>Age!AK22/Age!$F22</f>
        <v>0.19518463986927548</v>
      </c>
      <c r="AL22">
        <f>Age!AL22/Age!$F22</f>
        <v>0.10023915097149763</v>
      </c>
      <c r="AM22">
        <f>Age!AM22/Age!$F22</f>
        <v>9.7873173388709697E-4</v>
      </c>
      <c r="AN22">
        <f>Age!AN22/Age!$F22</f>
        <v>4.7753597902960875E-2</v>
      </c>
      <c r="AO22">
        <f>Age!AO22/Age!$F22</f>
        <v>1.3753308538796074E-2</v>
      </c>
      <c r="AP22">
        <f>Age!AP22/Age!$F22</f>
        <v>3.1974740210554985E-2</v>
      </c>
      <c r="AQ22">
        <f>Age!AQ22/Age!$F22</f>
        <v>4.5174852551936609E-2</v>
      </c>
      <c r="AR22">
        <f>Age!AR22/Age!$F22</f>
        <v>4.4936552651511925E-2</v>
      </c>
      <c r="AS22">
        <f>Age!AS22/Age!$F22</f>
        <v>1.154052374913829E-2</v>
      </c>
      <c r="AT22">
        <f>Age!AT22/Age!$F22</f>
        <v>5.8894118247814877E-3</v>
      </c>
      <c r="AU22">
        <f>Age!AU22/Age!$F22</f>
        <v>7.9209184759019224E-2</v>
      </c>
      <c r="AV22">
        <f>Age!AV22/Age!$F22</f>
        <v>2.5744899956595374E-2</v>
      </c>
      <c r="AW22">
        <f>Age!AW22/Age!$F22</f>
        <v>3.4553485561579248E-3</v>
      </c>
      <c r="AX22">
        <f>Age!AX22/Age!$F22</f>
        <v>1.8195899539570549E-2</v>
      </c>
      <c r="AY22">
        <f>Age!AY22/Age!$F22</f>
        <v>6.8000578728329604E-3</v>
      </c>
      <c r="AZ22">
        <f>Age!AZ22/Age!$F22</f>
        <v>1.1063923948288921E-2</v>
      </c>
      <c r="BA22">
        <f>Age!BA22/Age!$F22</f>
        <v>5.8017515042681211E-2</v>
      </c>
      <c r="BB22">
        <f>Age!BB22/Age!$F22</f>
        <v>4.9889786296053583E-2</v>
      </c>
      <c r="BC22">
        <f>Age!BC22/Age!$F22</f>
        <v>1.7021421458906033E-4</v>
      </c>
      <c r="BF22" t="str">
        <f t="shared" si="0"/>
        <v>under 60</v>
      </c>
    </row>
    <row r="23" spans="1:58">
      <c r="A23" s="1">
        <v>1227</v>
      </c>
      <c r="B23" s="1">
        <v>53</v>
      </c>
      <c r="C23" t="s">
        <v>230</v>
      </c>
      <c r="D23">
        <v>149245</v>
      </c>
      <c r="E23">
        <v>146074</v>
      </c>
      <c r="F23">
        <v>145481</v>
      </c>
      <c r="G23">
        <f>Age!G23/Age!$F23</f>
        <v>0.92898729043655182</v>
      </c>
      <c r="H23">
        <f>Age!H23/Age!$F23</f>
        <v>2.5432874395969231E-4</v>
      </c>
      <c r="I23">
        <f>Age!I23/Age!$F23</f>
        <v>2.4745499412294388E-4</v>
      </c>
      <c r="J23">
        <f>Age!J23/Age!$F23</f>
        <v>2.2683374461269855E-4</v>
      </c>
      <c r="K23">
        <f>Age!K23/Age!$F23</f>
        <v>2.1308624493920168E-4</v>
      </c>
      <c r="L23">
        <f>Age!L23/Age!$F23</f>
        <v>2.0621249510245325E-4</v>
      </c>
      <c r="M23">
        <f>Age!M23/Age!$F23</f>
        <v>4.1242499020490649E-5</v>
      </c>
      <c r="N23">
        <f>Age!N23/Age!$F23</f>
        <v>1.2372749706147194E-4</v>
      </c>
      <c r="O23">
        <f>Age!O23/Age!$F23</f>
        <v>0</v>
      </c>
      <c r="P23">
        <f>Age!P23/Age!$F23</f>
        <v>0</v>
      </c>
      <c r="Q23">
        <f>Age!Q23/Age!$F23</f>
        <v>0.33709556574398031</v>
      </c>
      <c r="R23">
        <f>Age!R23/Age!$F23</f>
        <v>4.25691327389831E-2</v>
      </c>
      <c r="S23">
        <f>Age!S23/Age!$F23</f>
        <v>0.28459386449089574</v>
      </c>
      <c r="T23">
        <f>Age!T23/Age!$F23</f>
        <v>3.0773778019122771E-2</v>
      </c>
      <c r="U23">
        <f>Age!U23/Age!$F23</f>
        <v>3.9778390305263228E-2</v>
      </c>
      <c r="V23">
        <f>Age!V23/Age!$F23</f>
        <v>5.3848956221087291E-2</v>
      </c>
      <c r="W23">
        <f>Age!W23/Age!$F23</f>
        <v>6.0337776066977822E-2</v>
      </c>
      <c r="X23">
        <f>Age!X23/Age!$F23</f>
        <v>1.4208040912559028E-2</v>
      </c>
      <c r="Y23">
        <f>Age!Y23/Age!$F23</f>
        <v>9.5476385232435845E-3</v>
      </c>
      <c r="Z23">
        <f>Age!Z23/Age!$F23</f>
        <v>1.7177500842034354E-2</v>
      </c>
      <c r="AA23">
        <f>Age!AA23/Age!$F23</f>
        <v>2.055251201187784E-3</v>
      </c>
      <c r="AB23">
        <f>Age!AB23/Age!$F23</f>
        <v>1.3225094685904002E-2</v>
      </c>
      <c r="AC23">
        <f>Age!AC23/Age!$F23</f>
        <v>3.0244499281693142E-3</v>
      </c>
      <c r="AD23">
        <f>Age!AD23/Age!$F23</f>
        <v>9.2451935304266545E-3</v>
      </c>
      <c r="AE23">
        <f>Age!AE23/Age!$F23</f>
        <v>0.19891944652566315</v>
      </c>
      <c r="AF23">
        <f>Age!AF23/Age!$F23</f>
        <v>1.959018703473306E-3</v>
      </c>
      <c r="AG23">
        <f>Age!AG23/Age!$F23</f>
        <v>0.58797368728562494</v>
      </c>
      <c r="AH23">
        <f>Age!AH23/Age!$F23</f>
        <v>0.53333424983331157</v>
      </c>
      <c r="AI23">
        <f>Age!AI23/Age!$F23</f>
        <v>2.3645699438414637E-3</v>
      </c>
      <c r="AJ23">
        <f>Age!AJ23/Age!$F23</f>
        <v>9.0733497845079422E-4</v>
      </c>
      <c r="AK23">
        <f>Age!AK23/Age!$F23</f>
        <v>0.51468576652621301</v>
      </c>
      <c r="AL23">
        <f>Age!AL23/Age!$F23</f>
        <v>0.39444326063197255</v>
      </c>
      <c r="AM23">
        <f>Age!AM23/Age!$F23</f>
        <v>1.7459324585341041E-3</v>
      </c>
      <c r="AN23">
        <f>Age!AN23/Age!$F23</f>
        <v>0.11338937730700228</v>
      </c>
      <c r="AO23">
        <f>Age!AO23/Age!$F23</f>
        <v>3.5798489149785881E-2</v>
      </c>
      <c r="AP23">
        <f>Age!AP23/Age!$F23</f>
        <v>6.7115293406011786E-2</v>
      </c>
      <c r="AQ23">
        <f>Age!AQ23/Age!$F23</f>
        <v>0.24366755796289549</v>
      </c>
      <c r="AR23">
        <f>Age!AR23/Age!$F23</f>
        <v>0.23889030182635534</v>
      </c>
      <c r="AS23">
        <f>Age!AS23/Age!$F23</f>
        <v>1.3087619689169033E-2</v>
      </c>
      <c r="AT23">
        <f>Age!AT23/Age!$F23</f>
        <v>3.9936486551508448E-3</v>
      </c>
      <c r="AU23">
        <f>Age!AU23/Age!$F23</f>
        <v>0.10223328132195957</v>
      </c>
      <c r="AV23">
        <f>Age!AV23/Age!$F23</f>
        <v>9.6644922704683094E-3</v>
      </c>
      <c r="AW23">
        <f>Age!AW23/Age!$F23</f>
        <v>2.3439486943312186E-3</v>
      </c>
      <c r="AX23">
        <f>Age!AX23/Age!$F23</f>
        <v>2.2587141963555379E-2</v>
      </c>
      <c r="AY23">
        <f>Age!AY23/Age!$F23</f>
        <v>3.4025061691904785E-3</v>
      </c>
      <c r="AZ23">
        <f>Age!AZ23/Age!$F23</f>
        <v>1.7404334586647054E-2</v>
      </c>
      <c r="BA23">
        <f>Age!BA23/Age!$F23</f>
        <v>7.1466377052673544E-2</v>
      </c>
      <c r="BB23">
        <f>Age!BB23/Age!$F23</f>
        <v>3.722135536599281E-2</v>
      </c>
      <c r="BC23">
        <f>Age!BC23/Age!$F23</f>
        <v>1.5122249640846572E-4</v>
      </c>
      <c r="BF23" t="str">
        <f t="shared" si="0"/>
        <v>under 60</v>
      </c>
    </row>
    <row r="24" spans="1:58">
      <c r="A24" s="1">
        <v>1066</v>
      </c>
      <c r="B24" s="1">
        <v>55</v>
      </c>
      <c r="C24" t="s">
        <v>190</v>
      </c>
      <c r="D24">
        <v>137438</v>
      </c>
      <c r="E24">
        <v>134002</v>
      </c>
      <c r="F24">
        <v>128884</v>
      </c>
      <c r="G24">
        <f>Age!G24/Age!$F24</f>
        <v>0.82743397163340682</v>
      </c>
      <c r="H24">
        <f>Age!H24/Age!$F24</f>
        <v>4.7329381459296731E-4</v>
      </c>
      <c r="I24">
        <f>Age!I24/Age!$F24</f>
        <v>4.6553489959963998E-4</v>
      </c>
      <c r="J24">
        <f>Age!J24/Age!$F24</f>
        <v>4.4225815461965801E-4</v>
      </c>
      <c r="K24">
        <f>Age!K24/Age!$F24</f>
        <v>4.3449923962633063E-4</v>
      </c>
      <c r="L24">
        <f>Age!L24/Age!$F24</f>
        <v>4.1122249464634866E-4</v>
      </c>
      <c r="M24">
        <f>Age!M24/Age!$F24</f>
        <v>1.4741938487321932E-4</v>
      </c>
      <c r="N24">
        <f>Age!N24/Age!$F24</f>
        <v>2.1724961981316532E-4</v>
      </c>
      <c r="O24">
        <f>Age!O24/Age!$F24</f>
        <v>0</v>
      </c>
      <c r="P24">
        <f>Age!P24/Age!$F24</f>
        <v>7.7589149933273325E-6</v>
      </c>
      <c r="Q24">
        <f>Age!Q24/Age!$F24</f>
        <v>0.35260389187176067</v>
      </c>
      <c r="R24">
        <f>Age!R24/Age!$F24</f>
        <v>7.8636603457372514E-2</v>
      </c>
      <c r="S24">
        <f>Age!S24/Age!$F24</f>
        <v>0.26846621768411905</v>
      </c>
      <c r="T24">
        <f>Age!T24/Age!$F24</f>
        <v>4.7639738059029827E-3</v>
      </c>
      <c r="U24">
        <f>Age!U24/Age!$F24</f>
        <v>1.6759256385587039E-3</v>
      </c>
      <c r="V24">
        <f>Age!V24/Age!$F24</f>
        <v>1.7488594394959808E-2</v>
      </c>
      <c r="W24">
        <f>Age!W24/Age!$F24</f>
        <v>0.18879767853263399</v>
      </c>
      <c r="X24">
        <f>Age!X24/Age!$F24</f>
        <v>0.1054281369293318</v>
      </c>
      <c r="Y24">
        <f>Age!Y24/Age!$F24</f>
        <v>9.4193228018993824E-2</v>
      </c>
      <c r="Z24">
        <f>Age!Z24/Age!$F24</f>
        <v>1.7923093634586138E-2</v>
      </c>
      <c r="AA24">
        <f>Age!AA24/Age!$F24</f>
        <v>7.7589149933273327E-4</v>
      </c>
      <c r="AB24">
        <f>Age!AB24/Age!$F24</f>
        <v>1.0466776325998572E-2</v>
      </c>
      <c r="AC24">
        <f>Age!AC24/Age!$F24</f>
        <v>1.4741938487321932E-4</v>
      </c>
      <c r="AD24">
        <f>Age!AD24/Age!$F24</f>
        <v>9.9391701064523129E-3</v>
      </c>
      <c r="AE24">
        <f>Age!AE24/Age!$F24</f>
        <v>4.3085254957946684E-2</v>
      </c>
      <c r="AF24">
        <f>Age!AF24/Age!$F24</f>
        <v>1.8543806834052327E-3</v>
      </c>
      <c r="AG24">
        <f>Age!AG24/Age!$F24</f>
        <v>0.46616337171409949</v>
      </c>
      <c r="AH24">
        <f>Age!AH24/Age!$F24</f>
        <v>0.45573538996306756</v>
      </c>
      <c r="AI24">
        <f>Age!AI24/Age!$F24</f>
        <v>2.4238850439154587E-2</v>
      </c>
      <c r="AJ24">
        <f>Age!AJ24/Age!$F24</f>
        <v>3.2975388721641166E-3</v>
      </c>
      <c r="AK24">
        <f>Age!AK24/Age!$F24</f>
        <v>0.36913813972254123</v>
      </c>
      <c r="AL24">
        <f>Age!AL24/Age!$F24</f>
        <v>0.21364948325626146</v>
      </c>
      <c r="AM24">
        <f>Age!AM24/Age!$F24</f>
        <v>2.3819869029514914E-3</v>
      </c>
      <c r="AN24">
        <f>Age!AN24/Age!$F24</f>
        <v>6.7494801526954473E-2</v>
      </c>
      <c r="AO24">
        <f>Age!AO24/Age!$F24</f>
        <v>1.699202383538686E-3</v>
      </c>
      <c r="AP24">
        <f>Age!AP24/Age!$F24</f>
        <v>6.4771422364296574E-2</v>
      </c>
      <c r="AQ24">
        <f>Age!AQ24/Age!$F24</f>
        <v>0.12926352378883338</v>
      </c>
      <c r="AR24">
        <f>Age!AR24/Age!$F24</f>
        <v>0.12908506874398684</v>
      </c>
      <c r="AS24">
        <f>Age!AS24/Age!$F24</f>
        <v>7.2646721082523819E-2</v>
      </c>
      <c r="AT24">
        <f>Age!AT24/Age!$F24</f>
        <v>5.1565749045653454E-2</v>
      </c>
      <c r="AU24">
        <f>Age!AU24/Age!$F24</f>
        <v>0.11494056671115112</v>
      </c>
      <c r="AV24">
        <f>Age!AV24/Age!$F24</f>
        <v>6.4732627789329936E-2</v>
      </c>
      <c r="AW24">
        <f>Age!AW24/Age!$F24</f>
        <v>3.9306663356196272E-2</v>
      </c>
      <c r="AX24">
        <f>Age!AX24/Age!$F24</f>
        <v>2.620961484745973E-2</v>
      </c>
      <c r="AY24">
        <f>Age!AY24/Age!$F24</f>
        <v>2.1065454206883709E-2</v>
      </c>
      <c r="AZ24">
        <f>Age!AZ24/Age!$F24</f>
        <v>3.8406629216970298E-3</v>
      </c>
      <c r="BA24">
        <f>Age!BA24/Age!$F24</f>
        <v>8.0560814375717701E-2</v>
      </c>
      <c r="BB24">
        <f>Age!BB24/Age!$F24</f>
        <v>7.8869370907172345E-2</v>
      </c>
      <c r="BC24">
        <f>Age!BC24/Age!$F24</f>
        <v>1.1638372489991E-4</v>
      </c>
      <c r="BF24" t="str">
        <f t="shared" si="0"/>
        <v>under 60</v>
      </c>
    </row>
    <row r="25" spans="1:58">
      <c r="A25" s="1">
        <v>1039</v>
      </c>
      <c r="B25" s="1">
        <v>56</v>
      </c>
      <c r="C25" t="s">
        <v>182</v>
      </c>
      <c r="D25">
        <v>135493</v>
      </c>
      <c r="E25">
        <v>133046</v>
      </c>
      <c r="F25">
        <v>127178</v>
      </c>
      <c r="G25">
        <f>Age!G25/Age!$F25</f>
        <v>0.57243391152557832</v>
      </c>
      <c r="H25">
        <f>Age!H25/Age!$F25</f>
        <v>4.8278790356822724E-3</v>
      </c>
      <c r="I25">
        <f>Age!I25/Age!$F25</f>
        <v>4.7807010646495462E-3</v>
      </c>
      <c r="J25">
        <f>Age!J25/Age!$F25</f>
        <v>4.3167843494944097E-3</v>
      </c>
      <c r="K25">
        <f>Age!K25/Age!$F25</f>
        <v>4.3089213543222888E-3</v>
      </c>
      <c r="L25">
        <f>Age!L25/Age!$F25</f>
        <v>4.3089213543222888E-3</v>
      </c>
      <c r="M25">
        <f>Age!M25/Age!$F25</f>
        <v>1.108682319269056E-3</v>
      </c>
      <c r="N25">
        <f>Age!N25/Age!$F25</f>
        <v>2.6341033826605231E-3</v>
      </c>
      <c r="O25">
        <f>Age!O25/Age!$F25</f>
        <v>5.504096620484675E-5</v>
      </c>
      <c r="P25">
        <f>Age!P25/Age!$F25</f>
        <v>1.729858937866612E-4</v>
      </c>
      <c r="Q25">
        <f>Age!Q25/Age!$F25</f>
        <v>0.22996115680384971</v>
      </c>
      <c r="R25">
        <f>Age!R25/Age!$F25</f>
        <v>9.3844847379263713E-2</v>
      </c>
      <c r="S25">
        <f>Age!S25/Age!$F25</f>
        <v>0.12761641164352325</v>
      </c>
      <c r="T25">
        <f>Age!T25/Age!$F25</f>
        <v>1.0434194593404519E-2</v>
      </c>
      <c r="U25">
        <f>Age!U25/Age!$F25</f>
        <v>1.9578857978581202E-3</v>
      </c>
      <c r="V25">
        <f>Age!V25/Age!$F25</f>
        <v>5.1109468618786265E-3</v>
      </c>
      <c r="W25">
        <f>Age!W25/Age!$F25</f>
        <v>3.789963672962305E-2</v>
      </c>
      <c r="X25">
        <f>Age!X25/Age!$F25</f>
        <v>5.3704257025586188E-3</v>
      </c>
      <c r="Y25">
        <f>Age!Y25/Age!$F25</f>
        <v>5.0401799053295384E-3</v>
      </c>
      <c r="Z25">
        <f>Age!Z25/Age!$F25</f>
        <v>4.2302914026010788E-2</v>
      </c>
      <c r="AA25">
        <f>Age!AA25/Age!$F25</f>
        <v>5.5827265722058848E-3</v>
      </c>
      <c r="AB25">
        <f>Age!AB25/Age!$F25</f>
        <v>3.2151787258802626E-2</v>
      </c>
      <c r="AC25">
        <f>Age!AC25/Age!$F25</f>
        <v>1.1165453144411769E-3</v>
      </c>
      <c r="AD25">
        <f>Age!AD25/Age!$F25</f>
        <v>2.9376149963043923E-2</v>
      </c>
      <c r="AE25">
        <f>Age!AE25/Age!$F25</f>
        <v>3.6971803299312773E-2</v>
      </c>
      <c r="AF25">
        <f>Age!AF25/Age!$F25</f>
        <v>1.108682319269056E-3</v>
      </c>
      <c r="AG25">
        <f>Age!AG25/Age!$F25</f>
        <v>0.33271477771312646</v>
      </c>
      <c r="AH25">
        <f>Age!AH25/Age!$F25</f>
        <v>0.32051140920599475</v>
      </c>
      <c r="AI25">
        <f>Age!AI25/Age!$F25</f>
        <v>1.4546541068423784E-3</v>
      </c>
      <c r="AJ25">
        <f>Age!AJ25/Age!$F25</f>
        <v>5.8972463790907237E-4</v>
      </c>
      <c r="AK25">
        <f>Age!AK25/Age!$F25</f>
        <v>0.31427605403450282</v>
      </c>
      <c r="AL25">
        <f>Age!AL25/Age!$F25</f>
        <v>0.17051691330261523</v>
      </c>
      <c r="AM25">
        <f>Age!AM25/Age!$F25</f>
        <v>4.7177971032725787E-4</v>
      </c>
      <c r="AN25">
        <f>Age!AN25/Age!$F25</f>
        <v>8.723206843950998E-2</v>
      </c>
      <c r="AO25">
        <f>Age!AO25/Age!$F25</f>
        <v>1.6032647155954646E-2</v>
      </c>
      <c r="AP25">
        <f>Age!AP25/Age!$F25</f>
        <v>6.6599569107864562E-2</v>
      </c>
      <c r="AQ25">
        <f>Age!AQ25/Age!$F25</f>
        <v>6.6222145339602759E-2</v>
      </c>
      <c r="AR25">
        <f>Age!AR25/Age!$F25</f>
        <v>6.5616694711349441E-2</v>
      </c>
      <c r="AS25">
        <f>Age!AS25/Age!$F25</f>
        <v>2.6804950541760367E-2</v>
      </c>
      <c r="AT25">
        <f>Age!AT25/Age!$F25</f>
        <v>9.8366069603233255E-3</v>
      </c>
      <c r="AU25">
        <f>Age!AU25/Age!$F25</f>
        <v>0.13356083599364671</v>
      </c>
      <c r="AV25">
        <f>Age!AV25/Age!$F25</f>
        <v>5.4883706301404329E-2</v>
      </c>
      <c r="AW25">
        <f>Age!AW25/Age!$F25</f>
        <v>6.9430247369828115E-3</v>
      </c>
      <c r="AX25">
        <f>Age!AX25/Age!$F25</f>
        <v>3.539920426488858E-2</v>
      </c>
      <c r="AY25">
        <f>Age!AY25/Age!$F25</f>
        <v>1.6205633049741309E-2</v>
      </c>
      <c r="AZ25">
        <f>Age!AZ25/Age!$F25</f>
        <v>1.656733082765887E-2</v>
      </c>
      <c r="BA25">
        <f>Age!BA25/Age!$F25</f>
        <v>8.980326786079354E-2</v>
      </c>
      <c r="BB25">
        <f>Age!BB25/Age!$F25</f>
        <v>7.1081476355973519E-2</v>
      </c>
      <c r="BC25">
        <f>Age!BC25/Age!$F25</f>
        <v>2.5161584550787087E-4</v>
      </c>
      <c r="BF25" t="str">
        <f t="shared" si="0"/>
        <v>under 60</v>
      </c>
    </row>
    <row r="26" spans="1:58">
      <c r="A26" s="1">
        <v>1102</v>
      </c>
      <c r="B26" s="1">
        <v>57</v>
      </c>
      <c r="C26" t="s">
        <v>198</v>
      </c>
      <c r="D26">
        <v>325659</v>
      </c>
      <c r="E26">
        <v>316769</v>
      </c>
      <c r="F26">
        <v>305455</v>
      </c>
      <c r="G26">
        <f>Age!G26/Age!$F26</f>
        <v>0.69410878852858848</v>
      </c>
      <c r="H26">
        <f>Age!H26/Age!$F26</f>
        <v>5.3363015828845493E-4</v>
      </c>
      <c r="I26">
        <f>Age!I26/Age!$F26</f>
        <v>5.3363015828845493E-4</v>
      </c>
      <c r="J26">
        <f>Age!J26/Age!$F26</f>
        <v>5.0416591641976722E-4</v>
      </c>
      <c r="K26">
        <f>Age!K26/Age!$F26</f>
        <v>4.9761830711561443E-4</v>
      </c>
      <c r="L26">
        <f>Age!L26/Age!$F26</f>
        <v>4.8779689315938519E-4</v>
      </c>
      <c r="M26">
        <f>Age!M26/Age!$F26</f>
        <v>1.3422599073513285E-4</v>
      </c>
      <c r="N26">
        <f>Age!N26/Age!$F26</f>
        <v>2.8809480938272412E-4</v>
      </c>
      <c r="O26">
        <f>Age!O26/Age!$F26</f>
        <v>3.2738046520764107E-6</v>
      </c>
      <c r="P26">
        <f>Age!P26/Age!$F26</f>
        <v>3.2738046520764107E-6</v>
      </c>
      <c r="Q26">
        <f>Age!Q26/Age!$F26</f>
        <v>0.29340492052839207</v>
      </c>
      <c r="R26">
        <f>Age!R26/Age!$F26</f>
        <v>0.10232931200995236</v>
      </c>
      <c r="S26">
        <f>Age!S26/Age!$F26</f>
        <v>0.18636460362410176</v>
      </c>
      <c r="T26">
        <f>Age!T26/Age!$F26</f>
        <v>1.1903553714949829E-2</v>
      </c>
      <c r="U26">
        <f>Age!U26/Age!$F26</f>
        <v>2.0032410666055555E-2</v>
      </c>
      <c r="V26">
        <f>Age!V26/Age!$F26</f>
        <v>2.7450852007660703E-2</v>
      </c>
      <c r="W26">
        <f>Age!W26/Age!$F26</f>
        <v>5.7196641076426968E-2</v>
      </c>
      <c r="X26">
        <f>Age!X26/Age!$F26</f>
        <v>3.5543697107593593E-2</v>
      </c>
      <c r="Y26">
        <f>Age!Y26/Age!$F26</f>
        <v>2.5506212044327316E-2</v>
      </c>
      <c r="Z26">
        <f>Age!Z26/Age!$F26</f>
        <v>9.4220097886759096E-3</v>
      </c>
      <c r="AA26">
        <f>Age!AA26/Age!$F26</f>
        <v>1.8988066982043182E-3</v>
      </c>
      <c r="AB26">
        <f>Age!AB26/Age!$F26</f>
        <v>6.6261806158026551E-3</v>
      </c>
      <c r="AC26">
        <f>Age!AC26/Age!$F26</f>
        <v>6.8422517228396986E-4</v>
      </c>
      <c r="AD26">
        <f>Age!AD26/Age!$F26</f>
        <v>5.3363015828845495E-3</v>
      </c>
      <c r="AE26">
        <f>Age!AE26/Age!$F26</f>
        <v>0.10410698793602986</v>
      </c>
      <c r="AF26">
        <f>Age!AF26/Age!$F26</f>
        <v>3.0904715915601316E-3</v>
      </c>
      <c r="AG26">
        <f>Age!AG26/Age!$F26</f>
        <v>0.39543304251035338</v>
      </c>
      <c r="AH26">
        <f>Age!AH26/Age!$F26</f>
        <v>0.36587386030675551</v>
      </c>
      <c r="AI26">
        <f>Age!AI26/Age!$F26</f>
        <v>2.5938354258401401E-2</v>
      </c>
      <c r="AJ26">
        <f>Age!AJ26/Age!$F26</f>
        <v>2.1607110703704309E-3</v>
      </c>
      <c r="AK26">
        <f>Age!AK26/Age!$F26</f>
        <v>0.29687515345959309</v>
      </c>
      <c r="AL26">
        <f>Age!AL26/Age!$F26</f>
        <v>0.18863662405264278</v>
      </c>
      <c r="AM26">
        <f>Age!AM26/Age!$F26</f>
        <v>2.4880915355780721E-4</v>
      </c>
      <c r="AN26">
        <f>Age!AN26/Age!$F26</f>
        <v>9.4203728863498717E-2</v>
      </c>
      <c r="AO26">
        <f>Age!AO26/Age!$F26</f>
        <v>8.5282611186590501E-3</v>
      </c>
      <c r="AP26">
        <f>Age!AP26/Age!$F26</f>
        <v>8.0849879687679038E-2</v>
      </c>
      <c r="AQ26">
        <f>Age!AQ26/Age!$F26</f>
        <v>8.0332618552650961E-2</v>
      </c>
      <c r="AR26">
        <f>Age!AR26/Age!$F26</f>
        <v>8.004779754792031E-2</v>
      </c>
      <c r="AS26">
        <f>Age!AS26/Age!$F26</f>
        <v>2.3882404936897417E-2</v>
      </c>
      <c r="AT26">
        <f>Age!AT26/Age!$F26</f>
        <v>1.5066049008855642E-2</v>
      </c>
      <c r="AU26">
        <f>Age!AU26/Age!$F26</f>
        <v>7.9596012505933775E-2</v>
      </c>
      <c r="AV26">
        <f>Age!AV26/Age!$F26</f>
        <v>1.5760095595095839E-2</v>
      </c>
      <c r="AW26">
        <f>Age!AW26/Age!$F26</f>
        <v>9.0782603002078858E-3</v>
      </c>
      <c r="AX26">
        <f>Age!AX26/Age!$F26</f>
        <v>1.3190158943215858E-2</v>
      </c>
      <c r="AY26">
        <f>Age!AY26/Age!$F26</f>
        <v>7.8178455091584692E-3</v>
      </c>
      <c r="AZ26">
        <f>Age!AZ26/Age!$F26</f>
        <v>4.210112782570264E-3</v>
      </c>
      <c r="BA26">
        <f>Age!BA26/Age!$F26</f>
        <v>6.2631156798873808E-2</v>
      </c>
      <c r="BB26">
        <f>Age!BB26/Age!$F26</f>
        <v>5.0852007660702886E-2</v>
      </c>
      <c r="BC26">
        <f>Age!BC26/Age!$F26</f>
        <v>1.6369023260382054E-4</v>
      </c>
      <c r="BF26" t="str">
        <f t="shared" si="0"/>
        <v>under 60</v>
      </c>
    </row>
    <row r="27" spans="1:58">
      <c r="A27" s="1">
        <v>1026</v>
      </c>
      <c r="B27" s="1">
        <v>58</v>
      </c>
      <c r="C27" t="s">
        <v>179</v>
      </c>
      <c r="D27">
        <v>259455</v>
      </c>
      <c r="E27">
        <v>252631</v>
      </c>
      <c r="F27">
        <v>242041</v>
      </c>
      <c r="G27">
        <f>Age!G27/Age!$F27</f>
        <v>0.71497390937898953</v>
      </c>
      <c r="H27">
        <f>Age!H27/Age!$F27</f>
        <v>1.4377729392954087E-3</v>
      </c>
      <c r="I27">
        <f>Age!I27/Age!$F27</f>
        <v>1.3923260935130824E-3</v>
      </c>
      <c r="J27">
        <f>Age!J27/Age!$F27</f>
        <v>1.3055639333831872E-3</v>
      </c>
      <c r="K27">
        <f>Age!K27/Age!$F27</f>
        <v>1.2931693390789165E-3</v>
      </c>
      <c r="L27">
        <f>Age!L27/Age!$F27</f>
        <v>1.2849062762094025E-3</v>
      </c>
      <c r="M27">
        <f>Age!M27/Age!$F27</f>
        <v>5.9907205803975364E-4</v>
      </c>
      <c r="N27">
        <f>Age!N27/Age!$F27</f>
        <v>5.8667746373548282E-4</v>
      </c>
      <c r="O27">
        <f>Age!O27/Age!$F27</f>
        <v>6.6104502956110736E-5</v>
      </c>
      <c r="P27">
        <f>Age!P27/Age!$F27</f>
        <v>4.131531434756921E-6</v>
      </c>
      <c r="Q27">
        <f>Age!Q27/Age!$F27</f>
        <v>0.37634946145487747</v>
      </c>
      <c r="R27">
        <f>Age!R27/Age!$F27</f>
        <v>0.14504980561144598</v>
      </c>
      <c r="S27">
        <f>Age!S27/Age!$F27</f>
        <v>0.22267714973909378</v>
      </c>
      <c r="T27">
        <f>Age!T27/Age!$F27</f>
        <v>1.700538338545949E-2</v>
      </c>
      <c r="U27">
        <f>Age!U27/Age!$F27</f>
        <v>1.0473432187108795E-2</v>
      </c>
      <c r="V27">
        <f>Age!V27/Age!$F27</f>
        <v>1.2733379881920831E-2</v>
      </c>
      <c r="W27">
        <f>Age!W27/Age!$F27</f>
        <v>7.775129007069051E-2</v>
      </c>
      <c r="X27">
        <f>Age!X27/Age!$F27</f>
        <v>9.3496556368549127E-3</v>
      </c>
      <c r="Y27">
        <f>Age!Y27/Age!$F27</f>
        <v>8.9447655562487349E-3</v>
      </c>
      <c r="Z27">
        <f>Age!Z27/Age!$F27</f>
        <v>6.1204506674489033E-2</v>
      </c>
      <c r="AA27">
        <f>Age!AA27/Age!$F27</f>
        <v>8.7133997959023476E-3</v>
      </c>
      <c r="AB27">
        <f>Age!AB27/Age!$F27</f>
        <v>4.9020620473390869E-2</v>
      </c>
      <c r="AC27">
        <f>Age!AC27/Age!$F27</f>
        <v>3.3052251478055371E-3</v>
      </c>
      <c r="AD27">
        <f>Age!AD27/Age!$F27</f>
        <v>4.2360591800562716E-2</v>
      </c>
      <c r="AE27">
        <f>Age!AE27/Age!$F27</f>
        <v>6.6348263310761393E-2</v>
      </c>
      <c r="AF27">
        <f>Age!AF27/Age!$F27</f>
        <v>7.436756582562458E-4</v>
      </c>
      <c r="AG27">
        <f>Age!AG27/Age!$F27</f>
        <v>0.33172065889663321</v>
      </c>
      <c r="AH27">
        <f>Age!AH27/Age!$F27</f>
        <v>0.29921376956796575</v>
      </c>
      <c r="AI27">
        <f>Age!AI27/Age!$F27</f>
        <v>2.7185476840700541E-3</v>
      </c>
      <c r="AJ27">
        <f>Age!AJ27/Age!$F27</f>
        <v>1.9624774315095375E-3</v>
      </c>
      <c r="AK27">
        <f>Age!AK27/Age!$F27</f>
        <v>0.28786032118525373</v>
      </c>
      <c r="AL27">
        <f>Age!AL27/Age!$F27</f>
        <v>0.19514462425787366</v>
      </c>
      <c r="AM27">
        <f>Age!AM27/Age!$F27</f>
        <v>2.478918860854153E-4</v>
      </c>
      <c r="AN27">
        <f>Age!AN27/Age!$F27</f>
        <v>5.1797009597547523E-2</v>
      </c>
      <c r="AO27">
        <f>Age!AO27/Age!$F27</f>
        <v>6.0650881462231609E-3</v>
      </c>
      <c r="AP27">
        <f>Age!AP27/Age!$F27</f>
        <v>4.357939357381601E-2</v>
      </c>
      <c r="AQ27">
        <f>Age!AQ27/Age!$F27</f>
        <v>0.12228506740593535</v>
      </c>
      <c r="AR27">
        <f>Age!AR27/Age!$F27</f>
        <v>0.12134720977024553</v>
      </c>
      <c r="AS27">
        <f>Age!AS27/Age!$F27</f>
        <v>1.6703781590722232E-2</v>
      </c>
      <c r="AT27">
        <f>Age!AT27/Age!$F27</f>
        <v>3.2556467705884542E-3</v>
      </c>
      <c r="AU27">
        <f>Age!AU27/Age!$F27</f>
        <v>8.1998504385620619E-2</v>
      </c>
      <c r="AV27">
        <f>Age!AV27/Age!$F27</f>
        <v>1.6274102321507514E-2</v>
      </c>
      <c r="AW27">
        <f>Age!AW27/Age!$F27</f>
        <v>1.7930846426845038E-3</v>
      </c>
      <c r="AX27">
        <f>Age!AX27/Age!$F27</f>
        <v>9.2835511338988028E-3</v>
      </c>
      <c r="AY27">
        <f>Age!AY27/Age!$F27</f>
        <v>5.7263025685730931E-3</v>
      </c>
      <c r="AZ27">
        <f>Age!AZ27/Age!$F27</f>
        <v>2.9251242558079003E-3</v>
      </c>
      <c r="BA27">
        <f>Age!BA27/Age!$F27</f>
        <v>6.7414198420928689E-2</v>
      </c>
      <c r="BB27">
        <f>Age!BB27/Age!$F27</f>
        <v>4.9983267297689232E-2</v>
      </c>
      <c r="BC27">
        <f>Age!BC27/Age!$F27</f>
        <v>1.0618035787325287E-3</v>
      </c>
      <c r="BF27" t="str">
        <f t="shared" si="0"/>
        <v>under 60</v>
      </c>
    </row>
    <row r="28" spans="1:58">
      <c r="A28" s="1">
        <v>1046</v>
      </c>
      <c r="B28" s="1">
        <v>58</v>
      </c>
      <c r="C28" t="s">
        <v>184</v>
      </c>
      <c r="D28">
        <v>56307</v>
      </c>
      <c r="E28">
        <v>54235</v>
      </c>
      <c r="F28">
        <v>51105</v>
      </c>
      <c r="G28">
        <f>Age!G28/Age!$F28</f>
        <v>0.43240387437628414</v>
      </c>
      <c r="H28">
        <f>Age!H28/Age!$F28</f>
        <v>1.0116426964093534E-2</v>
      </c>
      <c r="I28">
        <f>Age!I28/Age!$F28</f>
        <v>1.0057724293122003E-2</v>
      </c>
      <c r="J28">
        <f>Age!J28/Age!$F28</f>
        <v>9.8620487232169065E-3</v>
      </c>
      <c r="K28">
        <f>Age!K28/Age!$F28</f>
        <v>9.8620487232169065E-3</v>
      </c>
      <c r="L28">
        <f>Age!L28/Age!$F28</f>
        <v>9.8620487232169065E-3</v>
      </c>
      <c r="M28">
        <f>Age!M28/Age!$F28</f>
        <v>3.6982682712063397E-3</v>
      </c>
      <c r="N28">
        <f>Age!N28/Age!$F28</f>
        <v>4.4418354368457097E-3</v>
      </c>
      <c r="O28">
        <f>Age!O28/Age!$F28</f>
        <v>0</v>
      </c>
      <c r="P28">
        <f>Age!P28/Age!$F28</f>
        <v>5.8702670971529207E-5</v>
      </c>
      <c r="Q28">
        <f>Age!Q28/Age!$F28</f>
        <v>0.24649251540945114</v>
      </c>
      <c r="R28">
        <f>Age!R28/Age!$F28</f>
        <v>4.2774679581254284E-2</v>
      </c>
      <c r="S28">
        <f>Age!S28/Age!$F28</f>
        <v>0.19888464925154095</v>
      </c>
      <c r="T28">
        <f>Age!T28/Age!$F28</f>
        <v>5.6941590842383332E-3</v>
      </c>
      <c r="U28">
        <f>Age!U28/Age!$F28</f>
        <v>1.1936209764210938E-3</v>
      </c>
      <c r="V28">
        <f>Age!V28/Age!$F28</f>
        <v>5.518051071323745E-3</v>
      </c>
      <c r="W28">
        <f>Age!W28/Age!$F28</f>
        <v>7.7467958125428046E-2</v>
      </c>
      <c r="X28">
        <f>Age!X28/Age!$F28</f>
        <v>1.8256530672145582E-2</v>
      </c>
      <c r="Y28">
        <f>Age!Y28/Age!$F28</f>
        <v>1.7239017708639077E-2</v>
      </c>
      <c r="Z28">
        <f>Age!Z28/Age!$F28</f>
        <v>6.218569611583994E-2</v>
      </c>
      <c r="AA28">
        <f>Age!AA28/Age!$F28</f>
        <v>6.5551315918207613E-3</v>
      </c>
      <c r="AB28">
        <f>Age!AB28/Age!$F28</f>
        <v>4.0348302514431077E-2</v>
      </c>
      <c r="AC28">
        <f>Age!AC28/Age!$F28</f>
        <v>6.8486449466784074E-4</v>
      </c>
      <c r="AD28">
        <f>Age!AD28/Age!$F28</f>
        <v>3.8391546815380102E-2</v>
      </c>
      <c r="AE28">
        <f>Age!AE28/Age!$F28</f>
        <v>4.2031112415614913E-2</v>
      </c>
      <c r="AF28">
        <f>Age!AF28/Age!$F28</f>
        <v>2.7394579786713629E-4</v>
      </c>
      <c r="AG28">
        <f>Age!AG28/Age!$F28</f>
        <v>0.16790920653556404</v>
      </c>
      <c r="AH28">
        <f>Age!AH28/Age!$F28</f>
        <v>0.16102142647490461</v>
      </c>
      <c r="AI28">
        <f>Age!AI28/Age!$F28</f>
        <v>8.4140495059191857E-4</v>
      </c>
      <c r="AJ28">
        <f>Age!AJ28/Age!$F28</f>
        <v>7.4356716563936994E-4</v>
      </c>
      <c r="AK28">
        <f>Age!AK28/Age!$F28</f>
        <v>0.15474024068095099</v>
      </c>
      <c r="AL28">
        <f>Age!AL28/Age!$F28</f>
        <v>5.2558458076509149E-2</v>
      </c>
      <c r="AM28">
        <f>Age!AM28/Age!$F28</f>
        <v>3.3264846883866549E-4</v>
      </c>
      <c r="AN28">
        <f>Age!AN28/Age!$F28</f>
        <v>2.956657861266021E-2</v>
      </c>
      <c r="AO28">
        <f>Age!AO28/Age!$F28</f>
        <v>2.9547011055669698E-3</v>
      </c>
      <c r="AP28">
        <f>Age!AP28/Age!$F28</f>
        <v>2.4870364934937873E-2</v>
      </c>
      <c r="AQ28">
        <f>Age!AQ28/Age!$F28</f>
        <v>2.0076313472262988E-2</v>
      </c>
      <c r="AR28">
        <f>Age!AR28/Age!$F28</f>
        <v>1.9939340573329419E-2</v>
      </c>
      <c r="AS28">
        <f>Age!AS28/Age!$F28</f>
        <v>6.1442128950200568E-3</v>
      </c>
      <c r="AT28">
        <f>Age!AT28/Age!$F28</f>
        <v>2.2502690539086194E-3</v>
      </c>
      <c r="AU28">
        <f>Age!AU28/Age!$F28</f>
        <v>9.4863516289991193E-2</v>
      </c>
      <c r="AV28">
        <f>Age!AV28/Age!$F28</f>
        <v>3.0995010272967419E-2</v>
      </c>
      <c r="AW28">
        <f>Age!AW28/Age!$F28</f>
        <v>2.9938362195479893E-3</v>
      </c>
      <c r="AX28">
        <f>Age!AX28/Age!$F28</f>
        <v>2.0800313080911847E-2</v>
      </c>
      <c r="AY28">
        <f>Age!AY28/Age!$F28</f>
        <v>8.4727521768907157E-3</v>
      </c>
      <c r="AZ28">
        <f>Age!AZ28/Age!$F28</f>
        <v>1.0625183445846786E-2</v>
      </c>
      <c r="BA28">
        <f>Age!BA28/Age!$F28</f>
        <v>6.9660502886214656E-2</v>
      </c>
      <c r="BB28">
        <f>Age!BB28/Age!$F28</f>
        <v>6.0718129341551706E-2</v>
      </c>
      <c r="BC28">
        <f>Age!BC28/Age!$F28</f>
        <v>1.761080129145876E-4</v>
      </c>
      <c r="BF28" t="str">
        <f t="shared" si="0"/>
        <v>under 60</v>
      </c>
    </row>
    <row r="29" spans="1:58">
      <c r="A29" s="1">
        <v>1158</v>
      </c>
      <c r="B29" s="1">
        <v>58</v>
      </c>
      <c r="C29" t="s">
        <v>212</v>
      </c>
      <c r="D29">
        <v>214097</v>
      </c>
      <c r="E29">
        <v>190556</v>
      </c>
      <c r="F29">
        <v>189560</v>
      </c>
      <c r="G29">
        <f>Age!G29/Age!$F29</f>
        <v>0.65764401772525849</v>
      </c>
      <c r="H29">
        <f>Age!H29/Age!$F29</f>
        <v>1.2713652669339524E-3</v>
      </c>
      <c r="I29">
        <f>Age!I29/Age!$F29</f>
        <v>1.2397130196243934E-3</v>
      </c>
      <c r="J29">
        <f>Age!J29/Age!$F29</f>
        <v>1.1711331504536823E-3</v>
      </c>
      <c r="K29">
        <f>Age!K29/Age!$F29</f>
        <v>1.1447562776957165E-3</v>
      </c>
      <c r="L29">
        <f>Age!L29/Age!$F29</f>
        <v>1.0972779067313779E-3</v>
      </c>
      <c r="M29">
        <f>Age!M29/Age!$F29</f>
        <v>2.9542097488921711E-4</v>
      </c>
      <c r="N29">
        <f>Age!N29/Age!$F29</f>
        <v>4.0092846592108041E-4</v>
      </c>
      <c r="O29">
        <f>Age!O29/Age!$F29</f>
        <v>5.2753745515931628E-6</v>
      </c>
      <c r="P29">
        <f>Age!P29/Age!$F29</f>
        <v>5.2753745515931628E-6</v>
      </c>
      <c r="Q29">
        <f>Age!Q29/Age!$F29</f>
        <v>0.25556552015193079</v>
      </c>
      <c r="R29">
        <f>Age!R29/Age!$F29</f>
        <v>3.6737708377294787E-2</v>
      </c>
      <c r="S29">
        <f>Age!S29/Age!$F29</f>
        <v>0.2137265245832454</v>
      </c>
      <c r="T29">
        <f>Age!T29/Age!$F29</f>
        <v>1.2270521207005697E-2</v>
      </c>
      <c r="U29">
        <f>Age!U29/Age!$F29</f>
        <v>1.2439333192656679E-2</v>
      </c>
      <c r="V29">
        <f>Age!V29/Age!$F29</f>
        <v>1.9634944081029754E-2</v>
      </c>
      <c r="W29">
        <f>Age!W29/Age!$F29</f>
        <v>8.2559611732433008E-2</v>
      </c>
      <c r="X29">
        <f>Age!X29/Age!$F29</f>
        <v>2.4045157206161637E-2</v>
      </c>
      <c r="Y29">
        <f>Age!Y29/Age!$F29</f>
        <v>2.2504747837096432E-2</v>
      </c>
      <c r="Z29">
        <f>Age!Z29/Age!$F29</f>
        <v>2.1613209537877189E-2</v>
      </c>
      <c r="AA29">
        <f>Age!AA29/Age!$F29</f>
        <v>3.2127031019202365E-3</v>
      </c>
      <c r="AB29">
        <f>Age!AB29/Age!$F29</f>
        <v>1.6812618695927411E-2</v>
      </c>
      <c r="AC29">
        <f>Age!AC29/Age!$F29</f>
        <v>1.2449883941759866E-3</v>
      </c>
      <c r="AD29">
        <f>Age!AD29/Age!$F29</f>
        <v>1.4254062038404727E-2</v>
      </c>
      <c r="AE29">
        <f>Age!AE29/Age!$F29</f>
        <v>8.9855454737286344E-2</v>
      </c>
      <c r="AF29">
        <f>Age!AF29/Age!$F29</f>
        <v>9.231905465288035E-4</v>
      </c>
      <c r="AG29">
        <f>Age!AG29/Age!$F29</f>
        <v>0.3846381093057607</v>
      </c>
      <c r="AH29">
        <f>Age!AH29/Age!$F29</f>
        <v>0.34819582190335513</v>
      </c>
      <c r="AI29">
        <f>Age!AI29/Age!$F29</f>
        <v>5.8873179995779703E-3</v>
      </c>
      <c r="AJ29">
        <f>Age!AJ29/Age!$F29</f>
        <v>1.4502004642329605E-2</v>
      </c>
      <c r="AK29">
        <f>Age!AK29/Age!$F29</f>
        <v>0.3028539776324119</v>
      </c>
      <c r="AL29">
        <f>Age!AL29/Age!$F29</f>
        <v>0.19222409791095169</v>
      </c>
      <c r="AM29">
        <f>Age!AM29/Age!$F29</f>
        <v>1.4929309981008651E-3</v>
      </c>
      <c r="AN29">
        <f>Age!AN29/Age!$F29</f>
        <v>0.12937328550327074</v>
      </c>
      <c r="AO29">
        <f>Age!AO29/Age!$F29</f>
        <v>5.8809875501160583E-2</v>
      </c>
      <c r="AP29">
        <f>Age!AP29/Age!$F29</f>
        <v>6.3394175986495035E-2</v>
      </c>
      <c r="AQ29">
        <f>Age!AQ29/Age!$F29</f>
        <v>4.6075121333614688E-2</v>
      </c>
      <c r="AR29">
        <f>Age!AR29/Age!$F29</f>
        <v>4.5231061405359783E-2</v>
      </c>
      <c r="AS29">
        <f>Age!AS29/Age!$F29</f>
        <v>4.3247520573960752E-2</v>
      </c>
      <c r="AT29">
        <f>Age!AT29/Age!$F29</f>
        <v>2.850284870225786E-2</v>
      </c>
      <c r="AU29">
        <f>Age!AU29/Age!$F29</f>
        <v>9.3126186959274104E-2</v>
      </c>
      <c r="AV29">
        <f>Age!AV29/Age!$F29</f>
        <v>3.0175142435112892E-2</v>
      </c>
      <c r="AW29">
        <f>Age!AW29/Age!$F29</f>
        <v>1.9872335935851446E-2</v>
      </c>
      <c r="AX29">
        <f>Age!AX29/Age!$F29</f>
        <v>6.4844903988183156E-2</v>
      </c>
      <c r="AY29">
        <f>Age!AY29/Age!$F29</f>
        <v>7.4857564887106983E-3</v>
      </c>
      <c r="AZ29">
        <f>Age!AZ29/Age!$F29</f>
        <v>5.6198565098121968E-2</v>
      </c>
      <c r="BA29">
        <f>Age!BA29/Age!$F29</f>
        <v>2.1296687064781598E-2</v>
      </c>
      <c r="BB29">
        <f>Age!BB29/Age!$F29</f>
        <v>1.6580502215657312E-2</v>
      </c>
      <c r="BC29">
        <f>Age!BC29/Age!$F29</f>
        <v>2.5321797847647186E-4</v>
      </c>
      <c r="BF29" t="str">
        <f t="shared" si="0"/>
        <v>under 60</v>
      </c>
    </row>
    <row r="30" spans="1:58">
      <c r="A30" s="1">
        <v>1169</v>
      </c>
      <c r="B30" s="1">
        <v>58</v>
      </c>
      <c r="C30" t="s">
        <v>220</v>
      </c>
      <c r="D30">
        <v>123596</v>
      </c>
      <c r="E30">
        <v>120354</v>
      </c>
      <c r="F30">
        <v>110696</v>
      </c>
      <c r="G30">
        <f>Age!G30/Age!$F30</f>
        <v>0.43671858061718583</v>
      </c>
      <c r="H30">
        <f>Age!H30/Age!$F30</f>
        <v>2.8004625280046254E-3</v>
      </c>
      <c r="I30">
        <f>Age!I30/Age!$F30</f>
        <v>2.222302522223025E-3</v>
      </c>
      <c r="J30">
        <f>Age!J30/Age!$F30</f>
        <v>2.1500325215003252E-3</v>
      </c>
      <c r="K30">
        <f>Age!K30/Age!$F30</f>
        <v>2.1500325215003252E-3</v>
      </c>
      <c r="L30">
        <f>Age!L30/Age!$F30</f>
        <v>2.1500325215003252E-3</v>
      </c>
      <c r="M30">
        <f>Age!M30/Age!$F30</f>
        <v>4.5168750451687504E-4</v>
      </c>
      <c r="N30">
        <f>Age!N30/Age!$F30</f>
        <v>1.3731300137313001E-3</v>
      </c>
      <c r="O30">
        <f>Age!O30/Age!$F30</f>
        <v>4.5168750451687506E-5</v>
      </c>
      <c r="P30">
        <f>Age!P30/Age!$F30</f>
        <v>9.0337500903375001E-6</v>
      </c>
      <c r="Q30">
        <f>Age!Q30/Age!$F30</f>
        <v>0.21415407964154079</v>
      </c>
      <c r="R30">
        <f>Age!R30/Age!$F30</f>
        <v>6.1158488111584884E-2</v>
      </c>
      <c r="S30">
        <f>Age!S30/Age!$F30</f>
        <v>0.14990604899906049</v>
      </c>
      <c r="T30">
        <f>Age!T30/Age!$F30</f>
        <v>6.0797138107971382E-3</v>
      </c>
      <c r="U30">
        <f>Age!U30/Age!$F30</f>
        <v>8.9795475897954755E-3</v>
      </c>
      <c r="V30">
        <f>Age!V30/Age!$F30</f>
        <v>3.6966105369661051E-2</v>
      </c>
      <c r="W30">
        <f>Age!W30/Age!$F30</f>
        <v>1.3098937630989377E-2</v>
      </c>
      <c r="X30">
        <f>Age!X30/Age!$F30</f>
        <v>7.9948688299486884E-3</v>
      </c>
      <c r="Y30">
        <f>Age!Y30/Age!$F30</f>
        <v>7.7419238274192385E-3</v>
      </c>
      <c r="Z30">
        <f>Age!Z30/Age!$F30</f>
        <v>2.2746982727469826E-2</v>
      </c>
      <c r="AA30">
        <f>Age!AA30/Age!$F30</f>
        <v>2.8998337789983377E-3</v>
      </c>
      <c r="AB30">
        <f>Age!AB30/Age!$F30</f>
        <v>1.2683385126833851E-2</v>
      </c>
      <c r="AC30">
        <f>Age!AC30/Age!$F30</f>
        <v>4.6343137963431383E-3</v>
      </c>
      <c r="AD30">
        <f>Age!AD30/Age!$F30</f>
        <v>3.3966900339669004E-3</v>
      </c>
      <c r="AE30">
        <f>Age!AE30/Age!$F30</f>
        <v>8.8738527137385267E-2</v>
      </c>
      <c r="AF30">
        <f>Age!AF30/Age!$F30</f>
        <v>6.5043000650430005E-4</v>
      </c>
      <c r="AG30">
        <f>Age!AG30/Age!$F30</f>
        <v>0.2107302883573029</v>
      </c>
      <c r="AH30">
        <f>Age!AH30/Age!$F30</f>
        <v>0.12318421623184216</v>
      </c>
      <c r="AI30">
        <f>Age!AI30/Age!$F30</f>
        <v>7.7690250776902506E-4</v>
      </c>
      <c r="AJ30">
        <f>Age!AJ30/Age!$F30</f>
        <v>3.6135000361350004E-4</v>
      </c>
      <c r="AK30">
        <f>Age!AK30/Age!$F30</f>
        <v>0.12003143745031437</v>
      </c>
      <c r="AL30">
        <f>Age!AL30/Age!$F30</f>
        <v>7.9632507046325074E-2</v>
      </c>
      <c r="AM30">
        <f>Age!AM30/Age!$F30</f>
        <v>2.1681000216810002E-4</v>
      </c>
      <c r="AN30">
        <f>Age!AN30/Age!$F30</f>
        <v>1.963033894630339E-2</v>
      </c>
      <c r="AO30">
        <f>Age!AO30/Age!$F30</f>
        <v>5.3570138035701383E-3</v>
      </c>
      <c r="AP30">
        <f>Age!AP30/Age!$F30</f>
        <v>1.2927296379272963E-2</v>
      </c>
      <c r="AQ30">
        <f>Age!AQ30/Age!$F30</f>
        <v>5.441027679410277E-2</v>
      </c>
      <c r="AR30">
        <f>Age!AR30/Age!$F30</f>
        <v>4.9721760497217604E-2</v>
      </c>
      <c r="AS30">
        <f>Age!AS30/Age!$F30</f>
        <v>2.6288212762882127E-3</v>
      </c>
      <c r="AT30">
        <f>Age!AT30/Age!$F30</f>
        <v>6.3236250632362509E-4</v>
      </c>
      <c r="AU30">
        <f>Age!AU30/Age!$F30</f>
        <v>3.6017561610175615E-2</v>
      </c>
      <c r="AV30">
        <f>Age!AV30/Age!$F30</f>
        <v>3.0263062802630626E-3</v>
      </c>
      <c r="AW30">
        <f>Age!AW30/Age!$F30</f>
        <v>3.8845125388451253E-4</v>
      </c>
      <c r="AX30">
        <f>Age!AX30/Age!$F30</f>
        <v>1.1662571366625714E-2</v>
      </c>
      <c r="AY30">
        <f>Age!AY30/Age!$F30</f>
        <v>1.9061212690612128E-3</v>
      </c>
      <c r="AZ30">
        <f>Age!AZ30/Age!$F30</f>
        <v>9.0337500903375015E-3</v>
      </c>
      <c r="BA30">
        <f>Age!BA30/Age!$F30</f>
        <v>2.252113897521139E-2</v>
      </c>
      <c r="BB30">
        <f>Age!BB30/Age!$F30</f>
        <v>1.3433186384331865E-2</v>
      </c>
      <c r="BC30">
        <f>Age!BC30/Age!$F30</f>
        <v>9.9371250993712516E-5</v>
      </c>
      <c r="BF30" t="str">
        <f t="shared" si="0"/>
        <v>under 60</v>
      </c>
    </row>
    <row r="31" spans="1:58">
      <c r="A31" s="1">
        <v>1226</v>
      </c>
      <c r="B31" s="1">
        <v>58</v>
      </c>
      <c r="C31" t="s">
        <v>229</v>
      </c>
      <c r="D31">
        <v>38823</v>
      </c>
      <c r="E31">
        <v>36155</v>
      </c>
      <c r="F31">
        <v>35289</v>
      </c>
      <c r="G31">
        <f>Age!G31/Age!$F31</f>
        <v>0.53554932131825783</v>
      </c>
      <c r="H31">
        <f>Age!H31/Age!$F31</f>
        <v>3.2304684179205985E-3</v>
      </c>
      <c r="I31">
        <f>Age!I31/Age!$F31</f>
        <v>3.1454560911332143E-3</v>
      </c>
      <c r="J31">
        <f>Age!J31/Age!$F31</f>
        <v>2.9187565530335233E-3</v>
      </c>
      <c r="K31">
        <f>Age!K31/Age!$F31</f>
        <v>2.9187565530335233E-3</v>
      </c>
      <c r="L31">
        <f>Age!L31/Age!$F31</f>
        <v>2.890419110771062E-3</v>
      </c>
      <c r="M31">
        <f>Age!M31/Age!$F31</f>
        <v>7.6511094108645751E-4</v>
      </c>
      <c r="N31">
        <f>Age!N31/Age!$F31</f>
        <v>1.898608631584913E-3</v>
      </c>
      <c r="O31">
        <f>Age!O31/Age!$F31</f>
        <v>2.8337442262461391E-5</v>
      </c>
      <c r="P31">
        <f>Age!P31/Age!$F31</f>
        <v>5.6674884524922782E-5</v>
      </c>
      <c r="Q31">
        <f>Age!Q31/Age!$F31</f>
        <v>0.16815438238544589</v>
      </c>
      <c r="R31">
        <f>Age!R31/Age!$F31</f>
        <v>4.1004278953781628E-2</v>
      </c>
      <c r="S31">
        <f>Age!S31/Age!$F31</f>
        <v>0.10847572898070221</v>
      </c>
      <c r="T31">
        <f>Age!T31/Age!$F31</f>
        <v>3.6470288191787811E-2</v>
      </c>
      <c r="U31">
        <f>Age!U31/Age!$F31</f>
        <v>1.671909093485222E-3</v>
      </c>
      <c r="V31">
        <f>Age!V31/Age!$F31</f>
        <v>1.5868967666978378E-3</v>
      </c>
      <c r="W31">
        <f>Age!W31/Age!$F31</f>
        <v>8.9262943126753383E-3</v>
      </c>
      <c r="X31">
        <f>Age!X31/Age!$F31</f>
        <v>1.8419337470599903E-3</v>
      </c>
      <c r="Y31">
        <f>Age!Y31/Age!$F31</f>
        <v>1.6152342089602993E-3</v>
      </c>
      <c r="Z31">
        <f>Age!Z31/Age!$F31</f>
        <v>2.5758735016577404E-2</v>
      </c>
      <c r="AA31">
        <f>Age!AA31/Age!$F31</f>
        <v>7.6511094108645756E-3</v>
      </c>
      <c r="AB31">
        <f>Age!AB31/Age!$F31</f>
        <v>9.1529938507750284E-3</v>
      </c>
      <c r="AC31">
        <f>Age!AC31/Age!$F31</f>
        <v>2.8337442262461388E-4</v>
      </c>
      <c r="AD31">
        <f>Age!AD31/Age!$F31</f>
        <v>8.3595454674261094E-3</v>
      </c>
      <c r="AE31">
        <f>Age!AE31/Age!$F31</f>
        <v>6.5856215817960265E-2</v>
      </c>
      <c r="AF31">
        <f>Age!AF31/Age!$F31</f>
        <v>8.2178582561138027E-4</v>
      </c>
      <c r="AG31">
        <f>Age!AG31/Age!$F31</f>
        <v>0.35532318852900335</v>
      </c>
      <c r="AH31">
        <f>Age!AH31/Age!$F31</f>
        <v>0.33160474935532319</v>
      </c>
      <c r="AI31">
        <f>Age!AI31/Age!$F31</f>
        <v>2.0119584006347588E-3</v>
      </c>
      <c r="AJ31">
        <f>Age!AJ31/Age!$F31</f>
        <v>9.0679815239876451E-4</v>
      </c>
      <c r="AK31">
        <f>Age!AK31/Age!$F31</f>
        <v>0.32009974779676387</v>
      </c>
      <c r="AL31">
        <f>Age!AL31/Age!$F31</f>
        <v>0.25228824846269376</v>
      </c>
      <c r="AM31">
        <f>Age!AM31/Age!$F31</f>
        <v>7.6511094108645751E-4</v>
      </c>
      <c r="AN31">
        <f>Age!AN31/Age!$F31</f>
        <v>0.10833404176938989</v>
      </c>
      <c r="AO31">
        <f>Age!AO31/Age!$F31</f>
        <v>3.547847771260166E-2</v>
      </c>
      <c r="AP31">
        <f>Age!AP31/Age!$F31</f>
        <v>6.1492249709541216E-2</v>
      </c>
      <c r="AQ31">
        <f>Age!AQ31/Age!$F31</f>
        <v>0.11230128368613448</v>
      </c>
      <c r="AR31">
        <f>Age!AR31/Age!$F31</f>
        <v>0.10096630678114993</v>
      </c>
      <c r="AS31">
        <f>Age!AS31/Age!$F31</f>
        <v>1.4707132534217461E-2</v>
      </c>
      <c r="AT31">
        <f>Age!AT31/Age!$F31</f>
        <v>6.3475870667913511E-3</v>
      </c>
      <c r="AU31">
        <f>Age!AU31/Age!$F31</f>
        <v>5.7298308254696929E-2</v>
      </c>
      <c r="AV31">
        <f>Age!AV31/Age!$F31</f>
        <v>8.2745331406387252E-3</v>
      </c>
      <c r="AW31">
        <f>Age!AW31/Age!$F31</f>
        <v>2.0686332851596813E-3</v>
      </c>
      <c r="AX31">
        <f>Age!AX31/Age!$F31</f>
        <v>1.7597551644988524E-2</v>
      </c>
      <c r="AY31">
        <f>Age!AY31/Age!$F31</f>
        <v>2.7770693417212161E-3</v>
      </c>
      <c r="AZ31">
        <f>Age!AZ31/Age!$F31</f>
        <v>1.3800334381818697E-2</v>
      </c>
      <c r="BA31">
        <f>Age!BA31/Age!$F31</f>
        <v>3.5648502366176428E-2</v>
      </c>
      <c r="BB31">
        <f>Age!BB31/Age!$F31</f>
        <v>2.1111394485533737E-2</v>
      </c>
      <c r="BC31">
        <f>Age!BC31/Age!$F31</f>
        <v>1.1334976904984556E-4</v>
      </c>
      <c r="BF31" t="str">
        <f t="shared" si="0"/>
        <v>under 60</v>
      </c>
    </row>
    <row r="32" spans="1:58">
      <c r="A32" s="1">
        <v>1210</v>
      </c>
      <c r="B32" s="1">
        <v>59</v>
      </c>
      <c r="C32" t="s">
        <v>228</v>
      </c>
      <c r="D32">
        <v>66184</v>
      </c>
      <c r="E32">
        <v>59940</v>
      </c>
      <c r="F32">
        <v>58794</v>
      </c>
      <c r="G32">
        <f>Age!G32/Age!$F32</f>
        <v>0.35297819505391709</v>
      </c>
      <c r="H32">
        <f>Age!H32/Age!$F32</f>
        <v>7.3476885396469025E-3</v>
      </c>
      <c r="I32">
        <f>Age!I32/Age!$F32</f>
        <v>7.1776031567847062E-3</v>
      </c>
      <c r="J32">
        <f>Age!J32/Age!$F32</f>
        <v>6.735381161342994E-3</v>
      </c>
      <c r="K32">
        <f>Age!K32/Age!$F32</f>
        <v>6.7183726230567748E-3</v>
      </c>
      <c r="L32">
        <f>Age!L32/Age!$F32</f>
        <v>6.6843555464843355E-3</v>
      </c>
      <c r="M32">
        <f>Age!M32/Age!$F32</f>
        <v>2.5002551280742932E-3</v>
      </c>
      <c r="N32">
        <f>Age!N32/Age!$F32</f>
        <v>3.163588121236861E-3</v>
      </c>
      <c r="O32">
        <f>Age!O32/Age!$F32</f>
        <v>3.4017076572439365E-5</v>
      </c>
      <c r="P32">
        <f>Age!P32/Age!$F32</f>
        <v>6.8034153144878729E-5</v>
      </c>
      <c r="Q32">
        <f>Age!Q32/Age!$F32</f>
        <v>0.17464367112290369</v>
      </c>
      <c r="R32">
        <f>Age!R32/Age!$F32</f>
        <v>7.4140218389631599E-2</v>
      </c>
      <c r="S32">
        <f>Age!S32/Age!$F32</f>
        <v>9.1301833520427256E-2</v>
      </c>
      <c r="T32">
        <f>Age!T32/Age!$F32</f>
        <v>3.4527332721025956E-3</v>
      </c>
      <c r="U32">
        <f>Age!U32/Age!$F32</f>
        <v>5.1025614858659046E-4</v>
      </c>
      <c r="V32">
        <f>Age!V32/Age!$F32</f>
        <v>2.0920502092050207E-3</v>
      </c>
      <c r="W32">
        <f>Age!W32/Age!$F32</f>
        <v>3.2571350818110689E-2</v>
      </c>
      <c r="X32">
        <f>Age!X32/Age!$F32</f>
        <v>1.0290165663162907E-2</v>
      </c>
      <c r="Y32">
        <f>Age!Y32/Age!$F32</f>
        <v>9.5247814402830214E-3</v>
      </c>
      <c r="Z32">
        <f>Age!Z32/Age!$F32</f>
        <v>2.0937510630336428E-2</v>
      </c>
      <c r="AA32">
        <f>Age!AA32/Age!$F32</f>
        <v>4.7453821818552915E-3</v>
      </c>
      <c r="AB32">
        <f>Age!AB32/Age!$F32</f>
        <v>1.124264380719121E-2</v>
      </c>
      <c r="AC32">
        <f>Age!AC32/Age!$F32</f>
        <v>6.8034153144878732E-4</v>
      </c>
      <c r="AD32">
        <f>Age!AD32/Age!$F32</f>
        <v>1.0103071742014491E-2</v>
      </c>
      <c r="AE32">
        <f>Age!AE32/Age!$F32</f>
        <v>2.4407252440725245E-2</v>
      </c>
      <c r="AF32">
        <f>Age!AF32/Age!$F32</f>
        <v>3.4017076572439366E-4</v>
      </c>
      <c r="AG32">
        <f>Age!AG32/Age!$F32</f>
        <v>0.16437051399802702</v>
      </c>
      <c r="AH32">
        <f>Age!AH32/Age!$F32</f>
        <v>0.15624043269721399</v>
      </c>
      <c r="AI32">
        <f>Age!AI32/Age!$F32</f>
        <v>5.1025614858659046E-4</v>
      </c>
      <c r="AJ32">
        <f>Age!AJ32/Age!$F32</f>
        <v>7.6538422287988569E-4</v>
      </c>
      <c r="AK32">
        <f>Age!AK32/Age!$F32</f>
        <v>0.15183522128108309</v>
      </c>
      <c r="AL32">
        <f>Age!AL32/Age!$F32</f>
        <v>9.7748069530904508E-2</v>
      </c>
      <c r="AM32">
        <f>Age!AM32/Age!$F32</f>
        <v>5.1025614858659046E-4</v>
      </c>
      <c r="AN32">
        <f>Age!AN32/Age!$F32</f>
        <v>6.1298771983535734E-2</v>
      </c>
      <c r="AO32">
        <f>Age!AO32/Age!$F32</f>
        <v>1.1922985338639997E-2</v>
      </c>
      <c r="AP32">
        <f>Age!AP32/Age!$F32</f>
        <v>4.3303738476715314E-2</v>
      </c>
      <c r="AQ32">
        <f>Age!AQ32/Age!$F32</f>
        <v>2.8115113787121136E-2</v>
      </c>
      <c r="AR32">
        <f>Age!AR32/Age!$F32</f>
        <v>2.7111610028234173E-2</v>
      </c>
      <c r="AS32">
        <f>Age!AS32/Age!$F32</f>
        <v>7.0755519270673875E-3</v>
      </c>
      <c r="AT32">
        <f>Age!AT32/Age!$F32</f>
        <v>1.7518794434806272E-3</v>
      </c>
      <c r="AU32">
        <f>Age!AU32/Age!$F32</f>
        <v>4.641630098309351E-2</v>
      </c>
      <c r="AV32">
        <f>Age!AV32/Age!$F32</f>
        <v>1.709358097765078E-2</v>
      </c>
      <c r="AW32">
        <f>Age!AW32/Age!$F32</f>
        <v>1.343674524611355E-3</v>
      </c>
      <c r="AX32">
        <f>Age!AX32/Age!$F32</f>
        <v>1.3011531788958057E-2</v>
      </c>
      <c r="AY32">
        <f>Age!AY32/Age!$F32</f>
        <v>4.405211416130898E-3</v>
      </c>
      <c r="AZ32">
        <f>Age!AZ32/Age!$F32</f>
        <v>7.2626458482158048E-3</v>
      </c>
      <c r="BA32">
        <f>Age!BA32/Age!$F32</f>
        <v>3.2027077592951661E-2</v>
      </c>
      <c r="BB32">
        <f>Age!BB32/Age!$F32</f>
        <v>2.6822464877368439E-2</v>
      </c>
      <c r="BC32">
        <f>Age!BC32/Age!$F32</f>
        <v>8.5042691431098415E-5</v>
      </c>
      <c r="BF32" t="str">
        <f t="shared" si="0"/>
        <v>under 60</v>
      </c>
    </row>
    <row r="33" spans="1:58">
      <c r="A33" s="1"/>
      <c r="B33" s="1"/>
      <c r="G33" t="e">
        <f>Age!G33/Age!$F33</f>
        <v>#DIV/0!</v>
      </c>
      <c r="H33" t="e">
        <f>Age!H33/Age!$F33</f>
        <v>#DIV/0!</v>
      </c>
      <c r="I33" t="e">
        <f>Age!I33/Age!$F33</f>
        <v>#DIV/0!</v>
      </c>
      <c r="J33" t="e">
        <f>Age!J33/Age!$F33</f>
        <v>#DIV/0!</v>
      </c>
      <c r="K33" t="e">
        <f>Age!K33/Age!$F33</f>
        <v>#DIV/0!</v>
      </c>
      <c r="L33" t="e">
        <f>Age!L33/Age!$F33</f>
        <v>#DIV/0!</v>
      </c>
      <c r="M33" t="e">
        <f>Age!M33/Age!$F33</f>
        <v>#DIV/0!</v>
      </c>
      <c r="N33" t="e">
        <f>Age!N33/Age!$F33</f>
        <v>#DIV/0!</v>
      </c>
      <c r="O33" t="e">
        <f>Age!O33/Age!$F33</f>
        <v>#DIV/0!</v>
      </c>
      <c r="P33" t="e">
        <f>Age!P33/Age!$F33</f>
        <v>#DIV/0!</v>
      </c>
      <c r="Q33" t="e">
        <f>Age!Q33/Age!$F33</f>
        <v>#DIV/0!</v>
      </c>
      <c r="R33" t="e">
        <f>Age!R33/Age!$F33</f>
        <v>#DIV/0!</v>
      </c>
      <c r="S33" t="e">
        <f>Age!S33/Age!$F33</f>
        <v>#DIV/0!</v>
      </c>
      <c r="T33" t="e">
        <f>Age!T33/Age!$F33</f>
        <v>#DIV/0!</v>
      </c>
      <c r="U33" t="e">
        <f>Age!U33/Age!$F33</f>
        <v>#DIV/0!</v>
      </c>
      <c r="V33" t="e">
        <f>Age!V33/Age!$F33</f>
        <v>#DIV/0!</v>
      </c>
      <c r="W33" t="e">
        <f>Age!W33/Age!$F33</f>
        <v>#DIV/0!</v>
      </c>
      <c r="X33" t="e">
        <f>Age!X33/Age!$F33</f>
        <v>#DIV/0!</v>
      </c>
      <c r="Y33" t="e">
        <f>Age!Y33/Age!$F33</f>
        <v>#DIV/0!</v>
      </c>
      <c r="Z33" t="e">
        <f>Age!Z33/Age!$F33</f>
        <v>#DIV/0!</v>
      </c>
      <c r="AA33" t="e">
        <f>Age!AA33/Age!$F33</f>
        <v>#DIV/0!</v>
      </c>
      <c r="AB33" t="e">
        <f>Age!AB33/Age!$F33</f>
        <v>#DIV/0!</v>
      </c>
      <c r="AC33" t="e">
        <f>Age!AC33/Age!$F33</f>
        <v>#DIV/0!</v>
      </c>
      <c r="AD33" t="e">
        <f>Age!AD33/Age!$F33</f>
        <v>#DIV/0!</v>
      </c>
      <c r="AE33" t="e">
        <f>Age!AE33/Age!$F33</f>
        <v>#DIV/0!</v>
      </c>
      <c r="AF33" t="e">
        <f>Age!AF33/Age!$F33</f>
        <v>#DIV/0!</v>
      </c>
      <c r="AG33" t="e">
        <f>Age!AG33/Age!$F33</f>
        <v>#DIV/0!</v>
      </c>
      <c r="AH33" t="e">
        <f>Age!AH33/Age!$F33</f>
        <v>#DIV/0!</v>
      </c>
      <c r="AI33" t="e">
        <f>Age!AI33/Age!$F33</f>
        <v>#DIV/0!</v>
      </c>
      <c r="AJ33" t="e">
        <f>Age!AJ33/Age!$F33</f>
        <v>#DIV/0!</v>
      </c>
      <c r="AK33" t="e">
        <f>Age!AK33/Age!$F33</f>
        <v>#DIV/0!</v>
      </c>
      <c r="AL33" t="e">
        <f>Age!AL33/Age!$F33</f>
        <v>#DIV/0!</v>
      </c>
      <c r="AM33" t="e">
        <f>Age!AM33/Age!$F33</f>
        <v>#DIV/0!</v>
      </c>
      <c r="AN33" t="e">
        <f>Age!AN33/Age!$F33</f>
        <v>#DIV/0!</v>
      </c>
      <c r="AO33" t="e">
        <f>Age!AO33/Age!$F33</f>
        <v>#DIV/0!</v>
      </c>
      <c r="AP33" t="e">
        <f>Age!AP33/Age!$F33</f>
        <v>#DIV/0!</v>
      </c>
      <c r="AQ33" t="e">
        <f>Age!AQ33/Age!$F33</f>
        <v>#DIV/0!</v>
      </c>
      <c r="AR33" t="e">
        <f>Age!AR33/Age!$F33</f>
        <v>#DIV/0!</v>
      </c>
      <c r="AS33" t="e">
        <f>Age!AS33/Age!$F33</f>
        <v>#DIV/0!</v>
      </c>
      <c r="AT33" t="e">
        <f>Age!AT33/Age!$F33</f>
        <v>#DIV/0!</v>
      </c>
      <c r="AU33" t="e">
        <f>Age!AU33/Age!$F33</f>
        <v>#DIV/0!</v>
      </c>
      <c r="AV33" t="e">
        <f>Age!AV33/Age!$F33</f>
        <v>#DIV/0!</v>
      </c>
      <c r="AW33" t="e">
        <f>Age!AW33/Age!$F33</f>
        <v>#DIV/0!</v>
      </c>
      <c r="AX33" t="e">
        <f>Age!AX33/Age!$F33</f>
        <v>#DIV/0!</v>
      </c>
      <c r="AY33" t="e">
        <f>Age!AY33/Age!$F33</f>
        <v>#DIV/0!</v>
      </c>
      <c r="AZ33" t="e">
        <f>Age!AZ33/Age!$F33</f>
        <v>#DIV/0!</v>
      </c>
      <c r="BA33" t="e">
        <f>Age!BA33/Age!$F33</f>
        <v>#DIV/0!</v>
      </c>
      <c r="BB33" t="e">
        <f>Age!BB33/Age!$F33</f>
        <v>#DIV/0!</v>
      </c>
      <c r="BC33" t="e">
        <f>Age!BC33/Age!$F33</f>
        <v>#DIV/0!</v>
      </c>
    </row>
    <row r="34" spans="1:58">
      <c r="A34" s="1">
        <v>1059</v>
      </c>
      <c r="B34" s="1">
        <v>60</v>
      </c>
      <c r="C34" t="s">
        <v>188</v>
      </c>
      <c r="D34">
        <v>175293</v>
      </c>
      <c r="E34">
        <v>171404</v>
      </c>
      <c r="F34">
        <v>153549</v>
      </c>
      <c r="G34">
        <f>Age!G34/Age!$F34</f>
        <v>0.52888003178138576</v>
      </c>
      <c r="H34">
        <f>Age!H34/Age!$F34</f>
        <v>3.6535568450462067E-3</v>
      </c>
      <c r="I34">
        <f>Age!I34/Age!$F34</f>
        <v>3.6014562126747813E-3</v>
      </c>
      <c r="J34">
        <f>Age!J34/Age!$F34</f>
        <v>3.4712046317462177E-3</v>
      </c>
      <c r="K34">
        <f>Age!K34/Age!$F34</f>
        <v>3.4386417365140768E-3</v>
      </c>
      <c r="L34">
        <f>Age!L34/Age!$F34</f>
        <v>3.4125914203283641E-3</v>
      </c>
      <c r="M34">
        <f>Age!M34/Age!$F34</f>
        <v>9.5734911982494188E-4</v>
      </c>
      <c r="N34">
        <f>Age!N34/Age!$F34</f>
        <v>2.1231007691355852E-3</v>
      </c>
      <c r="O34">
        <f>Age!O34/Age!$F34</f>
        <v>7.1638369510709934E-5</v>
      </c>
      <c r="P34">
        <f>Age!P34/Age!$F34</f>
        <v>3.2562895232140878E-5</v>
      </c>
      <c r="Q34">
        <f>Age!Q34/Age!$F34</f>
        <v>0.26400692938410542</v>
      </c>
      <c r="R34">
        <f>Age!R34/Age!$F34</f>
        <v>4.0117486925997564E-2</v>
      </c>
      <c r="S34">
        <f>Age!S34/Age!$F34</f>
        <v>0.21895290754091529</v>
      </c>
      <c r="T34">
        <f>Age!T34/Age!$F34</f>
        <v>2.5073429328748478E-3</v>
      </c>
      <c r="U34">
        <f>Age!U34/Age!$F34</f>
        <v>1.2634403350070661E-3</v>
      </c>
      <c r="V34">
        <f>Age!V34/Age!$F34</f>
        <v>1.3624315365127744E-2</v>
      </c>
      <c r="W34">
        <f>Age!W34/Age!$F34</f>
        <v>9.7317468690776232E-2</v>
      </c>
      <c r="X34">
        <f>Age!X34/Age!$F34</f>
        <v>1.792261753577034E-2</v>
      </c>
      <c r="Y34">
        <f>Age!Y34/Age!$F34</f>
        <v>1.7303922526359664E-2</v>
      </c>
      <c r="Z34">
        <f>Age!Z34/Age!$F34</f>
        <v>5.5070368416596654E-2</v>
      </c>
      <c r="AA34">
        <f>Age!AA34/Age!$F34</f>
        <v>9.5995415144351313E-3</v>
      </c>
      <c r="AB34">
        <f>Age!AB34/Age!$F34</f>
        <v>3.9883034080326153E-2</v>
      </c>
      <c r="AC34">
        <f>Age!AC34/Age!$F34</f>
        <v>9.3781138268565734E-4</v>
      </c>
      <c r="AD34">
        <f>Age!AD34/Age!$F34</f>
        <v>3.4484106050837189E-2</v>
      </c>
      <c r="AE34">
        <f>Age!AE34/Age!$F34</f>
        <v>5.0068707708939821E-2</v>
      </c>
      <c r="AF34">
        <f>Age!AF34/Age!$F34</f>
        <v>6.5777048368924579E-4</v>
      </c>
      <c r="AG34">
        <f>Age!AG34/Age!$F34</f>
        <v>0.25432272434206671</v>
      </c>
      <c r="AH34">
        <f>Age!AH34/Age!$F34</f>
        <v>0.2367127106005249</v>
      </c>
      <c r="AI34">
        <f>Age!AI34/Age!$F34</f>
        <v>9.0524848745351645E-4</v>
      </c>
      <c r="AJ34">
        <f>Age!AJ34/Age!$F34</f>
        <v>4.298302170642596E-4</v>
      </c>
      <c r="AK34">
        <f>Age!AK34/Age!$F34</f>
        <v>0.23203016626614306</v>
      </c>
      <c r="AL34">
        <f>Age!AL34/Age!$F34</f>
        <v>0.14417547492982696</v>
      </c>
      <c r="AM34">
        <f>Age!AM34/Age!$F34</f>
        <v>3.7772958469283423E-4</v>
      </c>
      <c r="AN34">
        <f>Age!AN34/Age!$F34</f>
        <v>6.2585884636174774E-2</v>
      </c>
      <c r="AO34">
        <f>Age!AO34/Age!$F34</f>
        <v>1.9433535874541677E-2</v>
      </c>
      <c r="AP34">
        <f>Age!AP34/Age!$F34</f>
        <v>3.9062449120476198E-2</v>
      </c>
      <c r="AQ34">
        <f>Age!AQ34/Age!$F34</f>
        <v>6.8505818989377978E-2</v>
      </c>
      <c r="AR34">
        <f>Age!AR34/Age!$F34</f>
        <v>6.7216328338185208E-2</v>
      </c>
      <c r="AS34">
        <f>Age!AS34/Age!$F34</f>
        <v>1.6411699196999002E-2</v>
      </c>
      <c r="AT34">
        <f>Age!AT34/Age!$F34</f>
        <v>3.1130127841926683E-3</v>
      </c>
      <c r="AU34">
        <f>Age!AU34/Age!$F34</f>
        <v>6.335436896365329E-2</v>
      </c>
      <c r="AV34">
        <f>Age!AV34/Age!$F34</f>
        <v>1.4301623585956274E-2</v>
      </c>
      <c r="AW34">
        <f>Age!AW34/Age!$F34</f>
        <v>1.439279969260627E-3</v>
      </c>
      <c r="AX34">
        <f>Age!AX34/Age!$F34</f>
        <v>1.296003230239207E-2</v>
      </c>
      <c r="AY34">
        <f>Age!AY34/Age!$F34</f>
        <v>5.4966167151853807E-3</v>
      </c>
      <c r="AZ34">
        <f>Age!AZ34/Age!$F34</f>
        <v>6.6884186806817365E-3</v>
      </c>
      <c r="BA34">
        <f>Age!BA34/Age!$F34</f>
        <v>4.6903594292375721E-2</v>
      </c>
      <c r="BB34">
        <f>Age!BB34/Age!$F34</f>
        <v>2.7541696787344756E-2</v>
      </c>
      <c r="BC34">
        <f>Age!BC34/Age!$F34</f>
        <v>3.4516668946069334E-4</v>
      </c>
      <c r="BF34" t="str">
        <f t="shared" si="0"/>
        <v>over 60</v>
      </c>
    </row>
    <row r="35" spans="1:58">
      <c r="A35" s="1">
        <v>1107</v>
      </c>
      <c r="B35" s="1">
        <v>60</v>
      </c>
      <c r="C35" t="s">
        <v>200</v>
      </c>
      <c r="D35">
        <v>19490</v>
      </c>
      <c r="E35">
        <v>18962</v>
      </c>
      <c r="F35">
        <v>18555</v>
      </c>
      <c r="G35">
        <f>Age!G35/Age!$F35</f>
        <v>0.58032875235785497</v>
      </c>
      <c r="H35">
        <f>Age!H35/Age!$F35</f>
        <v>1.1479385610347614E-2</v>
      </c>
      <c r="I35">
        <f>Age!I35/Age!$F35</f>
        <v>1.1479385610347614E-2</v>
      </c>
      <c r="J35">
        <f>Age!J35/Age!$F35</f>
        <v>1.0940447318782E-2</v>
      </c>
      <c r="K35">
        <f>Age!K35/Age!$F35</f>
        <v>1.0940447318782E-2</v>
      </c>
      <c r="L35">
        <f>Age!L35/Age!$F35</f>
        <v>1.0832659660468875E-2</v>
      </c>
      <c r="M35">
        <f>Age!M35/Age!$F35</f>
        <v>4.7426569657774186E-3</v>
      </c>
      <c r="N35">
        <f>Age!N35/Age!$F35</f>
        <v>3.5569927243330637E-3</v>
      </c>
      <c r="O35">
        <f>Age!O35/Age!$F35</f>
        <v>1.0778765831312315E-4</v>
      </c>
      <c r="P35">
        <f>Age!P35/Age!$F35</f>
        <v>5.3893829156561574E-5</v>
      </c>
      <c r="Q35">
        <f>Age!Q35/Age!$F35</f>
        <v>0.35273511182969552</v>
      </c>
      <c r="R35">
        <f>Age!R35/Age!$F35</f>
        <v>8.4343842630018859E-2</v>
      </c>
      <c r="S35">
        <f>Age!S35/Age!$F35</f>
        <v>0.24963621665319322</v>
      </c>
      <c r="T35">
        <f>Age!T35/Age!$F35</f>
        <v>7.1678792778226896E-3</v>
      </c>
      <c r="U35">
        <f>Age!U35/Age!$F35</f>
        <v>4.4731878199946104E-3</v>
      </c>
      <c r="V35">
        <f>Age!V35/Age!$F35</f>
        <v>8.7308003233629757E-3</v>
      </c>
      <c r="W35">
        <f>Age!W35/Age!$F35</f>
        <v>9.673942333602803E-2</v>
      </c>
      <c r="X35">
        <f>Age!X35/Age!$F35</f>
        <v>6.0145513338722714E-2</v>
      </c>
      <c r="Y35">
        <f>Age!Y35/Age!$F35</f>
        <v>5.9229318243061171E-2</v>
      </c>
      <c r="Z35">
        <f>Age!Z35/Age!$F35</f>
        <v>3.907302613850714E-2</v>
      </c>
      <c r="AA35">
        <f>Age!AA35/Age!$F35</f>
        <v>1.7784963621665319E-3</v>
      </c>
      <c r="AB35">
        <f>Age!AB35/Age!$F35</f>
        <v>3.2012934518997574E-2</v>
      </c>
      <c r="AC35">
        <f>Age!AC35/Age!$F35</f>
        <v>1.8323901913230936E-3</v>
      </c>
      <c r="AD35">
        <f>Age!AD35/Age!$F35</f>
        <v>2.6946914578280787E-2</v>
      </c>
      <c r="AE35">
        <f>Age!AE35/Age!$F35</f>
        <v>8.3589329021827002E-2</v>
      </c>
      <c r="AF35">
        <f>Age!AF35/Age!$F35</f>
        <v>1.2934518997574779E-3</v>
      </c>
      <c r="AG35">
        <f>Age!AG35/Age!$F35</f>
        <v>0.20296416060361089</v>
      </c>
      <c r="AH35">
        <f>Age!AH35/Age!$F35</f>
        <v>0.19046079223928861</v>
      </c>
      <c r="AI35">
        <f>Age!AI35/Age!$F35</f>
        <v>8.0840743734842356E-4</v>
      </c>
      <c r="AJ35">
        <f>Age!AJ35/Age!$F35</f>
        <v>6.0361088655348965E-3</v>
      </c>
      <c r="AK35">
        <f>Age!AK35/Age!$F35</f>
        <v>0.17316087308003233</v>
      </c>
      <c r="AL35">
        <f>Age!AL35/Age!$F35</f>
        <v>7.8523309081110215E-2</v>
      </c>
      <c r="AM35">
        <f>Age!AM35/Age!$F35</f>
        <v>1.2395580706009162E-3</v>
      </c>
      <c r="AN35">
        <f>Age!AN35/Age!$F35</f>
        <v>2.6946914578280787E-2</v>
      </c>
      <c r="AO35">
        <f>Age!AO35/Age!$F35</f>
        <v>2.1557531662624628E-3</v>
      </c>
      <c r="AP35">
        <f>Age!AP35/Age!$F35</f>
        <v>2.4252223120452707E-2</v>
      </c>
      <c r="AQ35">
        <f>Age!AQ35/Age!$F35</f>
        <v>4.3707895445971437E-2</v>
      </c>
      <c r="AR35">
        <f>Age!AR35/Age!$F35</f>
        <v>4.354621395850175E-2</v>
      </c>
      <c r="AS35">
        <f>Age!AS35/Age!$F35</f>
        <v>8.7846941525195361E-3</v>
      </c>
      <c r="AT35">
        <f>Age!AT35/Age!$F35</f>
        <v>1.9940716787927781E-3</v>
      </c>
      <c r="AU35">
        <f>Age!AU35/Age!$F35</f>
        <v>8.3373753705200754E-2</v>
      </c>
      <c r="AV35">
        <f>Age!AV35/Age!$F35</f>
        <v>1.8647264888170305E-2</v>
      </c>
      <c r="AW35">
        <f>Age!AW35/Age!$F35</f>
        <v>1.4551333872271624E-3</v>
      </c>
      <c r="AX35">
        <f>Age!AX35/Age!$F35</f>
        <v>1.2934518997574777E-2</v>
      </c>
      <c r="AY35">
        <f>Age!AY35/Age!$F35</f>
        <v>1.0239827539746699E-2</v>
      </c>
      <c r="AZ35">
        <f>Age!AZ35/Age!$F35</f>
        <v>2.1557531662624628E-3</v>
      </c>
      <c r="BA35">
        <f>Age!BA35/Age!$F35</f>
        <v>6.2624629479924546E-2</v>
      </c>
      <c r="BB35">
        <f>Age!BB35/Age!$F35</f>
        <v>5.4378873618970626E-2</v>
      </c>
      <c r="BC35">
        <f>Age!BC35/Age!$F35</f>
        <v>3.7725680409593103E-4</v>
      </c>
      <c r="BF35" t="str">
        <f t="shared" si="0"/>
        <v>over 60</v>
      </c>
    </row>
    <row r="36" spans="1:58">
      <c r="A36" s="1">
        <v>1091</v>
      </c>
      <c r="B36" s="1">
        <v>61</v>
      </c>
      <c r="C36" t="s">
        <v>195</v>
      </c>
      <c r="D36">
        <v>219518</v>
      </c>
      <c r="E36">
        <v>216315</v>
      </c>
      <c r="F36">
        <v>196851</v>
      </c>
      <c r="G36">
        <f>Age!G36/Age!$F36</f>
        <v>0.47555765528242172</v>
      </c>
      <c r="H36">
        <f>Age!H36/Age!$F36</f>
        <v>1.7932344768378113E-3</v>
      </c>
      <c r="I36">
        <f>Age!I36/Age!$F36</f>
        <v>1.7932344768378113E-3</v>
      </c>
      <c r="J36">
        <f>Age!J36/Age!$F36</f>
        <v>1.7068747428257921E-3</v>
      </c>
      <c r="K36">
        <f>Age!K36/Age!$F36</f>
        <v>1.6763948367039029E-3</v>
      </c>
      <c r="L36">
        <f>Age!L36/Age!$F36</f>
        <v>1.6662348679966066E-3</v>
      </c>
      <c r="M36">
        <f>Age!M36/Age!$F36</f>
        <v>9.3979710542491525E-4</v>
      </c>
      <c r="N36">
        <f>Age!N36/Age!$F36</f>
        <v>9.6519702719315628E-5</v>
      </c>
      <c r="O36">
        <f>Age!O36/Age!$F36</f>
        <v>0</v>
      </c>
      <c r="P36">
        <f>Age!P36/Age!$F36</f>
        <v>0</v>
      </c>
      <c r="Q36">
        <f>Age!Q36/Age!$F36</f>
        <v>0.17558457919949608</v>
      </c>
      <c r="R36">
        <f>Age!R36/Age!$F36</f>
        <v>2.1965852345174775E-2</v>
      </c>
      <c r="S36">
        <f>Age!S36/Age!$F36</f>
        <v>0.14911278073263534</v>
      </c>
      <c r="T36">
        <f>Age!T36/Age!$F36</f>
        <v>3.4696293135417144E-3</v>
      </c>
      <c r="U36">
        <f>Age!U36/Age!$F36</f>
        <v>1.3456878552814057E-2</v>
      </c>
      <c r="V36">
        <f>Age!V36/Age!$F36</f>
        <v>3.4325454277600823E-2</v>
      </c>
      <c r="W36">
        <f>Age!W36/Age!$F36</f>
        <v>5.9999695200938778E-2</v>
      </c>
      <c r="X36">
        <f>Age!X36/Age!$F36</f>
        <v>5.2364478717405551E-2</v>
      </c>
      <c r="Y36">
        <f>Age!Y36/Age!$F36</f>
        <v>5.1130042519469038E-2</v>
      </c>
      <c r="Z36">
        <f>Age!Z36/Age!$F36</f>
        <v>8.6105734794336836E-3</v>
      </c>
      <c r="AA36">
        <f>Age!AA36/Age!$F36</f>
        <v>1.2699960884120477E-3</v>
      </c>
      <c r="AB36">
        <f>Age!AB36/Age!$F36</f>
        <v>6.5684197692671108E-3</v>
      </c>
      <c r="AC36">
        <f>Age!AC36/Age!$F36</f>
        <v>5.8927818502319017E-4</v>
      </c>
      <c r="AD36">
        <f>Age!AD36/Age!$F36</f>
        <v>4.5770659026370198E-3</v>
      </c>
      <c r="AE36">
        <f>Age!AE36/Age!$F36</f>
        <v>6.6730674469522633E-2</v>
      </c>
      <c r="AF36">
        <f>Age!AF36/Age!$F36</f>
        <v>6.2483807549872745E-4</v>
      </c>
      <c r="AG36">
        <f>Age!AG36/Age!$F36</f>
        <v>0.29422761377894957</v>
      </c>
      <c r="AH36">
        <f>Age!AH36/Age!$F36</f>
        <v>0.28124825375537843</v>
      </c>
      <c r="AI36">
        <f>Age!AI36/Age!$F36</f>
        <v>1.2852360414729923E-3</v>
      </c>
      <c r="AJ36">
        <f>Age!AJ36/Age!$F36</f>
        <v>1.8084744298987559E-3</v>
      </c>
      <c r="AK36">
        <f>Age!AK36/Age!$F36</f>
        <v>0.27145404392154471</v>
      </c>
      <c r="AL36">
        <f>Age!AL36/Age!$F36</f>
        <v>0.19773839096575582</v>
      </c>
      <c r="AM36">
        <f>Age!AM36/Age!$F36</f>
        <v>4.6227857618198536E-4</v>
      </c>
      <c r="AN36">
        <f>Age!AN36/Age!$F36</f>
        <v>0.132526631817974</v>
      </c>
      <c r="AO36">
        <f>Age!AO36/Age!$F36</f>
        <v>2.7670674774321696E-2</v>
      </c>
      <c r="AP36">
        <f>Age!AP36/Age!$F36</f>
        <v>9.2089956362934405E-2</v>
      </c>
      <c r="AQ36">
        <f>Age!AQ36/Age!$F36</f>
        <v>4.9606047213374582E-2</v>
      </c>
      <c r="AR36">
        <f>Age!AR36/Age!$F36</f>
        <v>4.888976941951019E-2</v>
      </c>
      <c r="AS36">
        <f>Age!AS36/Age!$F36</f>
        <v>1.1236925390269797E-2</v>
      </c>
      <c r="AT36">
        <f>Age!AT36/Age!$F36</f>
        <v>4.2113070291743505E-3</v>
      </c>
      <c r="AU36">
        <f>Age!AU36/Age!$F36</f>
        <v>6.295116611040838E-2</v>
      </c>
      <c r="AV36">
        <f>Age!AV36/Age!$F36</f>
        <v>5.648942601256788E-3</v>
      </c>
      <c r="AW36">
        <f>Age!AW36/Age!$F36</f>
        <v>8.6359734012019245E-4</v>
      </c>
      <c r="AX36">
        <f>Age!AX36/Age!$F36</f>
        <v>1.595115087045532E-2</v>
      </c>
      <c r="AY36">
        <f>Age!AY36/Age!$F36</f>
        <v>6.1975809114507927E-3</v>
      </c>
      <c r="AZ36">
        <f>Age!AZ36/Age!$F36</f>
        <v>8.2549745746783101E-3</v>
      </c>
      <c r="BA36">
        <f>Age!BA36/Age!$F36</f>
        <v>4.3113827209412196E-2</v>
      </c>
      <c r="BB36">
        <f>Age!BB36/Age!$F36</f>
        <v>2.990078790557325E-2</v>
      </c>
      <c r="BC36">
        <f>Age!BC36/Age!$F36</f>
        <v>6.2483807549872745E-4</v>
      </c>
      <c r="BF36" t="str">
        <f t="shared" si="0"/>
        <v>over 60</v>
      </c>
    </row>
    <row r="37" spans="1:58">
      <c r="A37" s="1">
        <v>1154</v>
      </c>
      <c r="B37" s="1">
        <v>61</v>
      </c>
      <c r="C37" t="s">
        <v>208</v>
      </c>
      <c r="D37">
        <v>105939</v>
      </c>
      <c r="E37">
        <v>97892</v>
      </c>
      <c r="F37">
        <v>91684</v>
      </c>
      <c r="G37">
        <f>Age!G37/Age!$F37</f>
        <v>0.66018062039178049</v>
      </c>
      <c r="H37">
        <f>Age!H37/Age!$F37</f>
        <v>3.6538545438680684E-3</v>
      </c>
      <c r="I37">
        <f>Age!I37/Age!$F37</f>
        <v>3.5011561450198508E-3</v>
      </c>
      <c r="J37">
        <f>Age!J37/Age!$F37</f>
        <v>3.3593647746607913E-3</v>
      </c>
      <c r="K37">
        <f>Age!K37/Age!$F37</f>
        <v>3.3048296322149995E-3</v>
      </c>
      <c r="L37">
        <f>Age!L37/Age!$F37</f>
        <v>3.2939226037258409E-3</v>
      </c>
      <c r="M37">
        <f>Age!M37/Age!$F37</f>
        <v>1.1561450198507919E-3</v>
      </c>
      <c r="N37">
        <f>Age!N37/Age!$F37</f>
        <v>1.4615418175472274E-3</v>
      </c>
      <c r="O37">
        <f>Age!O37/Age!$F37</f>
        <v>2.1814056978316828E-5</v>
      </c>
      <c r="P37">
        <f>Age!P37/Age!$F37</f>
        <v>3.272108546747524E-5</v>
      </c>
      <c r="Q37">
        <f>Age!Q37/Age!$F37</f>
        <v>0.35116268923694427</v>
      </c>
      <c r="R37">
        <f>Age!R37/Age!$F37</f>
        <v>8.1628201212861573E-2</v>
      </c>
      <c r="S37">
        <f>Age!S37/Age!$F37</f>
        <v>0.2608306792897343</v>
      </c>
      <c r="T37">
        <f>Age!T37/Age!$F37</f>
        <v>1.5498887483094106E-2</v>
      </c>
      <c r="U37">
        <f>Age!U37/Age!$F37</f>
        <v>1.9021857685092274E-2</v>
      </c>
      <c r="V37">
        <f>Age!V37/Age!$F37</f>
        <v>4.1174032546573008E-2</v>
      </c>
      <c r="W37">
        <f>Age!W37/Age!$F37</f>
        <v>9.7487020636097904E-2</v>
      </c>
      <c r="X37">
        <f>Age!X37/Age!$F37</f>
        <v>2.0003490249116532E-2</v>
      </c>
      <c r="Y37">
        <f>Age!Y37/Age!$F37</f>
        <v>1.9643558308974303E-2</v>
      </c>
      <c r="Z37">
        <f>Age!Z37/Age!$F37</f>
        <v>4.7816412896470484E-2</v>
      </c>
      <c r="AA37">
        <f>Age!AA37/Age!$F37</f>
        <v>4.351904367174207E-3</v>
      </c>
      <c r="AB37">
        <f>Age!AB37/Age!$F37</f>
        <v>3.1128659308058113E-2</v>
      </c>
      <c r="AC37">
        <f>Age!AC37/Age!$F37</f>
        <v>6.1951921818419794E-3</v>
      </c>
      <c r="AD37">
        <f>Age!AD37/Age!$F37</f>
        <v>2.0745168186379302E-2</v>
      </c>
      <c r="AE37">
        <f>Age!AE37/Age!$F37</f>
        <v>9.5894594476680778E-2</v>
      </c>
      <c r="AF37">
        <f>Age!AF37/Age!$F37</f>
        <v>4.9081628201212864E-4</v>
      </c>
      <c r="AG37">
        <f>Age!AG37/Age!$F37</f>
        <v>0.29976877099602983</v>
      </c>
      <c r="AH37">
        <f>Age!AH37/Age!$F37</f>
        <v>0.2770712447100912</v>
      </c>
      <c r="AI37">
        <f>Age!AI37/Age!$F37</f>
        <v>4.3191832817067316E-3</v>
      </c>
      <c r="AJ37">
        <f>Age!AJ37/Age!$F37</f>
        <v>2.3668251821473757E-3</v>
      </c>
      <c r="AK37">
        <f>Age!AK37/Age!$F37</f>
        <v>0.25939095152916541</v>
      </c>
      <c r="AL37">
        <f>Age!AL37/Age!$F37</f>
        <v>0.18220191091139129</v>
      </c>
      <c r="AM37">
        <f>Age!AM37/Age!$F37</f>
        <v>2.4868024955281183E-3</v>
      </c>
      <c r="AN37">
        <f>Age!AN37/Age!$F37</f>
        <v>6.9597748789319833E-2</v>
      </c>
      <c r="AO37">
        <f>Age!AO37/Age!$F37</f>
        <v>1.6131495135465294E-2</v>
      </c>
      <c r="AP37">
        <f>Age!AP37/Age!$F37</f>
        <v>5.1306662013001179E-2</v>
      </c>
      <c r="AQ37">
        <f>Age!AQ37/Age!$F37</f>
        <v>9.909035382400419E-2</v>
      </c>
      <c r="AR37">
        <f>Age!AR37/Age!$F37</f>
        <v>9.0550150516993153E-2</v>
      </c>
      <c r="AS37">
        <f>Age!AS37/Age!$F37</f>
        <v>3.841455433881593E-2</v>
      </c>
      <c r="AT37">
        <f>Age!AT37/Age!$F37</f>
        <v>1.1245146372322325E-2</v>
      </c>
      <c r="AU37">
        <f>Age!AU37/Age!$F37</f>
        <v>6.9630469874787312E-2</v>
      </c>
      <c r="AV37">
        <f>Age!AV37/Age!$F37</f>
        <v>1.7353082326251035E-2</v>
      </c>
      <c r="AW37">
        <f>Age!AW37/Age!$F37</f>
        <v>2.4322673530823261E-3</v>
      </c>
      <c r="AX37">
        <f>Age!AX37/Age!$F37</f>
        <v>1.3088434186990097E-2</v>
      </c>
      <c r="AY37">
        <f>Age!AY37/Age!$F37</f>
        <v>4.5700449369573751E-3</v>
      </c>
      <c r="AZ37">
        <f>Age!AZ37/Age!$F37</f>
        <v>7.8312464552157419E-3</v>
      </c>
      <c r="BA37">
        <f>Age!BA37/Age!$F37</f>
        <v>5.3411718511408753E-2</v>
      </c>
      <c r="BB37">
        <f>Age!BB37/Age!$F37</f>
        <v>2.3886392391256926E-2</v>
      </c>
      <c r="BC37">
        <f>Age!BC37/Age!$F37</f>
        <v>9.4891147855678197E-4</v>
      </c>
      <c r="BF37" t="str">
        <f t="shared" si="0"/>
        <v>over 60</v>
      </c>
    </row>
    <row r="38" spans="1:58">
      <c r="A38" s="1">
        <v>1157</v>
      </c>
      <c r="B38" s="1">
        <v>61</v>
      </c>
      <c r="C38" t="s">
        <v>211</v>
      </c>
      <c r="D38">
        <v>137475</v>
      </c>
      <c r="E38">
        <v>125596</v>
      </c>
      <c r="F38">
        <v>123468</v>
      </c>
      <c r="G38">
        <f>Age!G38/Age!$F38</f>
        <v>0.72336961803868205</v>
      </c>
      <c r="H38">
        <f>Age!H38/Age!$F38</f>
        <v>2.4054815822723299E-3</v>
      </c>
      <c r="I38">
        <f>Age!I38/Age!$F38</f>
        <v>2.2758933488839215E-3</v>
      </c>
      <c r="J38">
        <f>Age!J38/Age!$F38</f>
        <v>1.9924190883467783E-3</v>
      </c>
      <c r="K38">
        <f>Age!K38/Age!$F38</f>
        <v>1.960022029999676E-3</v>
      </c>
      <c r="L38">
        <f>Age!L38/Age!$F38</f>
        <v>1.911426442479023E-3</v>
      </c>
      <c r="M38">
        <f>Age!M38/Age!$F38</f>
        <v>2.4297793760326563E-4</v>
      </c>
      <c r="N38">
        <f>Age!N38/Age!$F38</f>
        <v>1.2553860109502056E-3</v>
      </c>
      <c r="O38">
        <f>Age!O38/Age!$F38</f>
        <v>4.0496322933877603E-5</v>
      </c>
      <c r="P38">
        <f>Age!P38/Age!$F38</f>
        <v>3.2397058347102081E-5</v>
      </c>
      <c r="Q38">
        <f>Age!Q38/Age!$F38</f>
        <v>0.25323970583471023</v>
      </c>
      <c r="R38">
        <f>Age!R38/Age!$F38</f>
        <v>5.5633848446561052E-2</v>
      </c>
      <c r="S38">
        <f>Age!S38/Age!$F38</f>
        <v>0.19004114426410082</v>
      </c>
      <c r="T38">
        <f>Age!T38/Age!$F38</f>
        <v>7.8562866491722547E-3</v>
      </c>
      <c r="U38">
        <f>Age!U38/Age!$F38</f>
        <v>1.2189393203097159E-2</v>
      </c>
      <c r="V38">
        <f>Age!V38/Age!$F38</f>
        <v>2.2378268053260764E-2</v>
      </c>
      <c r="W38">
        <f>Age!W38/Age!$F38</f>
        <v>0.10160527424109891</v>
      </c>
      <c r="X38">
        <f>Age!X38/Age!$F38</f>
        <v>3.5766352415200701E-2</v>
      </c>
      <c r="Y38">
        <f>Age!Y38/Age!$F38</f>
        <v>3.5409984773382579E-2</v>
      </c>
      <c r="Z38">
        <f>Age!Z38/Age!$F38</f>
        <v>2.0960896750575046E-2</v>
      </c>
      <c r="AA38">
        <f>Age!AA38/Age!$F38</f>
        <v>2.5998639323549424E-3</v>
      </c>
      <c r="AB38">
        <f>Age!AB38/Age!$F38</f>
        <v>1.5234716687724754E-2</v>
      </c>
      <c r="AC38">
        <f>Age!AC38/Age!$F38</f>
        <v>3.2559043638837595E-3</v>
      </c>
      <c r="AD38">
        <f>Age!AD38/Age!$F38</f>
        <v>1.112029027764279E-2</v>
      </c>
      <c r="AE38">
        <f>Age!AE38/Age!$F38</f>
        <v>5.5609550652800724E-2</v>
      </c>
      <c r="AF38">
        <f>Age!AF38/Age!$F38</f>
        <v>5.9934557942138852E-4</v>
      </c>
      <c r="AG38">
        <f>Age!AG38/Age!$F38</f>
        <v>0.44516797874752972</v>
      </c>
      <c r="AH38">
        <f>Age!AH38/Age!$F38</f>
        <v>0.40817053811513915</v>
      </c>
      <c r="AI38">
        <f>Age!AI38/Age!$F38</f>
        <v>5.6694852107428643E-3</v>
      </c>
      <c r="AJ38">
        <f>Age!AJ38/Age!$F38</f>
        <v>3.1668124534292288E-3</v>
      </c>
      <c r="AK38">
        <f>Age!AK38/Age!$F38</f>
        <v>0.38159685100592866</v>
      </c>
      <c r="AL38">
        <f>Age!AL38/Age!$F38</f>
        <v>0.28924093692292741</v>
      </c>
      <c r="AM38">
        <f>Age!AM38/Age!$F38</f>
        <v>2.8266433407846568E-3</v>
      </c>
      <c r="AN38">
        <f>Age!AN38/Age!$F38</f>
        <v>0.16695824019179059</v>
      </c>
      <c r="AO38">
        <f>Age!AO38/Age!$F38</f>
        <v>8.9140506042051385E-2</v>
      </c>
      <c r="AP38">
        <f>Age!AP38/Age!$F38</f>
        <v>6.6746039459617074E-2</v>
      </c>
      <c r="AQ38">
        <f>Age!AQ38/Age!$F38</f>
        <v>9.6689020636926165E-2</v>
      </c>
      <c r="AR38">
        <f>Age!AR38/Age!$F38</f>
        <v>8.756114944763016E-2</v>
      </c>
      <c r="AS38">
        <f>Age!AS38/Age!$F38</f>
        <v>6.4939903456766132E-2</v>
      </c>
      <c r="AT38">
        <f>Age!AT38/Age!$F38</f>
        <v>3.5709657563093272E-2</v>
      </c>
      <c r="AU38">
        <f>Age!AU38/Age!$F38</f>
        <v>7.3905789354326623E-2</v>
      </c>
      <c r="AV38">
        <f>Age!AV38/Age!$F38</f>
        <v>3.1303657627887387E-2</v>
      </c>
      <c r="AW38">
        <f>Age!AW38/Age!$F38</f>
        <v>1.7032753425988919E-2</v>
      </c>
      <c r="AX38">
        <f>Age!AX38/Age!$F38</f>
        <v>1.6822172546732756E-2</v>
      </c>
      <c r="AY38">
        <f>Age!AY38/Age!$F38</f>
        <v>4.7947646353711081E-3</v>
      </c>
      <c r="AZ38">
        <f>Age!AZ38/Age!$F38</f>
        <v>1.1541452036155118E-2</v>
      </c>
      <c r="BA38">
        <f>Age!BA38/Age!$F38</f>
        <v>4.8749473547801861E-2</v>
      </c>
      <c r="BB38">
        <f>Age!BB38/Age!$F38</f>
        <v>3.1133573071565102E-2</v>
      </c>
      <c r="BC38">
        <f>Age!BC38/Age!$F38</f>
        <v>5.3455146272718434E-4</v>
      </c>
      <c r="BF38" t="str">
        <f t="shared" si="0"/>
        <v>over 60</v>
      </c>
    </row>
    <row r="39" spans="1:58">
      <c r="A39" s="1">
        <v>1178</v>
      </c>
      <c r="B39" s="1">
        <v>61</v>
      </c>
      <c r="C39" t="s">
        <v>222</v>
      </c>
      <c r="D39">
        <v>89352</v>
      </c>
      <c r="E39">
        <v>81651</v>
      </c>
      <c r="F39">
        <v>80568</v>
      </c>
      <c r="G39">
        <f>Age!G39/Age!$F39</f>
        <v>0.50063300565981528</v>
      </c>
      <c r="H39">
        <f>Age!H39/Age!$F39</f>
        <v>1.1543044384867441E-2</v>
      </c>
      <c r="I39">
        <f>Age!I39/Age!$F39</f>
        <v>1.0711448714129679E-2</v>
      </c>
      <c r="J39">
        <f>Age!J39/Age!$F39</f>
        <v>1.0165326184092939E-2</v>
      </c>
      <c r="K39">
        <f>Age!K39/Age!$F39</f>
        <v>1.0103266805679674E-2</v>
      </c>
      <c r="L39">
        <f>Age!L39/Age!$F39</f>
        <v>9.8053817892959985E-3</v>
      </c>
      <c r="M39">
        <f>Age!M39/Age!$F39</f>
        <v>2.4823751365306325E-3</v>
      </c>
      <c r="N39">
        <f>Age!N39/Age!$F39</f>
        <v>5.126104656935756E-3</v>
      </c>
      <c r="O39">
        <f>Age!O39/Age!$F39</f>
        <v>1.7376625955714428E-4</v>
      </c>
      <c r="P39">
        <f>Age!P39/Age!$F39</f>
        <v>1.4894250819183795E-4</v>
      </c>
      <c r="Q39">
        <f>Age!Q39/Age!$F39</f>
        <v>0.19614487141296794</v>
      </c>
      <c r="R39">
        <f>Age!R39/Age!$F39</f>
        <v>2.4972693873498163E-2</v>
      </c>
      <c r="S39">
        <f>Age!S39/Age!$F39</f>
        <v>0.1604607288253401</v>
      </c>
      <c r="T39">
        <f>Age!T39/Age!$F39</f>
        <v>9.5447323999602821E-3</v>
      </c>
      <c r="U39">
        <f>Age!U39/Age!$F39</f>
        <v>1.2784231953132757E-2</v>
      </c>
      <c r="V39">
        <f>Age!V39/Age!$F39</f>
        <v>1.9362526064938934E-2</v>
      </c>
      <c r="W39">
        <f>Age!W39/Age!$F39</f>
        <v>4.3205739251315656E-2</v>
      </c>
      <c r="X39">
        <f>Age!X39/Age!$F39</f>
        <v>7.2485353986694468E-3</v>
      </c>
      <c r="Y39">
        <f>Age!Y39/Age!$F39</f>
        <v>6.9754741336510769E-3</v>
      </c>
      <c r="Z39">
        <f>Age!Z39/Age!$F39</f>
        <v>5.3420712938139214E-2</v>
      </c>
      <c r="AA39">
        <f>Age!AA39/Age!$F39</f>
        <v>1.0550094330255189E-2</v>
      </c>
      <c r="AB39">
        <f>Age!AB39/Age!$F39</f>
        <v>3.686327077747989E-2</v>
      </c>
      <c r="AC39">
        <f>Age!AC39/Age!$F39</f>
        <v>4.8902790189653458E-3</v>
      </c>
      <c r="AD39">
        <f>Age!AD39/Age!$F39</f>
        <v>2.9329262238109423E-2</v>
      </c>
      <c r="AE39">
        <f>Age!AE39/Age!$F39</f>
        <v>5.2080230364412672E-2</v>
      </c>
      <c r="AF39">
        <f>Age!AF39/Age!$F39</f>
        <v>8.8124317346837452E-4</v>
      </c>
      <c r="AG39">
        <f>Age!AG39/Age!$F39</f>
        <v>0.26004120742726639</v>
      </c>
      <c r="AH39">
        <f>Age!AH39/Age!$F39</f>
        <v>0.23374044285572435</v>
      </c>
      <c r="AI39">
        <f>Age!AI39/Age!$F39</f>
        <v>4.4186277430245261E-3</v>
      </c>
      <c r="AJ39">
        <f>Age!AJ39/Age!$F39</f>
        <v>7.5588322907357763E-3</v>
      </c>
      <c r="AK39">
        <f>Age!AK39/Age!$F39</f>
        <v>0.20498212689901699</v>
      </c>
      <c r="AL39">
        <f>Age!AL39/Age!$F39</f>
        <v>9.94811835964651E-2</v>
      </c>
      <c r="AM39">
        <f>Age!AM39/Age!$F39</f>
        <v>1.2287756925826632E-3</v>
      </c>
      <c r="AN39">
        <f>Age!AN39/Age!$F39</f>
        <v>4.6941713831794261E-2</v>
      </c>
      <c r="AO39">
        <f>Age!AO39/Age!$F39</f>
        <v>2.4004567570251215E-2</v>
      </c>
      <c r="AP39">
        <f>Age!AP39/Age!$F39</f>
        <v>2.0206533611359347E-2</v>
      </c>
      <c r="AQ39">
        <f>Age!AQ39/Age!$F39</f>
        <v>4.2597557342865654E-2</v>
      </c>
      <c r="AR39">
        <f>Age!AR39/Age!$F39</f>
        <v>3.7943103961870721E-2</v>
      </c>
      <c r="AS39">
        <f>Age!AS39/Age!$F39</f>
        <v>2.739300963161553E-2</v>
      </c>
      <c r="AT39">
        <f>Age!AT39/Age!$F39</f>
        <v>2.0318240492503227E-2</v>
      </c>
      <c r="AU39">
        <f>Age!AU39/Age!$F39</f>
        <v>9.8165524774103868E-2</v>
      </c>
      <c r="AV39">
        <f>Age!AV39/Age!$F39</f>
        <v>3.3834773110912521E-2</v>
      </c>
      <c r="AW39">
        <f>Age!AW39/Age!$F39</f>
        <v>2.5729818290140007E-2</v>
      </c>
      <c r="AX39">
        <f>Age!AX39/Age!$F39</f>
        <v>8.5393704696653753E-3</v>
      </c>
      <c r="AY39">
        <f>Age!AY39/Age!$F39</f>
        <v>2.6189057690398174E-3</v>
      </c>
      <c r="AZ39">
        <f>Age!AZ39/Age!$F39</f>
        <v>5.5481084301459635E-3</v>
      </c>
      <c r="BA39">
        <f>Age!BA39/Age!$F39</f>
        <v>7.8256876179128187E-2</v>
      </c>
      <c r="BB39">
        <f>Age!BB39/Age!$F39</f>
        <v>2.5667758911726742E-2</v>
      </c>
      <c r="BC39">
        <f>Age!BC39/Age!$F39</f>
        <v>3.1029689206632906E-4</v>
      </c>
      <c r="BF39" t="str">
        <f t="shared" si="0"/>
        <v>over 60</v>
      </c>
    </row>
    <row r="40" spans="1:58">
      <c r="A40" s="1">
        <v>1069</v>
      </c>
      <c r="B40" s="1">
        <v>62</v>
      </c>
      <c r="C40" t="s">
        <v>191</v>
      </c>
      <c r="D40">
        <v>195514</v>
      </c>
      <c r="E40">
        <v>191326</v>
      </c>
      <c r="F40">
        <v>189278</v>
      </c>
      <c r="G40">
        <f>Age!G40/Age!$F40</f>
        <v>0.80237005885522883</v>
      </c>
      <c r="H40">
        <f>Age!H40/Age!$F40</f>
        <v>2.524857616838724E-2</v>
      </c>
      <c r="I40">
        <f>Age!I40/Age!$F40</f>
        <v>2.5074229440294169E-2</v>
      </c>
      <c r="J40">
        <f>Age!J40/Age!$F40</f>
        <v>2.4133813755428522E-2</v>
      </c>
      <c r="K40">
        <f>Age!K40/Age!$F40</f>
        <v>2.40756981793975E-2</v>
      </c>
      <c r="L40">
        <f>Age!L40/Age!$F40</f>
        <v>2.4022865837551116E-2</v>
      </c>
      <c r="M40">
        <f>Age!M40/Age!$F40</f>
        <v>5.41531503925443E-3</v>
      </c>
      <c r="N40">
        <f>Age!N40/Age!$F40</f>
        <v>1.5955367237608174E-2</v>
      </c>
      <c r="O40">
        <f>Age!O40/Age!$F40</f>
        <v>2.1132936738553872E-5</v>
      </c>
      <c r="P40">
        <f>Age!P40/Age!$F40</f>
        <v>1.9019643064698485E-4</v>
      </c>
      <c r="Q40">
        <f>Age!Q40/Age!$F40</f>
        <v>0.47632054438445037</v>
      </c>
      <c r="R40">
        <f>Age!R40/Age!$F40</f>
        <v>0.1255824765688564</v>
      </c>
      <c r="S40">
        <f>Age!S40/Age!$F40</f>
        <v>0.33767262967698308</v>
      </c>
      <c r="T40">
        <f>Age!T40/Age!$F40</f>
        <v>6.1602510592884538E-3</v>
      </c>
      <c r="U40">
        <f>Age!U40/Age!$F40</f>
        <v>1.6430858314225637E-3</v>
      </c>
      <c r="V40">
        <f>Age!V40/Age!$F40</f>
        <v>6.4349792368896541E-3</v>
      </c>
      <c r="W40">
        <f>Age!W40/Age!$F40</f>
        <v>0.16747852365303945</v>
      </c>
      <c r="X40">
        <f>Age!X40/Age!$F40</f>
        <v>4.1114128424856559E-2</v>
      </c>
      <c r="Y40">
        <f>Age!Y40/Age!$F40</f>
        <v>4.0052198353744226E-2</v>
      </c>
      <c r="Z40">
        <f>Age!Z40/Age!$F40</f>
        <v>9.6308075951774638E-2</v>
      </c>
      <c r="AA40">
        <f>Age!AA40/Age!$F40</f>
        <v>2.0345734845042741E-2</v>
      </c>
      <c r="AB40">
        <f>Age!AB40/Age!$F40</f>
        <v>5.8348038335147241E-2</v>
      </c>
      <c r="AC40">
        <f>Age!AC40/Age!$F40</f>
        <v>9.1399951394245497E-4</v>
      </c>
      <c r="AD40">
        <f>Age!AD40/Age!$F40</f>
        <v>5.2103255528904574E-2</v>
      </c>
      <c r="AE40">
        <f>Age!AE40/Age!$F40</f>
        <v>4.2160208793414977E-2</v>
      </c>
      <c r="AF40">
        <f>Age!AF40/Age!$F40</f>
        <v>6.4455457052589311E-4</v>
      </c>
      <c r="AG40">
        <f>Age!AG40/Age!$F40</f>
        <v>0.28237301746637222</v>
      </c>
      <c r="AH40">
        <f>Age!AH40/Age!$F40</f>
        <v>0.26525533870814355</v>
      </c>
      <c r="AI40">
        <f>Age!AI40/Age!$F40</f>
        <v>1.4528894007755787E-3</v>
      </c>
      <c r="AJ40">
        <f>Age!AJ40/Age!$F40</f>
        <v>1.5321379135451558E-3</v>
      </c>
      <c r="AK40">
        <f>Age!AK40/Age!$F40</f>
        <v>0.25793805936241931</v>
      </c>
      <c r="AL40">
        <f>Age!AL40/Age!$F40</f>
        <v>0.17429389575122306</v>
      </c>
      <c r="AM40">
        <f>Age!AM40/Age!$F40</f>
        <v>5.7058929194095463E-4</v>
      </c>
      <c r="AN40">
        <f>Age!AN40/Age!$F40</f>
        <v>0.14141632942021787</v>
      </c>
      <c r="AO40">
        <f>Age!AO40/Age!$F40</f>
        <v>3.7970604084996674E-2</v>
      </c>
      <c r="AP40">
        <f>Age!AP40/Age!$F40</f>
        <v>8.7944716237491949E-2</v>
      </c>
      <c r="AQ40">
        <f>Age!AQ40/Age!$F40</f>
        <v>2.7715846532613404E-2</v>
      </c>
      <c r="AR40">
        <f>Age!AR40/Age!$F40</f>
        <v>2.6754297911009202E-2</v>
      </c>
      <c r="AS40">
        <f>Age!AS40/Age!$F40</f>
        <v>1.9510983843869862E-2</v>
      </c>
      <c r="AT40">
        <f>Age!AT40/Age!$F40</f>
        <v>1.2468432675746785E-2</v>
      </c>
      <c r="AU40">
        <f>Age!AU40/Age!$F40</f>
        <v>7.5323069770390647E-2</v>
      </c>
      <c r="AV40">
        <f>Age!AV40/Age!$F40</f>
        <v>1.5199864749204874E-2</v>
      </c>
      <c r="AW40">
        <f>Age!AW40/Age!$F40</f>
        <v>3.8726106573399974E-3</v>
      </c>
      <c r="AX40">
        <f>Age!AX40/Age!$F40</f>
        <v>4.5224484620505288E-2</v>
      </c>
      <c r="AY40">
        <f>Age!AY40/Age!$F40</f>
        <v>7.2591637696932552E-3</v>
      </c>
      <c r="AZ40">
        <f>Age!AZ40/Age!$F40</f>
        <v>3.3786282610763003E-2</v>
      </c>
      <c r="BA40">
        <f>Age!BA40/Age!$F40</f>
        <v>2.8635129280740499E-2</v>
      </c>
      <c r="BB40">
        <f>Age!BB40/Age!$F40</f>
        <v>2.1259734358985198E-2</v>
      </c>
      <c r="BC40">
        <f>Age!BC40/Age!$F40</f>
        <v>1.0777797736662474E-3</v>
      </c>
      <c r="BF40" t="str">
        <f t="shared" si="0"/>
        <v>over 60</v>
      </c>
    </row>
    <row r="41" spans="1:58">
      <c r="A41" s="1">
        <v>1159</v>
      </c>
      <c r="B41" s="1">
        <v>62</v>
      </c>
      <c r="C41" t="s">
        <v>213</v>
      </c>
      <c r="D41">
        <v>152950</v>
      </c>
      <c r="E41">
        <v>139335</v>
      </c>
      <c r="F41">
        <v>134934</v>
      </c>
      <c r="G41">
        <f>Age!G41/Age!$F41</f>
        <v>0.64281055923636743</v>
      </c>
      <c r="H41">
        <f>Age!H41/Age!$F41</f>
        <v>5.7880148813494008E-3</v>
      </c>
      <c r="I41">
        <f>Age!I41/Age!$F41</f>
        <v>5.6694383921028057E-3</v>
      </c>
      <c r="J41">
        <f>Age!J41/Age!$F41</f>
        <v>5.3729971689863189E-3</v>
      </c>
      <c r="K41">
        <f>Age!K41/Age!$F41</f>
        <v>5.3137089243630222E-3</v>
      </c>
      <c r="L41">
        <f>Age!L41/Age!$F41</f>
        <v>5.2914758326292853E-3</v>
      </c>
      <c r="M41">
        <f>Age!M41/Age!$F41</f>
        <v>8.5226851645989893E-4</v>
      </c>
      <c r="N41">
        <f>Age!N41/Age!$F41</f>
        <v>3.6314049831769604E-3</v>
      </c>
      <c r="O41">
        <f>Age!O41/Age!$F41</f>
        <v>1.0375442809077031E-4</v>
      </c>
      <c r="P41">
        <f>Age!P41/Age!$F41</f>
        <v>7.4110305779121648E-5</v>
      </c>
      <c r="Q41">
        <f>Age!Q41/Age!$F41</f>
        <v>0.28694028191560317</v>
      </c>
      <c r="R41">
        <f>Age!R41/Age!$F41</f>
        <v>5.9799605733173257E-2</v>
      </c>
      <c r="S41">
        <f>Age!S41/Age!$F41</f>
        <v>0.22187143344153437</v>
      </c>
      <c r="T41">
        <f>Age!T41/Age!$F41</f>
        <v>6.2993759912253399E-3</v>
      </c>
      <c r="U41">
        <f>Age!U41/Age!$F41</f>
        <v>6.484651755673144E-3</v>
      </c>
      <c r="V41">
        <f>Age!V41/Age!$F41</f>
        <v>2.4819541405427838E-2</v>
      </c>
      <c r="W41">
        <f>Age!W41/Age!$F41</f>
        <v>9.7988646301154642E-2</v>
      </c>
      <c r="X41">
        <f>Age!X41/Age!$F41</f>
        <v>1.287296011383343E-2</v>
      </c>
      <c r="Y41">
        <f>Age!Y41/Age!$F41</f>
        <v>5.469340566499177E-3</v>
      </c>
      <c r="Z41">
        <f>Age!Z41/Age!$F41</f>
        <v>4.1998310285028234E-2</v>
      </c>
      <c r="AA41">
        <f>Age!AA41/Age!$F41</f>
        <v>6.9070804986141373E-3</v>
      </c>
      <c r="AB41">
        <f>Age!AB41/Age!$F41</f>
        <v>2.362636548238398E-2</v>
      </c>
      <c r="AC41">
        <f>Age!AC41/Age!$F41</f>
        <v>2.890301925385744E-4</v>
      </c>
      <c r="AD41">
        <f>Age!AD41/Age!$F41</f>
        <v>2.2759274904768256E-2</v>
      </c>
      <c r="AE41">
        <f>Age!AE41/Age!$F41</f>
        <v>7.3450724057687461E-2</v>
      </c>
      <c r="AF41">
        <f>Age!AF41/Age!$F41</f>
        <v>7.9298027183660161E-4</v>
      </c>
      <c r="AG41">
        <f>Age!AG41/Age!$F41</f>
        <v>0.34359019965316379</v>
      </c>
      <c r="AH41">
        <f>Age!AH41/Age!$F41</f>
        <v>0.32577408214386294</v>
      </c>
      <c r="AI41">
        <f>Age!AI41/Age!$F41</f>
        <v>1.8082914610105681E-3</v>
      </c>
      <c r="AJ41">
        <f>Age!AJ41/Age!$F41</f>
        <v>6.0325788904205015E-3</v>
      </c>
      <c r="AK41">
        <f>Age!AK41/Age!$F41</f>
        <v>0.30471934427201447</v>
      </c>
      <c r="AL41">
        <f>Age!AL41/Age!$F41</f>
        <v>0.17599715416425807</v>
      </c>
      <c r="AM41">
        <f>Age!AM41/Age!$F41</f>
        <v>1.8305245527443046E-3</v>
      </c>
      <c r="AN41">
        <f>Age!AN41/Age!$F41</f>
        <v>7.2465056990825144E-2</v>
      </c>
      <c r="AO41">
        <f>Age!AO41/Age!$F41</f>
        <v>1.9676286184356798E-2</v>
      </c>
      <c r="AP41">
        <f>Age!AP41/Age!$F41</f>
        <v>5.0513584419049316E-2</v>
      </c>
      <c r="AQ41">
        <f>Age!AQ41/Age!$F41</f>
        <v>7.9364726458861376E-2</v>
      </c>
      <c r="AR41">
        <f>Age!AR41/Age!$F41</f>
        <v>7.8838543287829604E-2</v>
      </c>
      <c r="AS41">
        <f>Age!AS41/Age!$F41</f>
        <v>1.591889368135533E-2</v>
      </c>
      <c r="AT41">
        <f>Age!AT41/Age!$F41</f>
        <v>2.26036432626321E-3</v>
      </c>
      <c r="AU41">
        <f>Age!AU41/Age!$F41</f>
        <v>0.10266500659581722</v>
      </c>
      <c r="AV41">
        <f>Age!AV41/Age!$F41</f>
        <v>2.7405991077119184E-2</v>
      </c>
      <c r="AW41">
        <f>Age!AW41/Age!$F41</f>
        <v>1.2005869536217705E-3</v>
      </c>
      <c r="AX41">
        <f>Age!AX41/Age!$F41</f>
        <v>1.1716839343679132E-2</v>
      </c>
      <c r="AY41">
        <f>Age!AY41/Age!$F41</f>
        <v>5.098789037603569E-3</v>
      </c>
      <c r="AZ41">
        <f>Age!AZ41/Age!$F41</f>
        <v>6.2623208383357793E-3</v>
      </c>
      <c r="BA41">
        <f>Age!BA41/Age!$F41</f>
        <v>8.6219929743430124E-2</v>
      </c>
      <c r="BB41">
        <f>Age!BB41/Age!$F41</f>
        <v>6.6580698711962885E-2</v>
      </c>
      <c r="BC41">
        <f>Age!BC41/Age!$F41</f>
        <v>4.372508040968177E-4</v>
      </c>
      <c r="BF41" t="str">
        <f t="shared" si="0"/>
        <v>over 60</v>
      </c>
    </row>
    <row r="42" spans="1:58">
      <c r="A42" s="1">
        <v>1031</v>
      </c>
      <c r="B42" s="1">
        <v>63</v>
      </c>
      <c r="C42" t="s">
        <v>180</v>
      </c>
      <c r="D42">
        <v>74917</v>
      </c>
      <c r="E42">
        <v>72976</v>
      </c>
      <c r="F42">
        <v>71165</v>
      </c>
      <c r="G42">
        <f>Age!G42/Age!$F42</f>
        <v>0.57390571207756624</v>
      </c>
      <c r="H42">
        <f>Age!H42/Age!$F42</f>
        <v>9.9908662966345808E-3</v>
      </c>
      <c r="I42">
        <f>Age!I42/Age!$F42</f>
        <v>9.9346588913089302E-3</v>
      </c>
      <c r="J42">
        <f>Age!J42/Age!$F42</f>
        <v>9.5693107566921943E-3</v>
      </c>
      <c r="K42">
        <f>Age!K42/Age!$F42</f>
        <v>9.5552589053607816E-3</v>
      </c>
      <c r="L42">
        <f>Age!L42/Age!$F42</f>
        <v>9.5552589053607816E-3</v>
      </c>
      <c r="M42">
        <f>Age!M42/Age!$F42</f>
        <v>3.7658961568186608E-3</v>
      </c>
      <c r="N42">
        <f>Age!N42/Age!$F42</f>
        <v>4.2015035480924608E-3</v>
      </c>
      <c r="O42">
        <f>Age!O42/Age!$F42</f>
        <v>9.8362959319890389E-5</v>
      </c>
      <c r="P42">
        <f>Age!P42/Age!$F42</f>
        <v>9.8362959319890389E-5</v>
      </c>
      <c r="Q42">
        <f>Age!Q42/Age!$F42</f>
        <v>0.22942457668797864</v>
      </c>
      <c r="R42">
        <f>Age!R42/Age!$F42</f>
        <v>6.7252160472142206E-2</v>
      </c>
      <c r="S42">
        <f>Age!S42/Age!$F42</f>
        <v>0.15150706105529405</v>
      </c>
      <c r="T42">
        <f>Age!T42/Age!$F42</f>
        <v>5.6488442352279917E-3</v>
      </c>
      <c r="U42">
        <f>Age!U42/Age!$F42</f>
        <v>3.9204665214642026E-3</v>
      </c>
      <c r="V42">
        <f>Age!V42/Age!$F42</f>
        <v>1.0159488512611536E-2</v>
      </c>
      <c r="W42">
        <f>Age!W42/Age!$F42</f>
        <v>4.7242324176210215E-2</v>
      </c>
      <c r="X42">
        <f>Age!X42/Age!$F42</f>
        <v>1.3630295791470527E-2</v>
      </c>
      <c r="Y42">
        <f>Age!Y42/Age!$F42</f>
        <v>1.292770322489988E-2</v>
      </c>
      <c r="Z42">
        <f>Age!Z42/Age!$F42</f>
        <v>2.8202065622145719E-2</v>
      </c>
      <c r="AA42">
        <f>Age!AA42/Age!$F42</f>
        <v>5.7753108972107073E-3</v>
      </c>
      <c r="AB42">
        <f>Age!AB42/Age!$F42</f>
        <v>1.9124569662052976E-2</v>
      </c>
      <c r="AC42">
        <f>Age!AC42/Age!$F42</f>
        <v>5.9017775591934242E-4</v>
      </c>
      <c r="AD42">
        <f>Age!AD42/Age!$F42</f>
        <v>1.6651443827724304E-2</v>
      </c>
      <c r="AE42">
        <f>Age!AE42/Age!$F42</f>
        <v>6.50741235157732E-2</v>
      </c>
      <c r="AF42">
        <f>Age!AF42/Age!$F42</f>
        <v>4.4965924260521325E-4</v>
      </c>
      <c r="AG42">
        <f>Age!AG42/Age!$F42</f>
        <v>0.32922082484367315</v>
      </c>
      <c r="AH42">
        <f>Age!AH42/Age!$F42</f>
        <v>0.3191315955877187</v>
      </c>
      <c r="AI42">
        <f>Age!AI42/Age!$F42</f>
        <v>2.2342443616946532E-3</v>
      </c>
      <c r="AJ42">
        <f>Age!AJ42/Age!$F42</f>
        <v>3.5129628328532284E-4</v>
      </c>
      <c r="AK42">
        <f>Age!AK42/Age!$F42</f>
        <v>0.30742640342865174</v>
      </c>
      <c r="AL42">
        <f>Age!AL42/Age!$F42</f>
        <v>0.1583222089510293</v>
      </c>
      <c r="AM42">
        <f>Age!AM42/Age!$F42</f>
        <v>7.1664441790205856E-4</v>
      </c>
      <c r="AN42">
        <f>Age!AN42/Age!$F42</f>
        <v>0.11661631419939578</v>
      </c>
      <c r="AO42">
        <f>Age!AO42/Age!$F42</f>
        <v>1.5541347572542682E-2</v>
      </c>
      <c r="AP42">
        <f>Age!AP42/Age!$F42</f>
        <v>9.3332396543244572E-2</v>
      </c>
      <c r="AQ42">
        <f>Age!AQ42/Age!$F42</f>
        <v>3.1279421063725145E-2</v>
      </c>
      <c r="AR42">
        <f>Age!AR42/Age!$F42</f>
        <v>3.1152954401742431E-2</v>
      </c>
      <c r="AS42">
        <f>Age!AS42/Age!$F42</f>
        <v>1.6637391976392888E-2</v>
      </c>
      <c r="AT42">
        <f>Age!AT42/Age!$F42</f>
        <v>6.7870441930724373E-3</v>
      </c>
      <c r="AU42">
        <f>Age!AU42/Age!$F42</f>
        <v>0.13807349118246329</v>
      </c>
      <c r="AV42">
        <f>Age!AV42/Age!$F42</f>
        <v>3.5256094990514998E-2</v>
      </c>
      <c r="AW42">
        <f>Age!AW42/Age!$F42</f>
        <v>3.90641467013279E-3</v>
      </c>
      <c r="AX42">
        <f>Age!AX42/Age!$F42</f>
        <v>4.379962060001405E-2</v>
      </c>
      <c r="AY42">
        <f>Age!AY42/Age!$F42</f>
        <v>2.2089510292981101E-2</v>
      </c>
      <c r="AZ42">
        <f>Age!AZ42/Age!$F42</f>
        <v>1.7311880840300709E-2</v>
      </c>
      <c r="BA42">
        <f>Age!BA42/Age!$F42</f>
        <v>8.4831026487739755E-2</v>
      </c>
      <c r="BB42">
        <f>Age!BB42/Age!$F42</f>
        <v>7.7257078620108194E-2</v>
      </c>
      <c r="BC42">
        <f>Age!BC42/Age!$F42</f>
        <v>4.215555399423874E-5</v>
      </c>
      <c r="BF42" t="str">
        <f t="shared" si="0"/>
        <v>over 60</v>
      </c>
    </row>
    <row r="43" spans="1:58">
      <c r="A43" s="1">
        <v>1205</v>
      </c>
      <c r="B43" s="1">
        <v>64</v>
      </c>
      <c r="C43" t="s">
        <v>226</v>
      </c>
      <c r="D43">
        <v>35601</v>
      </c>
      <c r="E43">
        <v>32502</v>
      </c>
      <c r="F43">
        <v>31893</v>
      </c>
      <c r="G43">
        <f>Age!G43/Age!$F43</f>
        <v>0.39284482488320321</v>
      </c>
      <c r="H43">
        <f>Age!H43/Age!$F43</f>
        <v>4.3583231430094375E-3</v>
      </c>
      <c r="I43">
        <f>Age!I43/Age!$F43</f>
        <v>4.1388392437211926E-3</v>
      </c>
      <c r="J43">
        <f>Age!J43/Age!$F43</f>
        <v>3.7939359734110935E-3</v>
      </c>
      <c r="K43">
        <f>Age!K43/Age!$F43</f>
        <v>3.7939359734110935E-3</v>
      </c>
      <c r="L43">
        <f>Age!L43/Age!$F43</f>
        <v>3.7939359734110935E-3</v>
      </c>
      <c r="M43">
        <f>Age!M43/Age!$F43</f>
        <v>8.1522591164205312E-4</v>
      </c>
      <c r="N43">
        <f>Age!N43/Age!$F43</f>
        <v>2.2889035211488416E-3</v>
      </c>
      <c r="O43">
        <f>Age!O43/Age!$F43</f>
        <v>6.2709685510927156E-5</v>
      </c>
      <c r="P43">
        <f>Age!P43/Age!$F43</f>
        <v>0</v>
      </c>
      <c r="Q43">
        <f>Age!Q43/Age!$F43</f>
        <v>9.6133947888251345E-2</v>
      </c>
      <c r="R43">
        <f>Age!R43/Age!$F43</f>
        <v>1.8812905653278148E-2</v>
      </c>
      <c r="S43">
        <f>Age!S43/Age!$F43</f>
        <v>7.2900009406452831E-2</v>
      </c>
      <c r="T43">
        <f>Age!T43/Age!$F43</f>
        <v>1.8812905653278148E-3</v>
      </c>
      <c r="U43">
        <f>Age!U43/Age!$F43</f>
        <v>4.0761295582102656E-4</v>
      </c>
      <c r="V43">
        <f>Age!V43/Age!$F43</f>
        <v>7.054839619979306E-3</v>
      </c>
      <c r="W43">
        <f>Age!W43/Age!$F43</f>
        <v>2.1697551186780798E-2</v>
      </c>
      <c r="X43">
        <f>Age!X43/Age!$F43</f>
        <v>2.0694196218605963E-3</v>
      </c>
      <c r="Y43">
        <f>Age!Y43/Age!$F43</f>
        <v>8.1522591164205312E-4</v>
      </c>
      <c r="Z43">
        <f>Age!Z43/Age!$F43</f>
        <v>1.5395227792932618E-2</v>
      </c>
      <c r="AA43">
        <f>Age!AA43/Age!$F43</f>
        <v>4.170194086476656E-3</v>
      </c>
      <c r="AB43">
        <f>Age!AB43/Age!$F43</f>
        <v>9.8454206252155639E-3</v>
      </c>
      <c r="AC43">
        <f>Age!AC43/Age!$F43</f>
        <v>2.1948389928824508E-4</v>
      </c>
      <c r="AD43">
        <f>Age!AD43/Age!$F43</f>
        <v>9.4378076693945375E-3</v>
      </c>
      <c r="AE43">
        <f>Age!AE43/Age!$F43</f>
        <v>3.2859875207725833E-2</v>
      </c>
      <c r="AF43">
        <f>Age!AF43/Age!$F43</f>
        <v>1.0347098109302981E-3</v>
      </c>
      <c r="AG43">
        <f>Age!AG43/Age!$F43</f>
        <v>0.28896623083435236</v>
      </c>
      <c r="AH43">
        <f>Age!AH43/Age!$F43</f>
        <v>0.27228545448844577</v>
      </c>
      <c r="AI43">
        <f>Age!AI43/Age!$F43</f>
        <v>1.2855485529740069E-3</v>
      </c>
      <c r="AJ43">
        <f>Age!AJ43/Age!$F43</f>
        <v>1.5677421377731791E-4</v>
      </c>
      <c r="AK43">
        <f>Age!AK43/Age!$F43</f>
        <v>0.26469758254162357</v>
      </c>
      <c r="AL43">
        <f>Age!AL43/Age!$F43</f>
        <v>0.19446273476938514</v>
      </c>
      <c r="AM43">
        <f>Age!AM43/Age!$F43</f>
        <v>1.4109679239958611E-3</v>
      </c>
      <c r="AN43">
        <f>Age!AN43/Age!$F43</f>
        <v>9.7701690026024524E-2</v>
      </c>
      <c r="AO43">
        <f>Age!AO43/Age!$F43</f>
        <v>3.2953939735992227E-2</v>
      </c>
      <c r="AP43">
        <f>Age!AP43/Age!$F43</f>
        <v>5.5184523249615904E-2</v>
      </c>
      <c r="AQ43">
        <f>Age!AQ43/Age!$F43</f>
        <v>8.218104286207005E-2</v>
      </c>
      <c r="AR43">
        <f>Age!AR43/Age!$F43</f>
        <v>8.0989558837362433E-2</v>
      </c>
      <c r="AS43">
        <f>Age!AS43/Age!$F43</f>
        <v>1.294955005800646E-2</v>
      </c>
      <c r="AT43">
        <f>Age!AT43/Age!$F43</f>
        <v>7.054839619979306E-3</v>
      </c>
      <c r="AU43">
        <f>Age!AU43/Age!$F43</f>
        <v>6.004452387671276E-2</v>
      </c>
      <c r="AV43">
        <f>Age!AV43/Age!$F43</f>
        <v>8.9361301853071208E-3</v>
      </c>
      <c r="AW43">
        <f>Age!AW43/Age!$F43</f>
        <v>1.4736776095067884E-3</v>
      </c>
      <c r="AX43">
        <f>Age!AX43/Age!$F43</f>
        <v>1.6994324773461262E-2</v>
      </c>
      <c r="AY43">
        <f>Age!AY43/Age!$F43</f>
        <v>6.7726460351801333E-3</v>
      </c>
      <c r="AZ43">
        <f>Age!AZ43/Age!$F43</f>
        <v>9.3123882983726838E-3</v>
      </c>
      <c r="BA43">
        <f>Age!BA43/Age!$F43</f>
        <v>3.9256263129840402E-2</v>
      </c>
      <c r="BB43">
        <f>Age!BB43/Age!$F43</f>
        <v>3.3016649421503154E-2</v>
      </c>
      <c r="BC43">
        <f>Age!BC43/Age!$F43</f>
        <v>3.7625811306556296E-4</v>
      </c>
      <c r="BF43" t="str">
        <f t="shared" si="0"/>
        <v>over 60</v>
      </c>
    </row>
    <row r="44" spans="1:58">
      <c r="A44" s="1">
        <v>1013</v>
      </c>
      <c r="B44" s="1">
        <v>65</v>
      </c>
      <c r="C44" t="s">
        <v>171</v>
      </c>
      <c r="D44">
        <v>36817</v>
      </c>
      <c r="E44">
        <v>34554</v>
      </c>
      <c r="F44">
        <v>33806</v>
      </c>
      <c r="G44">
        <f>Age!G44/Age!$F44</f>
        <v>0.31455954564278532</v>
      </c>
      <c r="H44">
        <f>Age!H44/Age!$F44</f>
        <v>6.3598177838253564E-3</v>
      </c>
      <c r="I44">
        <f>Age!I44/Age!$F44</f>
        <v>6.3598177838253564E-3</v>
      </c>
      <c r="J44">
        <f>Age!J44/Age!$F44</f>
        <v>6.004851209844406E-3</v>
      </c>
      <c r="K44">
        <f>Age!K44/Age!$F44</f>
        <v>6.004851209844406E-3</v>
      </c>
      <c r="L44">
        <f>Age!L44/Age!$F44</f>
        <v>6.004851209844406E-3</v>
      </c>
      <c r="M44">
        <f>Age!M44/Age!$F44</f>
        <v>3.5200851919777554E-3</v>
      </c>
      <c r="N44">
        <f>Age!N44/Age!$F44</f>
        <v>1.7748328699047507E-3</v>
      </c>
      <c r="O44">
        <f>Age!O44/Age!$F44</f>
        <v>2.3664438265396675E-4</v>
      </c>
      <c r="P44">
        <f>Age!P44/Age!$F44</f>
        <v>1.1832219132698337E-4</v>
      </c>
      <c r="Q44">
        <f>Age!Q44/Age!$F44</f>
        <v>0.17127137194580844</v>
      </c>
      <c r="R44">
        <f>Age!R44/Age!$F44</f>
        <v>3.2361119327929955E-2</v>
      </c>
      <c r="S44">
        <f>Age!S44/Age!$F44</f>
        <v>0.13405904277347216</v>
      </c>
      <c r="T44">
        <f>Age!T44/Age!$F44</f>
        <v>1.2867538306809442E-2</v>
      </c>
      <c r="U44">
        <f>Age!U44/Age!$F44</f>
        <v>2.4048985387209371E-2</v>
      </c>
      <c r="V44">
        <f>Age!V44/Age!$F44</f>
        <v>2.7302845648701415E-2</v>
      </c>
      <c r="W44">
        <f>Age!W44/Age!$F44</f>
        <v>2.3220730047920489E-2</v>
      </c>
      <c r="X44">
        <f>Age!X44/Age!$F44</f>
        <v>6.4781399751523399E-3</v>
      </c>
      <c r="Y44">
        <f>Age!Y44/Age!$F44</f>
        <v>5.3836597053777439E-3</v>
      </c>
      <c r="Z44">
        <f>Age!Z44/Age!$F44</f>
        <v>2.6385848665917293E-2</v>
      </c>
      <c r="AA44">
        <f>Age!AA44/Age!$F44</f>
        <v>3.8454712181269597E-3</v>
      </c>
      <c r="AB44">
        <f>Age!AB44/Age!$F44</f>
        <v>1.7630006507720522E-2</v>
      </c>
      <c r="AC44">
        <f>Age!AC44/Age!$F44</f>
        <v>1.7452523220730049E-3</v>
      </c>
      <c r="AD44">
        <f>Age!AD44/Age!$F44</f>
        <v>1.3547890906939596E-2</v>
      </c>
      <c r="AE44">
        <f>Age!AE44/Age!$F44</f>
        <v>7.4306336153345559E-2</v>
      </c>
      <c r="AF44">
        <f>Age!AF44/Age!$F44</f>
        <v>2.9580547831745845E-4</v>
      </c>
      <c r="AG44">
        <f>Age!AG44/Age!$F44</f>
        <v>0.13006566881618647</v>
      </c>
      <c r="AH44">
        <f>Age!AH44/Age!$F44</f>
        <v>0.12341004555404365</v>
      </c>
      <c r="AI44">
        <f>Age!AI44/Age!$F44</f>
        <v>2.0114772525587172E-3</v>
      </c>
      <c r="AJ44">
        <f>Age!AJ44/Age!$F44</f>
        <v>3.0467964266698219E-3</v>
      </c>
      <c r="AK44">
        <f>Age!AK44/Age!$F44</f>
        <v>0.1106608294385612</v>
      </c>
      <c r="AL44">
        <f>Age!AL44/Age!$F44</f>
        <v>7.8418032301958235E-2</v>
      </c>
      <c r="AM44">
        <f>Age!AM44/Age!$F44</f>
        <v>3.5496657398095013E-4</v>
      </c>
      <c r="AN44">
        <f>Age!AN44/Age!$F44</f>
        <v>3.7774359581139443E-2</v>
      </c>
      <c r="AO44">
        <f>Age!AO44/Age!$F44</f>
        <v>7.1289120274507485E-3</v>
      </c>
      <c r="AP44">
        <f>Age!AP44/Age!$F44</f>
        <v>2.8279003727149025E-2</v>
      </c>
      <c r="AQ44">
        <f>Age!AQ44/Age!$F44</f>
        <v>3.2627344258415666E-2</v>
      </c>
      <c r="AR44">
        <f>Age!AR44/Age!$F44</f>
        <v>3.2420280423593448E-2</v>
      </c>
      <c r="AS44">
        <f>Age!AS44/Age!$F44</f>
        <v>6.0935928533396438E-3</v>
      </c>
      <c r="AT44">
        <f>Age!AT44/Age!$F44</f>
        <v>2.1889605395491924E-3</v>
      </c>
      <c r="AU44">
        <f>Age!AU44/Age!$F44</f>
        <v>2.7776134414009349E-2</v>
      </c>
      <c r="AV44">
        <f>Age!AV44/Age!$F44</f>
        <v>6.7147843578063068E-3</v>
      </c>
      <c r="AW44">
        <f>Age!AW44/Age!$F44</f>
        <v>1.9523161568952257E-3</v>
      </c>
      <c r="AX44">
        <f>Age!AX44/Age!$F44</f>
        <v>5.62030408803171E-3</v>
      </c>
      <c r="AY44">
        <f>Age!AY44/Age!$F44</f>
        <v>2.2185410873809381E-3</v>
      </c>
      <c r="AZ44">
        <f>Age!AZ44/Age!$F44</f>
        <v>3.1059575223333137E-3</v>
      </c>
      <c r="BA44">
        <f>Age!BA44/Age!$F44</f>
        <v>2.0499319647399868E-2</v>
      </c>
      <c r="BB44">
        <f>Age!BB44/Age!$F44</f>
        <v>1.295627995030468E-2</v>
      </c>
      <c r="BC44">
        <f>Age!BC44/Age!$F44</f>
        <v>8.8741643495237533E-5</v>
      </c>
      <c r="BF44" t="str">
        <f t="shared" si="0"/>
        <v>over 60</v>
      </c>
    </row>
    <row r="45" spans="1:58">
      <c r="A45" s="1">
        <v>1086</v>
      </c>
      <c r="B45" s="1">
        <v>65</v>
      </c>
      <c r="C45" t="s">
        <v>193</v>
      </c>
      <c r="D45">
        <v>141672</v>
      </c>
      <c r="E45">
        <v>138657</v>
      </c>
      <c r="F45">
        <v>125312</v>
      </c>
      <c r="G45">
        <f>Age!G45/Age!$F45</f>
        <v>0.62791272982635338</v>
      </c>
      <c r="H45">
        <f>Age!H45/Age!$F45</f>
        <v>4.7481486210418792E-3</v>
      </c>
      <c r="I45">
        <f>Age!I45/Age!$F45</f>
        <v>4.7002681307456587E-3</v>
      </c>
      <c r="J45">
        <f>Age!J45/Age!$F45</f>
        <v>4.373084780388151E-3</v>
      </c>
      <c r="K45">
        <f>Age!K45/Age!$F45</f>
        <v>4.373084780388151E-3</v>
      </c>
      <c r="L45">
        <f>Age!L45/Age!$F45</f>
        <v>4.3571246169560778E-3</v>
      </c>
      <c r="M45">
        <f>Age!M45/Age!$F45</f>
        <v>2.2184627170582227E-3</v>
      </c>
      <c r="N45">
        <f>Age!N45/Age!$F45</f>
        <v>1.3885342185903985E-3</v>
      </c>
      <c r="O45">
        <f>Age!O45/Age!$F45</f>
        <v>8.7780898876404492E-5</v>
      </c>
      <c r="P45">
        <f>Age!P45/Age!$F45</f>
        <v>4.7880490296220631E-5</v>
      </c>
      <c r="Q45">
        <f>Age!Q45/Age!$F45</f>
        <v>0.30057775791624108</v>
      </c>
      <c r="R45">
        <f>Age!R45/Age!$F45</f>
        <v>4.1009639938712969E-2</v>
      </c>
      <c r="S45">
        <f>Age!S45/Age!$F45</f>
        <v>0.25114115168539325</v>
      </c>
      <c r="T45">
        <f>Age!T45/Age!$F45</f>
        <v>1.7572139938712972E-2</v>
      </c>
      <c r="U45">
        <f>Age!U45/Age!$F45</f>
        <v>9.8474208375893772E-3</v>
      </c>
      <c r="V45">
        <f>Age!V45/Age!$F45</f>
        <v>2.4339249233912154E-2</v>
      </c>
      <c r="W45">
        <f>Age!W45/Age!$F45</f>
        <v>8.0710546475995917E-2</v>
      </c>
      <c r="X45">
        <f>Age!X45/Age!$F45</f>
        <v>3.4745275791624106E-2</v>
      </c>
      <c r="Y45">
        <f>Age!Y45/Age!$F45</f>
        <v>3.4505873340143003E-2</v>
      </c>
      <c r="Z45">
        <f>Age!Z45/Age!$F45</f>
        <v>2.5496361082737486E-2</v>
      </c>
      <c r="AA45">
        <f>Age!AA45/Age!$F45</f>
        <v>4.1895429009193054E-3</v>
      </c>
      <c r="AB45">
        <f>Age!AB45/Age!$F45</f>
        <v>1.6287346782431052E-2</v>
      </c>
      <c r="AC45">
        <f>Age!AC45/Age!$F45</f>
        <v>3.4074948927477018E-3</v>
      </c>
      <c r="AD45">
        <f>Age!AD45/Age!$F45</f>
        <v>1.0477847293156282E-2</v>
      </c>
      <c r="AE45">
        <f>Age!AE45/Age!$F45</f>
        <v>0.12547082482124616</v>
      </c>
      <c r="AF45">
        <f>Age!AF45/Age!$F45</f>
        <v>8.2194841675178756E-4</v>
      </c>
      <c r="AG45">
        <f>Age!AG45/Age!$F45</f>
        <v>0.31610699693564864</v>
      </c>
      <c r="AH45">
        <f>Age!AH45/Age!$F45</f>
        <v>0.29853485699693566</v>
      </c>
      <c r="AI45">
        <f>Age!AI45/Age!$F45</f>
        <v>8.1396833503575075E-4</v>
      </c>
      <c r="AJ45">
        <f>Age!AJ45/Age!$F45</f>
        <v>6.4638661899897858E-4</v>
      </c>
      <c r="AK45">
        <f>Age!AK45/Age!$F45</f>
        <v>0.29394631001021448</v>
      </c>
      <c r="AL45">
        <f>Age!AL45/Age!$F45</f>
        <v>0.21569362870275791</v>
      </c>
      <c r="AM45">
        <f>Age!AM45/Age!$F45</f>
        <v>2.130681818181818E-3</v>
      </c>
      <c r="AN45">
        <f>Age!AN45/Age!$F45</f>
        <v>0.10727623850868233</v>
      </c>
      <c r="AO45">
        <f>Age!AO45/Age!$F45</f>
        <v>4.8750319203268638E-2</v>
      </c>
      <c r="AP45">
        <f>Age!AP45/Age!$F45</f>
        <v>5.2125893769152193E-2</v>
      </c>
      <c r="AQ45">
        <f>Age!AQ45/Age!$F45</f>
        <v>8.3583375893769157E-2</v>
      </c>
      <c r="AR45">
        <f>Age!AR45/Age!$F45</f>
        <v>8.191553881511747E-2</v>
      </c>
      <c r="AS45">
        <f>Age!AS45/Age!$F45</f>
        <v>1.0980592441266599E-2</v>
      </c>
      <c r="AT45">
        <f>Age!AT45/Age!$F45</f>
        <v>2.6094867211440245E-3</v>
      </c>
      <c r="AU45">
        <f>Age!AU45/Age!$F45</f>
        <v>6.6011235955056174E-2</v>
      </c>
      <c r="AV45">
        <f>Age!AV45/Age!$F45</f>
        <v>1.0908771705822268E-2</v>
      </c>
      <c r="AW45">
        <f>Age!AW45/Age!$F45</f>
        <v>1.1331716036772216E-3</v>
      </c>
      <c r="AX45">
        <f>Age!AX45/Age!$F45</f>
        <v>1.8418028600612871E-2</v>
      </c>
      <c r="AY45">
        <f>Age!AY45/Age!$F45</f>
        <v>7.0144918283963232E-3</v>
      </c>
      <c r="AZ45">
        <f>Age!AZ45/Age!$F45</f>
        <v>1.0701289581205312E-2</v>
      </c>
      <c r="BA45">
        <f>Age!BA45/Age!$F45</f>
        <v>4.1432584269662918E-2</v>
      </c>
      <c r="BB45">
        <f>Age!BB45/Age!$F45</f>
        <v>3.4689415219611851E-2</v>
      </c>
      <c r="BC45">
        <f>Age!BC45/Age!$F45</f>
        <v>8.7780898876404492E-5</v>
      </c>
      <c r="BF45" t="str">
        <f t="shared" si="0"/>
        <v>over 60</v>
      </c>
    </row>
    <row r="46" spans="1:58">
      <c r="A46" s="1">
        <v>1160</v>
      </c>
      <c r="B46" s="1">
        <v>65</v>
      </c>
      <c r="C46" t="s">
        <v>214</v>
      </c>
      <c r="D46">
        <v>99510</v>
      </c>
      <c r="E46">
        <v>93685</v>
      </c>
      <c r="F46">
        <v>90392</v>
      </c>
      <c r="G46">
        <f>Age!G46/Age!$F46</f>
        <v>0.61284184441100986</v>
      </c>
      <c r="H46">
        <f>Age!H46/Age!$F46</f>
        <v>3.1197451101867423E-3</v>
      </c>
      <c r="I46">
        <f>Age!I46/Age!$F46</f>
        <v>3.0644304805735019E-3</v>
      </c>
      <c r="J46">
        <f>Age!J46/Age!$F46</f>
        <v>2.998052925037614E-3</v>
      </c>
      <c r="K46">
        <f>Age!K46/Age!$F46</f>
        <v>2.998052925037614E-3</v>
      </c>
      <c r="L46">
        <f>Age!L46/Age!$F46</f>
        <v>2.998052925037614E-3</v>
      </c>
      <c r="M46">
        <f>Age!M46/Age!$F46</f>
        <v>1.5709354810160192E-3</v>
      </c>
      <c r="N46">
        <f>Age!N46/Age!$F46</f>
        <v>1.2058589255686343E-3</v>
      </c>
      <c r="O46">
        <f>Age!O46/Age!$F46</f>
        <v>0</v>
      </c>
      <c r="P46">
        <f>Age!P46/Age!$F46</f>
        <v>2.2125851845296046E-5</v>
      </c>
      <c r="Q46">
        <f>Age!Q46/Age!$F46</f>
        <v>0.35721081511638197</v>
      </c>
      <c r="R46">
        <f>Age!R46/Age!$F46</f>
        <v>3.6076201433755201E-2</v>
      </c>
      <c r="S46">
        <f>Age!S46/Age!$F46</f>
        <v>0.31545933268430837</v>
      </c>
      <c r="T46">
        <f>Age!T46/Age!$F46</f>
        <v>2.4050800955836799E-2</v>
      </c>
      <c r="U46">
        <f>Age!U46/Age!$F46</f>
        <v>6.7284715461545269E-2</v>
      </c>
      <c r="V46">
        <f>Age!V46/Age!$F46</f>
        <v>6.2870608018408713E-2</v>
      </c>
      <c r="W46">
        <f>Age!W46/Age!$F46</f>
        <v>9.9245508452075401E-2</v>
      </c>
      <c r="X46">
        <f>Age!X46/Age!$F46</f>
        <v>3.0434109213204708E-2</v>
      </c>
      <c r="Y46">
        <f>Age!Y46/Age!$F46</f>
        <v>2.9117621028409594E-2</v>
      </c>
      <c r="Z46">
        <f>Age!Z46/Age!$F46</f>
        <v>3.6098327285600494E-2</v>
      </c>
      <c r="AA46">
        <f>Age!AA46/Age!$F46</f>
        <v>3.0423046287282062E-3</v>
      </c>
      <c r="AB46">
        <f>Age!AB46/Age!$F46</f>
        <v>2.9349942472785204E-2</v>
      </c>
      <c r="AC46">
        <f>Age!AC46/Age!$F46</f>
        <v>4.6685547393574651E-3</v>
      </c>
      <c r="AD46">
        <f>Age!AD46/Age!$F46</f>
        <v>2.2435613771130188E-2</v>
      </c>
      <c r="AE46">
        <f>Age!AE46/Age!$F46</f>
        <v>0.16365386317373218</v>
      </c>
      <c r="AF46">
        <f>Age!AF46/Age!$F46</f>
        <v>7.6334188866271347E-4</v>
      </c>
      <c r="AG46">
        <f>Age!AG46/Age!$F46</f>
        <v>0.24724533144526065</v>
      </c>
      <c r="AH46">
        <f>Age!AH46/Age!$F46</f>
        <v>0.23128152933887955</v>
      </c>
      <c r="AI46">
        <f>Age!AI46/Age!$F46</f>
        <v>2.8652978139658376E-3</v>
      </c>
      <c r="AJ46">
        <f>Age!AJ46/Age!$F46</f>
        <v>2.8210461102752458E-3</v>
      </c>
      <c r="AK46">
        <f>Age!AK46/Age!$F46</f>
        <v>0.21255199575183645</v>
      </c>
      <c r="AL46">
        <f>Age!AL46/Age!$F46</f>
        <v>0.1252323214443756</v>
      </c>
      <c r="AM46">
        <f>Age!AM46/Age!$F46</f>
        <v>1.4492432958668909E-3</v>
      </c>
      <c r="AN46">
        <f>Age!AN46/Age!$F46</f>
        <v>5.8257367908664481E-2</v>
      </c>
      <c r="AO46">
        <f>Age!AO46/Age!$F46</f>
        <v>2.3210018585715551E-2</v>
      </c>
      <c r="AP46">
        <f>Age!AP46/Age!$F46</f>
        <v>3.0799185768652093E-2</v>
      </c>
      <c r="AQ46">
        <f>Age!AQ46/Age!$F46</f>
        <v>5.7095760686786443E-2</v>
      </c>
      <c r="AR46">
        <f>Age!AR46/Age!$F46</f>
        <v>5.588990176121781E-2</v>
      </c>
      <c r="AS46">
        <f>Age!AS46/Age!$F46</f>
        <v>1.4226922736525356E-2</v>
      </c>
      <c r="AT46">
        <f>Age!AT46/Age!$F46</f>
        <v>3.2082485175679264E-3</v>
      </c>
      <c r="AU46">
        <f>Age!AU46/Age!$F46</f>
        <v>7.3745464200371716E-2</v>
      </c>
      <c r="AV46">
        <f>Age!AV46/Age!$F46</f>
        <v>2.0577042216125319E-2</v>
      </c>
      <c r="AW46">
        <f>Age!AW46/Age!$F46</f>
        <v>1.8032569253916275E-3</v>
      </c>
      <c r="AX46">
        <f>Age!AX46/Age!$F46</f>
        <v>2.0344720771749713E-2</v>
      </c>
      <c r="AY46">
        <f>Age!AY46/Age!$F46</f>
        <v>3.6728914063191434E-3</v>
      </c>
      <c r="AZ46">
        <f>Age!AZ46/Age!$F46</f>
        <v>1.6273564032215242E-2</v>
      </c>
      <c r="BA46">
        <f>Age!BA46/Age!$F46</f>
        <v>5.1287724577396228E-2</v>
      </c>
      <c r="BB46">
        <f>Age!BB46/Age!$F46</f>
        <v>4.3986193468448537E-2</v>
      </c>
      <c r="BC46">
        <f>Age!BC46/Age!$F46</f>
        <v>8.8503407381184182E-5</v>
      </c>
      <c r="BF46" t="str">
        <f t="shared" si="0"/>
        <v>over 60</v>
      </c>
    </row>
    <row r="47" spans="1:58">
      <c r="A47" s="1">
        <v>1164</v>
      </c>
      <c r="B47" s="1">
        <v>65</v>
      </c>
      <c r="C47" t="s">
        <v>216</v>
      </c>
      <c r="D47">
        <v>62413</v>
      </c>
      <c r="E47">
        <v>59157</v>
      </c>
      <c r="F47">
        <v>55171</v>
      </c>
      <c r="G47">
        <f>Age!G47/Age!$F47</f>
        <v>0.3830273150749488</v>
      </c>
      <c r="H47">
        <f>Age!H47/Age!$F47</f>
        <v>2.990701636729441E-3</v>
      </c>
      <c r="I47">
        <f>Age!I47/Age!$F47</f>
        <v>2.9363252433343605E-3</v>
      </c>
      <c r="J47">
        <f>Age!J47/Age!$F47</f>
        <v>2.7006942052890106E-3</v>
      </c>
      <c r="K47">
        <f>Age!K47/Age!$F47</f>
        <v>2.7006942052890106E-3</v>
      </c>
      <c r="L47">
        <f>Age!L47/Age!$F47</f>
        <v>2.7006942052890106E-3</v>
      </c>
      <c r="M47">
        <f>Age!M47/Age!$F47</f>
        <v>9.4252415218139967E-4</v>
      </c>
      <c r="N47">
        <f>Age!N47/Age!$F47</f>
        <v>1.522539015062261E-3</v>
      </c>
      <c r="O47">
        <f>Age!O47/Age!$F47</f>
        <v>1.8125464465026915E-5</v>
      </c>
      <c r="P47">
        <f>Age!P47/Age!$F47</f>
        <v>0</v>
      </c>
      <c r="Q47">
        <f>Age!Q47/Age!$F47</f>
        <v>0.14835692664624531</v>
      </c>
      <c r="R47">
        <f>Age!R47/Age!$F47</f>
        <v>3.5562161280382809E-2</v>
      </c>
      <c r="S47">
        <f>Age!S47/Age!$F47</f>
        <v>0.10931467618857733</v>
      </c>
      <c r="T47">
        <f>Age!T47/Age!$F47</f>
        <v>6.1445324536441243E-3</v>
      </c>
      <c r="U47">
        <f>Age!U47/Age!$F47</f>
        <v>1.1129035181526527E-2</v>
      </c>
      <c r="V47">
        <f>Age!V47/Age!$F47</f>
        <v>1.4790379003461964E-2</v>
      </c>
      <c r="W47">
        <f>Age!W47/Age!$F47</f>
        <v>2.9943267296224464E-2</v>
      </c>
      <c r="X47">
        <f>Age!X47/Age!$F47</f>
        <v>1.7074187526055357E-2</v>
      </c>
      <c r="Y47">
        <f>Age!Y47/Age!$F47</f>
        <v>1.5950408729223688E-2</v>
      </c>
      <c r="Z47">
        <f>Age!Z47/Age!$F47</f>
        <v>2.0137391020644903E-2</v>
      </c>
      <c r="AA47">
        <f>Age!AA47/Age!$F47</f>
        <v>8.8814775878631887E-4</v>
      </c>
      <c r="AB47">
        <f>Age!AB47/Age!$F47</f>
        <v>1.375722752895543E-2</v>
      </c>
      <c r="AC47">
        <f>Age!AC47/Age!$F47</f>
        <v>2.7188196697540374E-4</v>
      </c>
      <c r="AD47">
        <f>Age!AD47/Age!$F47</f>
        <v>1.2778452447843976E-2</v>
      </c>
      <c r="AE47">
        <f>Age!AE47/Age!$F47</f>
        <v>4.8467491979481976E-2</v>
      </c>
      <c r="AF47">
        <f>Age!AF47/Age!$F47</f>
        <v>2.5375650251037684E-4</v>
      </c>
      <c r="AG47">
        <f>Age!AG47/Age!$F47</f>
        <v>0.22745645357162278</v>
      </c>
      <c r="AH47">
        <f>Age!AH47/Age!$F47</f>
        <v>0.2142792409055482</v>
      </c>
      <c r="AI47">
        <f>Age!AI47/Age!$F47</f>
        <v>2.7550705986840911E-3</v>
      </c>
      <c r="AJ47">
        <f>Age!AJ47/Age!$F47</f>
        <v>1.0512769389715612E-3</v>
      </c>
      <c r="AK47">
        <f>Age!AK47/Age!$F47</f>
        <v>0.20200830146272497</v>
      </c>
      <c r="AL47">
        <f>Age!AL47/Age!$F47</f>
        <v>0.12675137300393322</v>
      </c>
      <c r="AM47">
        <f>Age!AM47/Age!$F47</f>
        <v>1.7037936597125302E-3</v>
      </c>
      <c r="AN47">
        <f>Age!AN47/Age!$F47</f>
        <v>9.118921172355042E-2</v>
      </c>
      <c r="AO47">
        <f>Age!AO47/Age!$F47</f>
        <v>2.4868137246016928E-2</v>
      </c>
      <c r="AP47">
        <f>Age!AP47/Age!$F47</f>
        <v>5.7022711206974677E-2</v>
      </c>
      <c r="AQ47">
        <f>Age!AQ47/Age!$F47</f>
        <v>2.8964492215113012E-2</v>
      </c>
      <c r="AR47">
        <f>Age!AR47/Age!$F47</f>
        <v>2.8493230139022312E-2</v>
      </c>
      <c r="AS47">
        <f>Age!AS47/Age!$F47</f>
        <v>1.0150260100415073E-2</v>
      </c>
      <c r="AT47">
        <f>Age!AT47/Age!$F47</f>
        <v>5.3832629461129941E-3</v>
      </c>
      <c r="AU47">
        <f>Age!AU47/Age!$F47</f>
        <v>6.9148646934077684E-2</v>
      </c>
      <c r="AV47">
        <f>Age!AV47/Age!$F47</f>
        <v>1.1908430153522684E-2</v>
      </c>
      <c r="AW47">
        <f>Age!AW47/Age!$F47</f>
        <v>1.7037936597125302E-3</v>
      </c>
      <c r="AX47">
        <f>Age!AX47/Age!$F47</f>
        <v>1.692918381033514E-2</v>
      </c>
      <c r="AY47">
        <f>Age!AY47/Age!$F47</f>
        <v>5.4738902684381288E-3</v>
      </c>
      <c r="AZ47">
        <f>Age!AZ47/Age!$F47</f>
        <v>1.0295263816135289E-2</v>
      </c>
      <c r="BA47">
        <f>Age!BA47/Age!$F47</f>
        <v>4.9609396240778668E-2</v>
      </c>
      <c r="BB47">
        <f>Age!BB47/Age!$F47</f>
        <v>4.6201808921353608E-2</v>
      </c>
      <c r="BC47">
        <f>Age!BC47/Age!$F47</f>
        <v>7.250185786010766E-5</v>
      </c>
      <c r="BF47" t="str">
        <f t="shared" si="0"/>
        <v>over 60</v>
      </c>
    </row>
    <row r="48" spans="1:58">
      <c r="A48" s="1">
        <v>1020</v>
      </c>
      <c r="B48" s="1">
        <v>66</v>
      </c>
      <c r="C48" t="s">
        <v>175</v>
      </c>
      <c r="D48">
        <v>120938</v>
      </c>
      <c r="E48">
        <v>118043</v>
      </c>
      <c r="F48">
        <v>117453</v>
      </c>
      <c r="G48">
        <f>Age!G48/Age!$F48</f>
        <v>0.81631801656832947</v>
      </c>
      <c r="H48">
        <f>Age!H48/Age!$F48</f>
        <v>1.2192110886907954E-2</v>
      </c>
      <c r="I48">
        <f>Age!I48/Age!$F48</f>
        <v>1.2038858096430061E-2</v>
      </c>
      <c r="J48">
        <f>Age!J48/Age!$F48</f>
        <v>1.1672754208066205E-2</v>
      </c>
      <c r="K48">
        <f>Age!K48/Age!$F48</f>
        <v>1.1596127812827258E-2</v>
      </c>
      <c r="L48">
        <f>Age!L48/Age!$F48</f>
        <v>1.158761376891182E-2</v>
      </c>
      <c r="M48">
        <f>Age!M48/Age!$F48</f>
        <v>6.8623193958434435E-3</v>
      </c>
      <c r="N48">
        <f>Age!N48/Age!$F48</f>
        <v>3.2353366878666362E-3</v>
      </c>
      <c r="O48">
        <f>Age!O48/Age!$F48</f>
        <v>2.2136514180140141E-4</v>
      </c>
      <c r="P48">
        <f>Age!P48/Age!$F48</f>
        <v>5.1084263492631096E-5</v>
      </c>
      <c r="Q48">
        <f>Age!Q48/Age!$F48</f>
        <v>0.34669186823665638</v>
      </c>
      <c r="R48">
        <f>Age!R48/Age!$F48</f>
        <v>4.038211029092488E-2</v>
      </c>
      <c r="S48">
        <f>Age!S48/Age!$F48</f>
        <v>0.29610141929112072</v>
      </c>
      <c r="T48">
        <f>Age!T48/Age!$F48</f>
        <v>1.1332192451448665E-2</v>
      </c>
      <c r="U48">
        <f>Age!U48/Age!$F48</f>
        <v>1.5810579550969324E-2</v>
      </c>
      <c r="V48">
        <f>Age!V48/Age!$F48</f>
        <v>3.6440107958076846E-2</v>
      </c>
      <c r="W48">
        <f>Age!W48/Age!$F48</f>
        <v>0.13712719130205273</v>
      </c>
      <c r="X48">
        <f>Age!X48/Age!$F48</f>
        <v>6.4536452879023945E-2</v>
      </c>
      <c r="Y48">
        <f>Age!Y48/Age!$F48</f>
        <v>6.355733782874852E-2</v>
      </c>
      <c r="Z48">
        <f>Age!Z48/Age!$F48</f>
        <v>3.2302282615173726E-2</v>
      </c>
      <c r="AA48">
        <f>Age!AA48/Age!$F48</f>
        <v>5.1169403931785483E-3</v>
      </c>
      <c r="AB48">
        <f>Age!AB48/Age!$F48</f>
        <v>2.1881092862676987E-2</v>
      </c>
      <c r="AC48">
        <f>Age!AC48/Age!$F48</f>
        <v>4.0526849037487338E-3</v>
      </c>
      <c r="AD48">
        <f>Age!AD48/Age!$F48</f>
        <v>1.5997888517108972E-2</v>
      </c>
      <c r="AE48">
        <f>Age!AE48/Age!$F48</f>
        <v>0.10518249853132743</v>
      </c>
      <c r="AF48">
        <f>Age!AF48/Age!$F48</f>
        <v>4.9381454709543392E-4</v>
      </c>
      <c r="AG48">
        <f>Age!AG48/Age!$F48</f>
        <v>0.44627212587162524</v>
      </c>
      <c r="AH48">
        <f>Age!AH48/Age!$F48</f>
        <v>0.42652805803172333</v>
      </c>
      <c r="AI48">
        <f>Age!AI48/Age!$F48</f>
        <v>6.1641677947774851E-3</v>
      </c>
      <c r="AJ48">
        <f>Age!AJ48/Age!$F48</f>
        <v>4.3677045286199586E-3</v>
      </c>
      <c r="AK48">
        <f>Age!AK48/Age!$F48</f>
        <v>0.39363830638638436</v>
      </c>
      <c r="AL48">
        <f>Age!AL48/Age!$F48</f>
        <v>0.21760193439077757</v>
      </c>
      <c r="AM48">
        <f>Age!AM48/Age!$F48</f>
        <v>5.5766987646122283E-3</v>
      </c>
      <c r="AN48">
        <f>Age!AN48/Age!$F48</f>
        <v>0.12341106655428129</v>
      </c>
      <c r="AO48">
        <f>Age!AO48/Age!$F48</f>
        <v>3.3349510016772665E-2</v>
      </c>
      <c r="AP48">
        <f>Age!AP48/Age!$F48</f>
        <v>8.1181408733706245E-2</v>
      </c>
      <c r="AQ48">
        <f>Age!AQ48/Age!$F48</f>
        <v>8.2458515321022025E-2</v>
      </c>
      <c r="AR48">
        <f>Age!AR48/Age!$F48</f>
        <v>8.2100925476573605E-2</v>
      </c>
      <c r="AS48">
        <f>Age!AS48/Age!$F48</f>
        <v>2.3813780831481529E-2</v>
      </c>
      <c r="AT48">
        <f>Age!AT48/Age!$F48</f>
        <v>6.1301116191157315E-3</v>
      </c>
      <c r="AU48">
        <f>Age!AU48/Age!$F48</f>
        <v>0.15571334916945501</v>
      </c>
      <c r="AV48">
        <f>Age!AV48/Age!$F48</f>
        <v>3.445633572577967E-2</v>
      </c>
      <c r="AW48">
        <f>Age!AW48/Age!$F48</f>
        <v>8.2330804662290452E-3</v>
      </c>
      <c r="AX48">
        <f>Age!AX48/Age!$F48</f>
        <v>3.6550790528977549E-2</v>
      </c>
      <c r="AY48">
        <f>Age!AY48/Age!$F48</f>
        <v>1.0787293640860599E-2</v>
      </c>
      <c r="AZ48">
        <f>Age!AZ48/Age!$F48</f>
        <v>2.4418277949477662E-2</v>
      </c>
      <c r="BA48">
        <f>Age!BA48/Age!$F48</f>
        <v>0.10992482099222668</v>
      </c>
      <c r="BB48">
        <f>Age!BB48/Age!$F48</f>
        <v>7.3033468706631591E-2</v>
      </c>
      <c r="BC48">
        <f>Age!BC48/Age!$F48</f>
        <v>6.2152520582701163E-4</v>
      </c>
      <c r="BF48" t="str">
        <f t="shared" si="0"/>
        <v>over 60</v>
      </c>
    </row>
    <row r="49" spans="1:58">
      <c r="A49" s="1">
        <v>1096</v>
      </c>
      <c r="B49" s="1">
        <v>66</v>
      </c>
      <c r="C49" t="s">
        <v>196</v>
      </c>
      <c r="D49">
        <v>140014</v>
      </c>
      <c r="E49">
        <v>136628</v>
      </c>
      <c r="F49">
        <v>130636</v>
      </c>
      <c r="G49">
        <f>Age!G49/Age!$F49</f>
        <v>0.63177837655776359</v>
      </c>
      <c r="H49">
        <f>Age!H49/Age!$F49</f>
        <v>2.5949967849597353E-3</v>
      </c>
      <c r="I49">
        <f>Age!I49/Age!$F49</f>
        <v>2.5184482072323098E-3</v>
      </c>
      <c r="J49">
        <f>Age!J49/Age!$F49</f>
        <v>2.4648642028231114E-3</v>
      </c>
      <c r="K49">
        <f>Age!K49/Age!$F49</f>
        <v>2.4648642028231114E-3</v>
      </c>
      <c r="L49">
        <f>Age!L49/Age!$F49</f>
        <v>2.4648642028231114E-3</v>
      </c>
      <c r="M49">
        <f>Age!M49/Age!$F49</f>
        <v>5.5880461741020856E-4</v>
      </c>
      <c r="N49">
        <f>Age!N49/Age!$F49</f>
        <v>1.7453075721853089E-3</v>
      </c>
      <c r="O49">
        <f>Age!O49/Age!$F49</f>
        <v>0</v>
      </c>
      <c r="P49">
        <f>Age!P49/Age!$F49</f>
        <v>0</v>
      </c>
      <c r="Q49">
        <f>Age!Q49/Age!$F49</f>
        <v>0.18001163538381457</v>
      </c>
      <c r="R49">
        <f>Age!R49/Age!$F49</f>
        <v>4.9909672678281634E-2</v>
      </c>
      <c r="S49">
        <f>Age!S49/Age!$F49</f>
        <v>0.12451391653143085</v>
      </c>
      <c r="T49">
        <f>Age!T49/Age!$F49</f>
        <v>1.5103034385621114E-2</v>
      </c>
      <c r="U49">
        <f>Age!U49/Age!$F49</f>
        <v>6.606142257876849E-3</v>
      </c>
      <c r="V49">
        <f>Age!V49/Age!$F49</f>
        <v>7.4787960439695027E-3</v>
      </c>
      <c r="W49">
        <f>Age!W49/Age!$F49</f>
        <v>4.4076671055451787E-2</v>
      </c>
      <c r="X49">
        <f>Age!X49/Age!$F49</f>
        <v>7.1726017330598002E-3</v>
      </c>
      <c r="Y49">
        <f>Age!Y49/Age!$F49</f>
        <v>6.4071159557855415E-3</v>
      </c>
      <c r="Z49">
        <f>Age!Z49/Age!$F49</f>
        <v>2.0759974279677882E-2</v>
      </c>
      <c r="AA49">
        <f>Age!AA49/Age!$F49</f>
        <v>3.8963226063259745E-3</v>
      </c>
      <c r="AB49">
        <f>Age!AB49/Age!$F49</f>
        <v>1.3549098257754371E-2</v>
      </c>
      <c r="AC49">
        <f>Age!AC49/Age!$F49</f>
        <v>1.3778743990936648E-4</v>
      </c>
      <c r="AD49">
        <f>Age!AD49/Age!$F49</f>
        <v>1.3319452524572093E-2</v>
      </c>
      <c r="AE49">
        <f>Age!AE49/Age!$F49</f>
        <v>5.17544934015126E-2</v>
      </c>
      <c r="AF49">
        <f>Age!AF49/Age!$F49</f>
        <v>2.1050858875042103E-3</v>
      </c>
      <c r="AG49">
        <f>Age!AG49/Age!$F49</f>
        <v>0.44155516090511038</v>
      </c>
      <c r="AH49">
        <f>Age!AH49/Age!$F49</f>
        <v>0.40011176092348205</v>
      </c>
      <c r="AI49">
        <f>Age!AI49/Age!$F49</f>
        <v>9.9513151045653577E-4</v>
      </c>
      <c r="AJ49">
        <f>Age!AJ49/Age!$F49</f>
        <v>1.23319758718883E-2</v>
      </c>
      <c r="AK49">
        <f>Age!AK49/Age!$F49</f>
        <v>0.37544015432193267</v>
      </c>
      <c r="AL49">
        <f>Age!AL49/Age!$F49</f>
        <v>9.9283505312471293E-2</v>
      </c>
      <c r="AM49">
        <f>Age!AM49/Age!$F49</f>
        <v>9.9513151045653572E-5</v>
      </c>
      <c r="AN49">
        <f>Age!AN49/Age!$F49</f>
        <v>2.9631954438286538E-2</v>
      </c>
      <c r="AO49">
        <f>Age!AO49/Age!$F49</f>
        <v>8.0299458036069693E-3</v>
      </c>
      <c r="AP49">
        <f>Age!AP49/Age!$F49</f>
        <v>2.0262408524449615E-2</v>
      </c>
      <c r="AQ49">
        <f>Age!AQ49/Age!$F49</f>
        <v>6.0381518111393494E-2</v>
      </c>
      <c r="AR49">
        <f>Age!AR49/Age!$F49</f>
        <v>5.9669616338528429E-2</v>
      </c>
      <c r="AS49">
        <f>Age!AS49/Age!$F49</f>
        <v>6.7592394133317007E-3</v>
      </c>
      <c r="AT49">
        <f>Age!AT49/Age!$F49</f>
        <v>1.0487155148657338E-3</v>
      </c>
      <c r="AU49">
        <f>Age!AU49/Age!$F49</f>
        <v>0.26232432101411557</v>
      </c>
      <c r="AV49">
        <f>Age!AV49/Age!$F49</f>
        <v>2.3393245353501332E-2</v>
      </c>
      <c r="AW49">
        <f>Age!AW49/Age!$F49</f>
        <v>2.9471202425058944E-3</v>
      </c>
      <c r="AX49">
        <f>Age!AX49/Age!$F49</f>
        <v>2.9432928136195229E-2</v>
      </c>
      <c r="AY49">
        <f>Age!AY49/Age!$F49</f>
        <v>1.4911662941302551E-2</v>
      </c>
      <c r="AZ49">
        <f>Age!AZ49/Age!$F49</f>
        <v>1.2599895893934291E-2</v>
      </c>
      <c r="BA49">
        <f>Age!BA49/Age!$F49</f>
        <v>0.2230549006399461</v>
      </c>
      <c r="BB49">
        <f>Age!BB49/Age!$F49</f>
        <v>0.14056615328087205</v>
      </c>
      <c r="BC49">
        <f>Age!BC49/Age!$F49</f>
        <v>7.1955663063780271E-4</v>
      </c>
      <c r="BF49" t="str">
        <f t="shared" si="0"/>
        <v>over 60</v>
      </c>
    </row>
    <row r="50" spans="1:58">
      <c r="A50" s="1">
        <v>1165</v>
      </c>
      <c r="B50" s="1">
        <v>66</v>
      </c>
      <c r="C50" t="s">
        <v>217</v>
      </c>
      <c r="D50">
        <v>232949</v>
      </c>
      <c r="E50">
        <v>206715</v>
      </c>
      <c r="F50">
        <v>194926</v>
      </c>
      <c r="G50">
        <f>Age!G50/Age!$F50</f>
        <v>0.56577367821634872</v>
      </c>
      <c r="H50">
        <f>Age!H50/Age!$F50</f>
        <v>8.5160522454675106E-4</v>
      </c>
      <c r="I50">
        <f>Age!I50/Age!$F50</f>
        <v>8.2082431281614565E-4</v>
      </c>
      <c r="J50">
        <f>Age!J50/Age!$F50</f>
        <v>7.2848157762432923E-4</v>
      </c>
      <c r="K50">
        <f>Age!K50/Age!$F50</f>
        <v>7.2848157762432923E-4</v>
      </c>
      <c r="L50">
        <f>Age!L50/Age!$F50</f>
        <v>7.2335142566922828E-4</v>
      </c>
      <c r="M50">
        <f>Age!M50/Age!$F50</f>
        <v>2.462472938448437E-4</v>
      </c>
      <c r="N50">
        <f>Age!N50/Age!$F50</f>
        <v>4.0528200445297187E-4</v>
      </c>
      <c r="O50">
        <f>Age!O50/Age!$F50</f>
        <v>0</v>
      </c>
      <c r="P50">
        <f>Age!P50/Age!$F50</f>
        <v>1.5390455865302731E-5</v>
      </c>
      <c r="Q50">
        <f>Age!Q50/Age!$F50</f>
        <v>0.27196474559576456</v>
      </c>
      <c r="R50">
        <f>Age!R50/Age!$F50</f>
        <v>2.8421041831259042E-2</v>
      </c>
      <c r="S50">
        <f>Age!S50/Age!$F50</f>
        <v>0.24172762997239977</v>
      </c>
      <c r="T50">
        <f>Age!T50/Age!$F50</f>
        <v>7.5618439818187413E-3</v>
      </c>
      <c r="U50">
        <f>Age!U50/Age!$F50</f>
        <v>1.1819870104552497E-2</v>
      </c>
      <c r="V50">
        <f>Age!V50/Age!$F50</f>
        <v>3.6131660219775708E-2</v>
      </c>
      <c r="W50">
        <f>Age!W50/Age!$F50</f>
        <v>0.14731231339072262</v>
      </c>
      <c r="X50">
        <f>Age!X50/Age!$F50</f>
        <v>1.6144588202702564E-2</v>
      </c>
      <c r="Y50">
        <f>Age!Y50/Age!$F50</f>
        <v>1.5857299693216913E-2</v>
      </c>
      <c r="Z50">
        <f>Age!Z50/Age!$F50</f>
        <v>1.8725054636118323E-2</v>
      </c>
      <c r="AA50">
        <f>Age!AA50/Age!$F50</f>
        <v>2.5958568892810604E-3</v>
      </c>
      <c r="AB50">
        <f>Age!AB50/Age!$F50</f>
        <v>1.1917342991699414E-2</v>
      </c>
      <c r="AC50">
        <f>Age!AC50/Age!$F50</f>
        <v>2.0777115418158685E-3</v>
      </c>
      <c r="AD50">
        <f>Age!AD50/Age!$F50</f>
        <v>8.4134492063654923E-3</v>
      </c>
      <c r="AE50">
        <f>Age!AE50/Age!$F50</f>
        <v>6.785138975816464E-2</v>
      </c>
      <c r="AF50">
        <f>Age!AF50/Age!$F50</f>
        <v>8.054338569508429E-4</v>
      </c>
      <c r="AG50">
        <f>Age!AG50/Age!$F50</f>
        <v>0.2902280865559238</v>
      </c>
      <c r="AH50">
        <f>Age!AH50/Age!$F50</f>
        <v>0.2774334875799021</v>
      </c>
      <c r="AI50">
        <f>Age!AI50/Age!$F50</f>
        <v>5.6944686701620106E-4</v>
      </c>
      <c r="AJ50">
        <f>Age!AJ50/Age!$F50</f>
        <v>1.2158460133589158E-3</v>
      </c>
      <c r="AK50">
        <f>Age!AK50/Age!$F50</f>
        <v>0.26938940931430388</v>
      </c>
      <c r="AL50">
        <f>Age!AL50/Age!$F50</f>
        <v>0.13503072961021106</v>
      </c>
      <c r="AM50">
        <f>Age!AM50/Age!$F50</f>
        <v>8.1056400890594375E-4</v>
      </c>
      <c r="AN50">
        <f>Age!AN50/Age!$F50</f>
        <v>5.2363461005714991E-2</v>
      </c>
      <c r="AO50">
        <f>Age!AO50/Age!$F50</f>
        <v>1.2532961226311524E-2</v>
      </c>
      <c r="AP50">
        <f>Age!AP50/Age!$F50</f>
        <v>3.7280814257718314E-2</v>
      </c>
      <c r="AQ50">
        <f>Age!AQ50/Age!$F50</f>
        <v>6.7892430973805443E-2</v>
      </c>
      <c r="AR50">
        <f>Age!AR50/Age!$F50</f>
        <v>6.7620532920185092E-2</v>
      </c>
      <c r="AS50">
        <f>Age!AS50/Age!$F50</f>
        <v>8.9213342499204831E-3</v>
      </c>
      <c r="AT50">
        <f>Age!AT50/Age!$F50</f>
        <v>1.9186768312077405E-3</v>
      </c>
      <c r="AU50">
        <f>Age!AU50/Age!$F50</f>
        <v>0.11771646676174548</v>
      </c>
      <c r="AV50">
        <f>Age!AV50/Age!$F50</f>
        <v>1.3589772529062311E-2</v>
      </c>
      <c r="AW50">
        <f>Age!AW50/Age!$F50</f>
        <v>1.4774837630690621E-3</v>
      </c>
      <c r="AX50">
        <f>Age!AX50/Age!$F50</f>
        <v>2.2044262951068611E-2</v>
      </c>
      <c r="AY50">
        <f>Age!AY50/Age!$F50</f>
        <v>1.2045596790576938E-2</v>
      </c>
      <c r="AZ50">
        <f>Age!AZ50/Age!$F50</f>
        <v>9.2855750387326481E-3</v>
      </c>
      <c r="BA50">
        <f>Age!BA50/Age!$F50</f>
        <v>8.6350717708258515E-2</v>
      </c>
      <c r="BB50">
        <f>Age!BB50/Age!$F50</f>
        <v>3.4525922657829125E-2</v>
      </c>
      <c r="BC50">
        <f>Age!BC50/Age!$F50</f>
        <v>2.513774457999446E-4</v>
      </c>
      <c r="BF50" t="str">
        <f t="shared" si="0"/>
        <v>over 60</v>
      </c>
    </row>
    <row r="51" spans="1:58">
      <c r="A51" s="1">
        <v>1166</v>
      </c>
      <c r="B51" s="1">
        <v>66</v>
      </c>
      <c r="C51" t="s">
        <v>218</v>
      </c>
      <c r="D51">
        <v>86919</v>
      </c>
      <c r="E51">
        <v>81185</v>
      </c>
      <c r="F51">
        <v>78665</v>
      </c>
      <c r="G51">
        <f>Age!G51/Age!$F51</f>
        <v>0.6293523167863726</v>
      </c>
      <c r="H51">
        <f>Age!H51/Age!$F51</f>
        <v>1.1695163033115109E-3</v>
      </c>
      <c r="I51">
        <f>Age!I51/Age!$F51</f>
        <v>1.1440920358482172E-3</v>
      </c>
      <c r="J51">
        <f>Age!J51/Age!$F51</f>
        <v>1.0932435009216297E-3</v>
      </c>
      <c r="K51">
        <f>Age!K51/Age!$F51</f>
        <v>1.067819233458336E-3</v>
      </c>
      <c r="L51">
        <f>Age!L51/Age!$F51</f>
        <v>1.067819233458336E-3</v>
      </c>
      <c r="M51">
        <f>Age!M51/Age!$F51</f>
        <v>2.1610627343799656E-4</v>
      </c>
      <c r="N51">
        <f>Age!N51/Age!$F51</f>
        <v>7.3730375643551766E-4</v>
      </c>
      <c r="O51">
        <f>Age!O51/Age!$F51</f>
        <v>1.2712133731646856E-5</v>
      </c>
      <c r="P51">
        <f>Age!P51/Age!$F51</f>
        <v>1.2712133731646856E-5</v>
      </c>
      <c r="Q51">
        <f>Age!Q51/Age!$F51</f>
        <v>0.31551515921947498</v>
      </c>
      <c r="R51">
        <f>Age!R51/Age!$F51</f>
        <v>4.9844276361787329E-2</v>
      </c>
      <c r="S51">
        <f>Age!S51/Age!$F51</f>
        <v>0.25796732981630965</v>
      </c>
      <c r="T51">
        <f>Age!T51/Age!$F51</f>
        <v>9.1145998855907961E-3</v>
      </c>
      <c r="U51">
        <f>Age!U51/Age!$F51</f>
        <v>1.9830928621369096E-2</v>
      </c>
      <c r="V51">
        <f>Age!V51/Age!$F51</f>
        <v>3.8009279857624104E-2</v>
      </c>
      <c r="W51">
        <f>Age!W51/Age!$F51</f>
        <v>0.10570139197864362</v>
      </c>
      <c r="X51">
        <f>Age!X51/Age!$F51</f>
        <v>1.2953664272548147E-2</v>
      </c>
      <c r="Y51">
        <f>Age!Y51/Age!$F51</f>
        <v>1.2801118667768384E-2</v>
      </c>
      <c r="Z51">
        <f>Age!Z51/Age!$F51</f>
        <v>4.4174664717472827E-2</v>
      </c>
      <c r="AA51">
        <f>Age!AA51/Age!$F51</f>
        <v>6.7882794126994219E-3</v>
      </c>
      <c r="AB51">
        <f>Age!AB51/Age!$F51</f>
        <v>3.466598868620098E-2</v>
      </c>
      <c r="AC51">
        <f>Age!AC51/Age!$F51</f>
        <v>4.5382317421979283E-3</v>
      </c>
      <c r="AD51">
        <f>Age!AD51/Age!$F51</f>
        <v>2.6987859912286277E-2</v>
      </c>
      <c r="AE51">
        <f>Age!AE51/Age!$F51</f>
        <v>9.0510392169325618E-2</v>
      </c>
      <c r="AF51">
        <f>Age!AF51/Age!$F51</f>
        <v>3.9407614568105255E-4</v>
      </c>
      <c r="AG51">
        <f>Age!AG51/Age!$F51</f>
        <v>0.30990910824381873</v>
      </c>
      <c r="AH51">
        <f>Age!AH51/Age!$F51</f>
        <v>0.27759486429797242</v>
      </c>
      <c r="AI51">
        <f>Age!AI51/Age!$F51</f>
        <v>1.1822284370431578E-3</v>
      </c>
      <c r="AJ51">
        <f>Age!AJ51/Age!$F51</f>
        <v>3.1907455666433612E-3</v>
      </c>
      <c r="AK51">
        <f>Age!AK51/Age!$F51</f>
        <v>0.26637005021292826</v>
      </c>
      <c r="AL51">
        <f>Age!AL51/Age!$F51</f>
        <v>0.14987605669611645</v>
      </c>
      <c r="AM51">
        <f>Age!AM51/Age!$F51</f>
        <v>6.9916735524057718E-4</v>
      </c>
      <c r="AN51">
        <f>Age!AN51/Age!$F51</f>
        <v>8.0811034132079074E-2</v>
      </c>
      <c r="AO51">
        <f>Age!AO51/Age!$F51</f>
        <v>2.4534418102078435E-2</v>
      </c>
      <c r="AP51">
        <f>Age!AP51/Age!$F51</f>
        <v>4.9310366745058155E-2</v>
      </c>
      <c r="AQ51">
        <f>Age!AQ51/Age!$F51</f>
        <v>5.5450327337443588E-2</v>
      </c>
      <c r="AR51">
        <f>Age!AR51/Age!$F51</f>
        <v>5.4471493040106782E-2</v>
      </c>
      <c r="AS51">
        <f>Age!AS51/Age!$F51</f>
        <v>8.0976291870590474E-3</v>
      </c>
      <c r="AT51">
        <f>Age!AT51/Age!$F51</f>
        <v>2.4280175427445496E-3</v>
      </c>
      <c r="AU51">
        <f>Age!AU51/Age!$F51</f>
        <v>9.7629187059047856E-2</v>
      </c>
      <c r="AV51">
        <f>Age!AV51/Age!$F51</f>
        <v>5.4916417720714426E-3</v>
      </c>
      <c r="AW51">
        <f>Age!AW51/Age!$F51</f>
        <v>1.3093497743596264E-3</v>
      </c>
      <c r="AX51">
        <f>Age!AX51/Age!$F51</f>
        <v>2.66954808364584E-2</v>
      </c>
      <c r="AY51">
        <f>Age!AY51/Age!$F51</f>
        <v>6.0382635225322574E-3</v>
      </c>
      <c r="AZ51">
        <f>Age!AZ51/Age!$F51</f>
        <v>1.8902942858958875E-2</v>
      </c>
      <c r="BA51">
        <f>Age!BA51/Age!$F51</f>
        <v>6.6293777410538365E-2</v>
      </c>
      <c r="BB51">
        <f>Age!BB51/Age!$F51</f>
        <v>2.66954808364584E-2</v>
      </c>
      <c r="BC51">
        <f>Age!BC51/Age!$F51</f>
        <v>3.5975338460560607E-3</v>
      </c>
      <c r="BF51" t="str">
        <f t="shared" si="0"/>
        <v>over 60</v>
      </c>
    </row>
    <row r="52" spans="1:58">
      <c r="A52" s="1">
        <v>1103</v>
      </c>
      <c r="B52" s="1">
        <v>67</v>
      </c>
      <c r="C52" t="s">
        <v>199</v>
      </c>
      <c r="D52">
        <v>247391</v>
      </c>
      <c r="E52">
        <v>242168</v>
      </c>
      <c r="F52">
        <v>230207</v>
      </c>
      <c r="G52">
        <f>Age!G52/Age!$F52</f>
        <v>0.30837898065653957</v>
      </c>
      <c r="H52">
        <f>Age!H52/Age!$F52</f>
        <v>2.936487595946257E-3</v>
      </c>
      <c r="I52">
        <f>Age!I52/Age!$F52</f>
        <v>2.897392346887801E-3</v>
      </c>
      <c r="J52">
        <f>Age!J52/Age!$F52</f>
        <v>2.8061700990847367E-3</v>
      </c>
      <c r="K52">
        <f>Age!K52/Age!$F52</f>
        <v>2.7844505162744836E-3</v>
      </c>
      <c r="L52">
        <f>Age!L52/Age!$F52</f>
        <v>2.7801065997124326E-3</v>
      </c>
      <c r="M52">
        <f>Age!M52/Age!$F52</f>
        <v>1.4465242151628752E-3</v>
      </c>
      <c r="N52">
        <f>Age!N52/Age!$F52</f>
        <v>2.3457149435073652E-4</v>
      </c>
      <c r="O52">
        <f>Age!O52/Age!$F52</f>
        <v>4.343916562050676E-6</v>
      </c>
      <c r="P52">
        <f>Age!P52/Age!$F52</f>
        <v>0</v>
      </c>
      <c r="Q52">
        <f>Age!Q52/Age!$F52</f>
        <v>0.2095070957877041</v>
      </c>
      <c r="R52">
        <f>Age!R52/Age!$F52</f>
        <v>4.4633742675070698E-2</v>
      </c>
      <c r="S52">
        <f>Age!S52/Age!$F52</f>
        <v>0.15759294895463649</v>
      </c>
      <c r="T52">
        <f>Age!T52/Age!$F52</f>
        <v>2.0981116994704765E-3</v>
      </c>
      <c r="U52">
        <f>Age!U52/Age!$F52</f>
        <v>4.2657260639337637E-3</v>
      </c>
      <c r="V52">
        <f>Age!V52/Age!$F52</f>
        <v>2.2427641209867642E-2</v>
      </c>
      <c r="W52">
        <f>Age!W52/Age!$F52</f>
        <v>7.9658741914885298E-2</v>
      </c>
      <c r="X52">
        <f>Age!X52/Age!$F52</f>
        <v>3.0967781170859271E-2</v>
      </c>
      <c r="Y52">
        <f>Age!Y52/Age!$F52</f>
        <v>2.8630754060476007E-2</v>
      </c>
      <c r="Z52">
        <f>Age!Z52/Age!$F52</f>
        <v>2.653264236100553E-2</v>
      </c>
      <c r="AA52">
        <f>Age!AA52/Age!$F52</f>
        <v>5.4689909516218013E-3</v>
      </c>
      <c r="AB52">
        <f>Age!AB52/Age!$F52</f>
        <v>1.5968237282098285E-2</v>
      </c>
      <c r="AC52">
        <f>Age!AC52/Age!$F52</f>
        <v>1.0686034742644662E-3</v>
      </c>
      <c r="AD52">
        <f>Age!AD52/Age!$F52</f>
        <v>1.3088220601458688E-2</v>
      </c>
      <c r="AE52">
        <f>Age!AE52/Age!$F52</f>
        <v>3.9321132719682718E-2</v>
      </c>
      <c r="AF52">
        <f>Age!AF52/Age!$F52</f>
        <v>2.9104240965739528E-4</v>
      </c>
      <c r="AG52">
        <f>Age!AG52/Age!$F52</f>
        <v>9.1704422541451822E-2</v>
      </c>
      <c r="AH52">
        <f>Age!AH52/Age!$F52</f>
        <v>8.2495319429904387E-2</v>
      </c>
      <c r="AI52">
        <f>Age!AI52/Age!$F52</f>
        <v>4.6045515557737165E-4</v>
      </c>
      <c r="AJ52">
        <f>Age!AJ52/Age!$F52</f>
        <v>1.4812755476592806E-3</v>
      </c>
      <c r="AK52">
        <f>Age!AK52/Age!$F52</f>
        <v>7.8538011441876221E-2</v>
      </c>
      <c r="AL52">
        <f>Age!AL52/Age!$F52</f>
        <v>3.7105735273036879E-2</v>
      </c>
      <c r="AM52">
        <f>Age!AM52/Age!$F52</f>
        <v>2.4760324403688856E-4</v>
      </c>
      <c r="AN52">
        <f>Age!AN52/Age!$F52</f>
        <v>1.2823241691173597E-2</v>
      </c>
      <c r="AO52">
        <f>Age!AO52/Age!$F52</f>
        <v>7.2890919911210343E-3</v>
      </c>
      <c r="AP52">
        <f>Age!AP52/Age!$F52</f>
        <v>4.4264509767296392E-3</v>
      </c>
      <c r="AQ52">
        <f>Age!AQ52/Age!$F52</f>
        <v>1.9908169603878249E-2</v>
      </c>
      <c r="AR52">
        <f>Age!AR52/Age!$F52</f>
        <v>1.8422550139656917E-2</v>
      </c>
      <c r="AS52">
        <f>Age!AS52/Age!$F52</f>
        <v>4.6306150551460208E-3</v>
      </c>
      <c r="AT52">
        <f>Age!AT52/Age!$F52</f>
        <v>4.9520648807377713E-4</v>
      </c>
      <c r="AU52">
        <f>Age!AU52/Age!$F52</f>
        <v>3.9264661804376058E-2</v>
      </c>
      <c r="AV52">
        <f>Age!AV52/Age!$F52</f>
        <v>1.4439178652256447E-2</v>
      </c>
      <c r="AW52">
        <f>Age!AW52/Age!$F52</f>
        <v>7.2109014930041228E-4</v>
      </c>
      <c r="AX52">
        <f>Age!AX52/Age!$F52</f>
        <v>1.7636301241925746E-3</v>
      </c>
      <c r="AY52">
        <f>Age!AY52/Age!$F52</f>
        <v>7.4715364867271631E-4</v>
      </c>
      <c r="AZ52">
        <f>Age!AZ52/Age!$F52</f>
        <v>8.5140764616193254E-4</v>
      </c>
      <c r="BA52">
        <f>Age!BA52/Age!$F52</f>
        <v>3.5837311636918077E-2</v>
      </c>
      <c r="BB52">
        <f>Age!BB52/Age!$F52</f>
        <v>2.4369371913104294E-2</v>
      </c>
      <c r="BC52">
        <f>Age!BC52/Age!$F52</f>
        <v>2.3891541091278719E-4</v>
      </c>
      <c r="BF52" t="str">
        <f t="shared" si="0"/>
        <v>over 60</v>
      </c>
    </row>
    <row r="53" spans="1:58">
      <c r="A53" s="1">
        <v>1004</v>
      </c>
      <c r="B53" s="1">
        <v>68</v>
      </c>
      <c r="C53" t="s">
        <v>167</v>
      </c>
      <c r="D53">
        <v>303378</v>
      </c>
      <c r="E53">
        <v>294206</v>
      </c>
      <c r="F53">
        <v>293104</v>
      </c>
      <c r="G53">
        <f>Age!G53/Age!$F53</f>
        <v>0.42110991320486924</v>
      </c>
      <c r="H53">
        <f>Age!H53/Age!$F53</f>
        <v>6.8166930509307279E-3</v>
      </c>
      <c r="I53">
        <f>Age!I53/Age!$F53</f>
        <v>6.6699874447295159E-3</v>
      </c>
      <c r="J53">
        <f>Age!J53/Age!$F53</f>
        <v>6.4482231562858231E-3</v>
      </c>
      <c r="K53">
        <f>Age!K53/Age!$F53</f>
        <v>6.349282166057099E-3</v>
      </c>
      <c r="L53">
        <f>Age!L53/Age!$F53</f>
        <v>6.3288116163546047E-3</v>
      </c>
      <c r="M53">
        <f>Age!M53/Age!$F53</f>
        <v>2.0914078279382063E-3</v>
      </c>
      <c r="N53">
        <f>Age!N53/Age!$F53</f>
        <v>3.1626999290354277E-3</v>
      </c>
      <c r="O53">
        <f>Age!O53/Age!$F53</f>
        <v>7.5058682242480485E-5</v>
      </c>
      <c r="P53">
        <f>Age!P53/Age!$F53</f>
        <v>1.0917626507997162E-4</v>
      </c>
      <c r="Q53">
        <f>Age!Q53/Age!$F53</f>
        <v>0.10085157486762378</v>
      </c>
      <c r="R53">
        <f>Age!R53/Age!$F53</f>
        <v>8.0585730662154041E-3</v>
      </c>
      <c r="S53">
        <f>Age!S53/Age!$F53</f>
        <v>9.0998416944156335E-2</v>
      </c>
      <c r="T53">
        <f>Age!T53/Age!$F53</f>
        <v>6.591517004203286E-3</v>
      </c>
      <c r="U53">
        <f>Age!U53/Age!$F53</f>
        <v>1.2831622905180414E-2</v>
      </c>
      <c r="V53">
        <f>Age!V53/Age!$F53</f>
        <v>1.5789617337190896E-2</v>
      </c>
      <c r="W53">
        <f>Age!W53/Age!$F53</f>
        <v>3.1814645995960476E-2</v>
      </c>
      <c r="X53">
        <f>Age!X53/Age!$F53</f>
        <v>8.4270429608603091E-4</v>
      </c>
      <c r="Y53">
        <f>Age!Y53/Age!$F53</f>
        <v>7.9835143839729241E-4</v>
      </c>
      <c r="Z53">
        <f>Age!Z53/Age!$F53</f>
        <v>1.295785796167913E-2</v>
      </c>
      <c r="AA53">
        <f>Age!AA53/Age!$F53</f>
        <v>2.8351711337955129E-3</v>
      </c>
      <c r="AB53">
        <f>Age!AB53/Age!$F53</f>
        <v>7.2192805284131229E-3</v>
      </c>
      <c r="AC53">
        <f>Age!AC53/Age!$F53</f>
        <v>3.5482286150990776E-4</v>
      </c>
      <c r="AD53">
        <f>Age!AD53/Age!$F53</f>
        <v>6.4993995305420603E-3</v>
      </c>
      <c r="AE53">
        <f>Age!AE53/Age!$F53</f>
        <v>4.3735329439379876E-2</v>
      </c>
      <c r="AF53">
        <f>Age!AF53/Age!$F53</f>
        <v>1.3135269392434085E-3</v>
      </c>
      <c r="AG53">
        <f>Age!AG53/Age!$F53</f>
        <v>0.30491224957694196</v>
      </c>
      <c r="AH53">
        <f>Age!AH53/Age!$F53</f>
        <v>0.27848818166930511</v>
      </c>
      <c r="AI53">
        <f>Age!AI53/Age!$F53</f>
        <v>1.2555270484196736E-3</v>
      </c>
      <c r="AJ53">
        <f>Age!AJ53/Age!$F53</f>
        <v>5.3632840220536057E-3</v>
      </c>
      <c r="AK53">
        <f>Age!AK53/Age!$F53</f>
        <v>0.26462620776243245</v>
      </c>
      <c r="AL53">
        <f>Age!AL53/Age!$F53</f>
        <v>0.12259471040995687</v>
      </c>
      <c r="AM53">
        <f>Age!AM53/Age!$F53</f>
        <v>2.3643484906381352E-3</v>
      </c>
      <c r="AN53">
        <f>Age!AN53/Age!$F53</f>
        <v>3.8245810360827553E-2</v>
      </c>
      <c r="AO53">
        <f>Age!AO53/Age!$F53</f>
        <v>8.6351602161690057E-3</v>
      </c>
      <c r="AP53">
        <f>Age!AP53/Age!$F53</f>
        <v>2.623300944374693E-2</v>
      </c>
      <c r="AQ53">
        <f>Age!AQ53/Age!$F53</f>
        <v>7.6027621595065237E-2</v>
      </c>
      <c r="AR53">
        <f>Age!AR53/Age!$F53</f>
        <v>7.5321387630329167E-2</v>
      </c>
      <c r="AS53">
        <f>Age!AS53/Age!$F53</f>
        <v>4.1828156558764125E-3</v>
      </c>
      <c r="AT53">
        <f>Age!AT53/Age!$F53</f>
        <v>8.2905726295103444E-4</v>
      </c>
      <c r="AU53">
        <f>Age!AU53/Age!$F53</f>
        <v>0.13243080954200556</v>
      </c>
      <c r="AV53">
        <f>Age!AV53/Age!$F53</f>
        <v>1.8208553960369016E-2</v>
      </c>
      <c r="AW53">
        <f>Age!AW53/Age!$F53</f>
        <v>1.180468366177193E-3</v>
      </c>
      <c r="AX53">
        <f>Age!AX53/Age!$F53</f>
        <v>2.6065833287843222E-3</v>
      </c>
      <c r="AY53">
        <f>Age!AY53/Age!$F53</f>
        <v>1.3681150717833944E-3</v>
      </c>
      <c r="AZ53">
        <f>Age!AZ53/Age!$F53</f>
        <v>1.0439980348272285E-3</v>
      </c>
      <c r="BA53">
        <f>Age!BA53/Age!$F53</f>
        <v>0.12762364212020308</v>
      </c>
      <c r="BB53">
        <f>Age!BB53/Age!$F53</f>
        <v>4.8051203668322509E-2</v>
      </c>
      <c r="BC53">
        <f>Age!BC53/Age!$F53</f>
        <v>4.2988154375238824E-4</v>
      </c>
      <c r="BF53" t="str">
        <f t="shared" si="0"/>
        <v>over 60</v>
      </c>
    </row>
    <row r="54" spans="1:58">
      <c r="A54" s="1">
        <v>1097</v>
      </c>
      <c r="B54" s="1">
        <v>68</v>
      </c>
      <c r="C54" t="s">
        <v>197</v>
      </c>
      <c r="D54">
        <v>241814</v>
      </c>
      <c r="E54">
        <v>235966</v>
      </c>
      <c r="F54">
        <v>231326</v>
      </c>
      <c r="G54">
        <f>Age!G54/Age!$F54</f>
        <v>0.87799469147436948</v>
      </c>
      <c r="H54">
        <f>Age!H54/Age!$F54</f>
        <v>2.4251489240292921E-3</v>
      </c>
      <c r="I54">
        <f>Age!I54/Age!$F54</f>
        <v>2.39921150238192E-3</v>
      </c>
      <c r="J54">
        <f>Age!J54/Age!$F54</f>
        <v>2.2435869724976871E-3</v>
      </c>
      <c r="K54">
        <f>Age!K54/Age!$F54</f>
        <v>2.2392640688897918E-3</v>
      </c>
      <c r="L54">
        <f>Age!L54/Age!$F54</f>
        <v>2.2392640688897918E-3</v>
      </c>
      <c r="M54">
        <f>Age!M54/Age!$F54</f>
        <v>1.1282778416606867E-3</v>
      </c>
      <c r="N54">
        <f>Age!N54/Age!$F54</f>
        <v>8.9484104683433768E-4</v>
      </c>
      <c r="O54">
        <f>Age!O54/Age!$F54</f>
        <v>2.1614518039476757E-5</v>
      </c>
      <c r="P54">
        <f>Age!P54/Age!$F54</f>
        <v>1.7291614431581404E-5</v>
      </c>
      <c r="Q54">
        <f>Age!Q54/Age!$F54</f>
        <v>0.26394352558726647</v>
      </c>
      <c r="R54">
        <f>Age!R54/Age!$F54</f>
        <v>6.8055471499096507E-2</v>
      </c>
      <c r="S54">
        <f>Age!S54/Age!$F54</f>
        <v>0.18703474749920027</v>
      </c>
      <c r="T54">
        <f>Age!T54/Age!$F54</f>
        <v>1.0327416719261994E-2</v>
      </c>
      <c r="U54">
        <f>Age!U54/Age!$F54</f>
        <v>9.3677321183092254E-3</v>
      </c>
      <c r="V54">
        <f>Age!V54/Age!$F54</f>
        <v>3.5676923475960333E-2</v>
      </c>
      <c r="W54">
        <f>Age!W54/Age!$F54</f>
        <v>6.7532400162541181E-2</v>
      </c>
      <c r="X54">
        <f>Age!X54/Age!$F54</f>
        <v>3.1803601843286101E-2</v>
      </c>
      <c r="Y54">
        <f>Age!Y54/Age!$F54</f>
        <v>3.0260325255267458E-2</v>
      </c>
      <c r="Z54">
        <f>Age!Z54/Age!$F54</f>
        <v>1.7633123816605138E-2</v>
      </c>
      <c r="AA54">
        <f>Age!AA54/Age!$F54</f>
        <v>2.4510863456766643E-3</v>
      </c>
      <c r="AB54">
        <f>Age!AB54/Age!$F54</f>
        <v>1.2117098812930669E-2</v>
      </c>
      <c r="AC54">
        <f>Age!AC54/Age!$F54</f>
        <v>4.7551939686848863E-4</v>
      </c>
      <c r="AD54">
        <f>Age!AD54/Age!$F54</f>
        <v>1.1045018718172622E-2</v>
      </c>
      <c r="AE54">
        <f>Age!AE54/Age!$F54</f>
        <v>9.3002948220260589E-2</v>
      </c>
      <c r="AF54">
        <f>Age!AF54/Age!$F54</f>
        <v>8.1270587828432606E-4</v>
      </c>
      <c r="AG54">
        <f>Age!AG54/Age!$F54</f>
        <v>0.60783915340255745</v>
      </c>
      <c r="AH54">
        <f>Age!AH54/Age!$F54</f>
        <v>0.56884223995573346</v>
      </c>
      <c r="AI54">
        <f>Age!AI54/Age!$F54</f>
        <v>1.8804630694344777E-3</v>
      </c>
      <c r="AJ54">
        <f>Age!AJ54/Age!$F54</f>
        <v>7.3057070973431438E-3</v>
      </c>
      <c r="AK54">
        <f>Age!AK54/Age!$F54</f>
        <v>0.54393366936704046</v>
      </c>
      <c r="AL54">
        <f>Age!AL54/Age!$F54</f>
        <v>0.16188409430846512</v>
      </c>
      <c r="AM54">
        <f>Age!AM54/Age!$F54</f>
        <v>1.8977546838660592E-3</v>
      </c>
      <c r="AN54">
        <f>Age!AN54/Age!$F54</f>
        <v>7.9766217372885015E-2</v>
      </c>
      <c r="AO54">
        <f>Age!AO54/Age!$F54</f>
        <v>1.9392545585018545E-2</v>
      </c>
      <c r="AP54">
        <f>Age!AP54/Age!$F54</f>
        <v>5.5242385205294689E-2</v>
      </c>
      <c r="AQ54">
        <f>Age!AQ54/Age!$F54</f>
        <v>6.5124542852943459E-2</v>
      </c>
      <c r="AR54">
        <f>Age!AR54/Age!$F54</f>
        <v>6.4687929588546036E-2</v>
      </c>
      <c r="AS54">
        <f>Age!AS54/Age!$F54</f>
        <v>2.4286072469156084E-2</v>
      </c>
      <c r="AT54">
        <f>Age!AT54/Age!$F54</f>
        <v>3.9251964759689792E-3</v>
      </c>
      <c r="AU54">
        <f>Age!AU54/Age!$F54</f>
        <v>0.36184000069166455</v>
      </c>
      <c r="AV54">
        <f>Age!AV54/Age!$F54</f>
        <v>5.7853418984463487E-2</v>
      </c>
      <c r="AW54">
        <f>Age!AW54/Age!$F54</f>
        <v>5.0318597995901888E-3</v>
      </c>
      <c r="AX54">
        <f>Age!AX54/Age!$F54</f>
        <v>2.2358057460034757E-2</v>
      </c>
      <c r="AY54">
        <f>Age!AY54/Age!$F54</f>
        <v>9.1775243595618311E-3</v>
      </c>
      <c r="AZ54">
        <f>Age!AZ54/Age!$F54</f>
        <v>1.200470331912539E-2</v>
      </c>
      <c r="BA54">
        <f>Age!BA54/Age!$F54</f>
        <v>0.33125978056941285</v>
      </c>
      <c r="BB54">
        <f>Age!BB54/Age!$F54</f>
        <v>0.23067878232451172</v>
      </c>
      <c r="BC54">
        <f>Age!BC54/Age!$F54</f>
        <v>5.2436820763770613E-3</v>
      </c>
      <c r="BF54" t="str">
        <f t="shared" si="0"/>
        <v>over 60</v>
      </c>
    </row>
    <row r="55" spans="1:58">
      <c r="A55" s="1">
        <v>1047</v>
      </c>
      <c r="B55" s="1">
        <v>69</v>
      </c>
      <c r="C55" t="s">
        <v>185</v>
      </c>
      <c r="D55">
        <v>78807</v>
      </c>
      <c r="E55">
        <v>74432</v>
      </c>
      <c r="F55">
        <v>72740</v>
      </c>
      <c r="G55">
        <f>Age!G55/Age!$F55</f>
        <v>0.70380808358537261</v>
      </c>
      <c r="H55">
        <f>Age!H55/Age!$F55</f>
        <v>7.2999725048116578E-3</v>
      </c>
      <c r="I55">
        <f>Age!I55/Age!$F55</f>
        <v>7.0800109980753371E-3</v>
      </c>
      <c r="J55">
        <f>Age!J55/Age!$F55</f>
        <v>6.7500687379708551E-3</v>
      </c>
      <c r="K55">
        <f>Age!K55/Age!$F55</f>
        <v>6.7088259554577952E-3</v>
      </c>
      <c r="L55">
        <f>Age!L55/Age!$F55</f>
        <v>6.6950783612867749E-3</v>
      </c>
      <c r="M55">
        <f>Age!M55/Age!$F55</f>
        <v>2.2958482265603521E-3</v>
      </c>
      <c r="N55">
        <f>Age!N55/Age!$F55</f>
        <v>3.5193841077811381E-3</v>
      </c>
      <c r="O55">
        <f>Age!O55/Age!$F55</f>
        <v>1.512235358812208E-4</v>
      </c>
      <c r="P55">
        <f>Age!P55/Age!$F55</f>
        <v>8.2485565026120436E-5</v>
      </c>
      <c r="Q55">
        <f>Age!Q55/Age!$F55</f>
        <v>0.45643387407203739</v>
      </c>
      <c r="R55">
        <f>Age!R55/Age!$F55</f>
        <v>3.9758042342590047E-2</v>
      </c>
      <c r="S55">
        <f>Age!S55/Age!$F55</f>
        <v>0.39648061589221884</v>
      </c>
      <c r="T55">
        <f>Age!T55/Age!$F55</f>
        <v>1.4778663733846576E-2</v>
      </c>
      <c r="U55">
        <f>Age!U55/Age!$F55</f>
        <v>6.7500687379708551E-3</v>
      </c>
      <c r="V55">
        <f>Age!V55/Age!$F55</f>
        <v>6.2551553478141328E-2</v>
      </c>
      <c r="W55">
        <f>Age!W55/Age!$F55</f>
        <v>0.18406653835578773</v>
      </c>
      <c r="X55">
        <f>Age!X55/Age!$F55</f>
        <v>5.5870222711025569E-2</v>
      </c>
      <c r="Y55">
        <f>Age!Y55/Age!$F55</f>
        <v>5.3051965905966454E-2</v>
      </c>
      <c r="Z55">
        <f>Age!Z55/Age!$F55</f>
        <v>7.0923838328292549E-2</v>
      </c>
      <c r="AA55">
        <f>Age!AA55/Age!$F55</f>
        <v>6.6675831729447344E-3</v>
      </c>
      <c r="AB55">
        <f>Age!AB55/Age!$F55</f>
        <v>5.3959307121253783E-2</v>
      </c>
      <c r="AC55">
        <f>Age!AC55/Age!$F55</f>
        <v>1.5259829529832279E-3</v>
      </c>
      <c r="AD55">
        <f>Age!AD55/Age!$F55</f>
        <v>4.7635413802584549E-2</v>
      </c>
      <c r="AE55">
        <f>Age!AE55/Age!$F55</f>
        <v>0.11077811383007974</v>
      </c>
      <c r="AF55">
        <f>Age!AF55/Age!$F55</f>
        <v>1.1135551278526259E-3</v>
      </c>
      <c r="AG55">
        <f>Age!AG55/Age!$F55</f>
        <v>0.22458069837778388</v>
      </c>
      <c r="AH55">
        <f>Age!AH55/Age!$F55</f>
        <v>0.21326642837503437</v>
      </c>
      <c r="AI55">
        <f>Age!AI55/Age!$F55</f>
        <v>2.735771240032994E-3</v>
      </c>
      <c r="AJ55">
        <f>Age!AJ55/Age!$F55</f>
        <v>1.8284300247456695E-3</v>
      </c>
      <c r="AK55">
        <f>Age!AK55/Age!$F55</f>
        <v>0.19887269727797635</v>
      </c>
      <c r="AL55">
        <f>Age!AL55/Age!$F55</f>
        <v>0.10206213912565301</v>
      </c>
      <c r="AM55">
        <f>Age!AM55/Age!$F55</f>
        <v>2.5708001099807535E-3</v>
      </c>
      <c r="AN55">
        <f>Age!AN55/Age!$F55</f>
        <v>4.7882870497662912E-2</v>
      </c>
      <c r="AO55">
        <f>Age!AO55/Age!$F55</f>
        <v>9.8157822381083303E-3</v>
      </c>
      <c r="AP55">
        <f>Age!AP55/Age!$F55</f>
        <v>3.5537530932086885E-2</v>
      </c>
      <c r="AQ55">
        <f>Age!AQ55/Age!$F55</f>
        <v>4.3524883145449549E-2</v>
      </c>
      <c r="AR55">
        <f>Age!AR55/Age!$F55</f>
        <v>4.3029969755292823E-2</v>
      </c>
      <c r="AS55">
        <f>Age!AS55/Age!$F55</f>
        <v>9.4858399780038492E-3</v>
      </c>
      <c r="AT55">
        <f>Age!AT55/Age!$F55</f>
        <v>1.8696728072587297E-3</v>
      </c>
      <c r="AU55">
        <f>Age!AU55/Age!$F55</f>
        <v>8.0574649436348636E-2</v>
      </c>
      <c r="AV55">
        <f>Age!AV55/Age!$F55</f>
        <v>2.2642287599670057E-2</v>
      </c>
      <c r="AW55">
        <f>Age!AW55/Age!$F55</f>
        <v>2.0071487489689305E-3</v>
      </c>
      <c r="AX55">
        <f>Age!AX55/Age!$F55</f>
        <v>2.0415177343964808E-2</v>
      </c>
      <c r="AY55">
        <f>Age!AY55/Age!$F55</f>
        <v>8.5372559802034641E-3</v>
      </c>
      <c r="AZ55">
        <f>Age!AZ55/Age!$F55</f>
        <v>1.0805609018421777E-2</v>
      </c>
      <c r="BA55">
        <f>Age!BA55/Age!$F55</f>
        <v>5.2474566950783612E-2</v>
      </c>
      <c r="BB55">
        <f>Age!BB55/Age!$F55</f>
        <v>4.3552378333791587E-2</v>
      </c>
      <c r="BC55">
        <f>Age!BC55/Age!$F55</f>
        <v>2.1996150673632113E-4</v>
      </c>
      <c r="BF55" t="str">
        <f t="shared" si="0"/>
        <v>over 60</v>
      </c>
    </row>
    <row r="56" spans="1:58">
      <c r="A56" s="1">
        <v>1121</v>
      </c>
      <c r="B56" s="1">
        <v>69</v>
      </c>
      <c r="C56" t="s">
        <v>202</v>
      </c>
      <c r="D56">
        <v>205943</v>
      </c>
      <c r="E56">
        <v>200135</v>
      </c>
      <c r="F56">
        <v>194780</v>
      </c>
      <c r="G56">
        <f>Age!G56/Age!$F56</f>
        <v>0.72617311838997844</v>
      </c>
      <c r="H56">
        <f>Age!H56/Age!$F56</f>
        <v>1.0267994660642776E-3</v>
      </c>
      <c r="I56">
        <f>Age!I56/Age!$F56</f>
        <v>1.0267994660642776E-3</v>
      </c>
      <c r="J56">
        <f>Age!J56/Age!$F56</f>
        <v>9.3438751411849263E-4</v>
      </c>
      <c r="K56">
        <f>Age!K56/Age!$F56</f>
        <v>9.2925351678817129E-4</v>
      </c>
      <c r="L56">
        <f>Age!L56/Age!$F56</f>
        <v>9.1898552212752848E-4</v>
      </c>
      <c r="M56">
        <f>Age!M56/Age!$F56</f>
        <v>3.7991580244378274E-4</v>
      </c>
      <c r="N56">
        <f>Age!N56/Age!$F56</f>
        <v>3.4911181846185437E-4</v>
      </c>
      <c r="O56">
        <f>Age!O56/Age!$F56</f>
        <v>0</v>
      </c>
      <c r="P56">
        <f>Age!P56/Age!$F56</f>
        <v>3.080398398192833E-5</v>
      </c>
      <c r="Q56">
        <f>Age!Q56/Age!$F56</f>
        <v>0.37595749050210492</v>
      </c>
      <c r="R56">
        <f>Age!R56/Age!$F56</f>
        <v>7.3411027826265532E-2</v>
      </c>
      <c r="S56">
        <f>Age!S56/Age!$F56</f>
        <v>0.29754594927610639</v>
      </c>
      <c r="T56">
        <f>Age!T56/Age!$F56</f>
        <v>1.386692678919807E-2</v>
      </c>
      <c r="U56">
        <f>Age!U56/Age!$F56</f>
        <v>7.8550159153917241E-3</v>
      </c>
      <c r="V56">
        <f>Age!V56/Age!$F56</f>
        <v>2.8201047335455386E-2</v>
      </c>
      <c r="W56">
        <f>Age!W56/Age!$F56</f>
        <v>0.1403942909949687</v>
      </c>
      <c r="X56">
        <f>Age!X56/Age!$F56</f>
        <v>4.4583632816510933E-2</v>
      </c>
      <c r="Y56">
        <f>Age!Y56/Age!$F56</f>
        <v>4.2278468015196635E-2</v>
      </c>
      <c r="Z56">
        <f>Age!Z56/Age!$F56</f>
        <v>2.8704179073826882E-2</v>
      </c>
      <c r="AA56">
        <f>Age!AA56/Age!$F56</f>
        <v>3.2395523154327959E-3</v>
      </c>
      <c r="AB56">
        <f>Age!AB56/Age!$F56</f>
        <v>2.3467501796899066E-2</v>
      </c>
      <c r="AC56">
        <f>Age!AC56/Age!$F56</f>
        <v>8.2657357018174355E-3</v>
      </c>
      <c r="AD56">
        <f>Age!AD56/Age!$F56</f>
        <v>1.1803059862408871E-2</v>
      </c>
      <c r="AE56">
        <f>Age!AE56/Age!$F56</f>
        <v>0.11354861895471814</v>
      </c>
      <c r="AF56">
        <f>Age!AF56/Age!$F56</f>
        <v>8.6764554882431456E-4</v>
      </c>
      <c r="AG56">
        <f>Age!AG56/Age!$F56</f>
        <v>0.34314611356402097</v>
      </c>
      <c r="AH56">
        <f>Age!AH56/Age!$F56</f>
        <v>0.3272666598213369</v>
      </c>
      <c r="AI56">
        <f>Age!AI56/Age!$F56</f>
        <v>3.8504979977410414E-4</v>
      </c>
      <c r="AJ56">
        <f>Age!AJ56/Age!$F56</f>
        <v>6.930896395933874E-4</v>
      </c>
      <c r="AK56">
        <f>Age!AK56/Age!$F56</f>
        <v>0.32378067563404866</v>
      </c>
      <c r="AL56">
        <f>Age!AL56/Age!$F56</f>
        <v>0.15064174966629018</v>
      </c>
      <c r="AM56">
        <f>Age!AM56/Age!$F56</f>
        <v>1.9098470068795565E-3</v>
      </c>
      <c r="AN56">
        <f>Age!AN56/Age!$F56</f>
        <v>5.5883560940548312E-2</v>
      </c>
      <c r="AO56">
        <f>Age!AO56/Age!$F56</f>
        <v>1.113050621213677E-2</v>
      </c>
      <c r="AP56">
        <f>Age!AP56/Age!$F56</f>
        <v>4.1939624191395422E-2</v>
      </c>
      <c r="AQ56">
        <f>Age!AQ56/Age!$F56</f>
        <v>7.9489680665366061E-2</v>
      </c>
      <c r="AR56">
        <f>Age!AR56/Age!$F56</f>
        <v>7.7004825957490503E-2</v>
      </c>
      <c r="AS56">
        <f>Age!AS56/Age!$F56</f>
        <v>2.6044768456720404E-2</v>
      </c>
      <c r="AT56">
        <f>Age!AT56/Age!$F56</f>
        <v>3.6092001232159361E-3</v>
      </c>
      <c r="AU56">
        <f>Age!AU56/Age!$F56</f>
        <v>0.15744429612896602</v>
      </c>
      <c r="AV56">
        <f>Age!AV56/Age!$F56</f>
        <v>3.1276311736317897E-2</v>
      </c>
      <c r="AW56">
        <f>Age!AW56/Age!$F56</f>
        <v>3.3165622753876167E-3</v>
      </c>
      <c r="AX56">
        <f>Age!AX56/Age!$F56</f>
        <v>8.6405175069308969E-3</v>
      </c>
      <c r="AY56">
        <f>Age!AY56/Age!$F56</f>
        <v>6.3456207002772361E-3</v>
      </c>
      <c r="AZ56">
        <f>Age!AZ56/Age!$F56</f>
        <v>2.063866926789198E-3</v>
      </c>
      <c r="BA56">
        <f>Age!BA56/Age!$F56</f>
        <v>0.14319745353732416</v>
      </c>
      <c r="BB56">
        <f>Age!BB56/Age!$F56</f>
        <v>7.7898141492966422E-2</v>
      </c>
      <c r="BC56">
        <f>Age!BC56/Age!$F56</f>
        <v>1.6428791457028444E-4</v>
      </c>
      <c r="BF56" t="str">
        <f t="shared" si="0"/>
        <v>over 60</v>
      </c>
    </row>
    <row r="57" spans="1:58">
      <c r="A57" s="1">
        <v>1207</v>
      </c>
      <c r="B57" s="1">
        <v>69</v>
      </c>
      <c r="C57" t="s">
        <v>227</v>
      </c>
      <c r="D57">
        <v>82779</v>
      </c>
      <c r="E57">
        <v>76468</v>
      </c>
      <c r="F57">
        <v>75354</v>
      </c>
      <c r="G57">
        <f>Age!G57/Age!$F57</f>
        <v>0.57377179711760495</v>
      </c>
      <c r="H57">
        <f>Age!H57/Age!$F57</f>
        <v>7.2856119117764157E-3</v>
      </c>
      <c r="I57">
        <f>Age!I57/Age!$F57</f>
        <v>6.6220771292831168E-3</v>
      </c>
      <c r="J57">
        <f>Age!J57/Age!$F57</f>
        <v>5.8258353902911593E-3</v>
      </c>
      <c r="K57">
        <f>Age!K57/Age!$F57</f>
        <v>5.7992939989914274E-3</v>
      </c>
      <c r="L57">
        <f>Age!L57/Age!$F57</f>
        <v>5.5338800859941082E-3</v>
      </c>
      <c r="M57">
        <f>Age!M57/Age!$F57</f>
        <v>1.3403402606364625E-3</v>
      </c>
      <c r="N57">
        <f>Age!N57/Age!$F57</f>
        <v>2.9195530429705126E-3</v>
      </c>
      <c r="O57">
        <f>Age!O57/Age!$F57</f>
        <v>3.4503808689651514E-4</v>
      </c>
      <c r="P57">
        <f>Age!P57/Age!$F57</f>
        <v>1.0616556519892772E-4</v>
      </c>
      <c r="Q57">
        <f>Age!Q57/Age!$F57</f>
        <v>0.28715131247179976</v>
      </c>
      <c r="R57">
        <f>Age!R57/Age!$F57</f>
        <v>0.16640125275366935</v>
      </c>
      <c r="S57">
        <f>Age!S57/Age!$F57</f>
        <v>0.10677601719882156</v>
      </c>
      <c r="T57">
        <f>Age!T57/Age!$F57</f>
        <v>8.7055763463120741E-3</v>
      </c>
      <c r="U57">
        <f>Age!U57/Age!$F57</f>
        <v>1.3629004432412347E-2</v>
      </c>
      <c r="V57">
        <f>Age!V57/Age!$F57</f>
        <v>1.7464235475223612E-2</v>
      </c>
      <c r="W57">
        <f>Age!W57/Age!$F57</f>
        <v>2.9023011386256868E-2</v>
      </c>
      <c r="X57">
        <f>Age!X57/Age!$F57</f>
        <v>7.5377551291238689E-3</v>
      </c>
      <c r="Y57">
        <f>Age!Y57/Age!$F57</f>
        <v>7.0865514770284254E-3</v>
      </c>
      <c r="Z57">
        <f>Age!Z57/Age!$F57</f>
        <v>1.7318257823075084E-2</v>
      </c>
      <c r="AA57">
        <f>Age!AA57/Age!$F57</f>
        <v>4.1006449558085838E-3</v>
      </c>
      <c r="AB57">
        <f>Age!AB57/Age!$F57</f>
        <v>1.0125540780847733E-2</v>
      </c>
      <c r="AC57">
        <f>Age!AC57/Age!$F57</f>
        <v>1.3403402606364625E-3</v>
      </c>
      <c r="AD57">
        <f>Age!AD57/Age!$F57</f>
        <v>7.4050481726252093E-3</v>
      </c>
      <c r="AE57">
        <f>Age!AE57/Age!$F57</f>
        <v>5.4370040077500861E-2</v>
      </c>
      <c r="AF57">
        <f>Age!AF57/Age!$F57</f>
        <v>4.1139156514584494E-4</v>
      </c>
      <c r="AG57">
        <f>Age!AG57/Age!$F57</f>
        <v>0.24110199856676487</v>
      </c>
      <c r="AH57">
        <f>Age!AH57/Age!$F57</f>
        <v>0.19876847944369244</v>
      </c>
      <c r="AI57">
        <f>Age!AI57/Age!$F57</f>
        <v>4.3129760862064392E-3</v>
      </c>
      <c r="AJ57">
        <f>Age!AJ57/Age!$F57</f>
        <v>1.0085728693898135E-3</v>
      </c>
      <c r="AK57">
        <f>Age!AK57/Age!$F57</f>
        <v>0.18102555935982165</v>
      </c>
      <c r="AL57">
        <f>Age!AL57/Age!$F57</f>
        <v>0.12731905406481409</v>
      </c>
      <c r="AM57">
        <f>Age!AM57/Age!$F57</f>
        <v>4.9897815643496031E-3</v>
      </c>
      <c r="AN57">
        <f>Age!AN57/Age!$F57</f>
        <v>7.5085595986941631E-2</v>
      </c>
      <c r="AO57">
        <f>Age!AO57/Age!$F57</f>
        <v>4.368713007935876E-2</v>
      </c>
      <c r="AP57">
        <f>Age!AP57/Age!$F57</f>
        <v>3.0031584255646681E-2</v>
      </c>
      <c r="AQ57">
        <f>Age!AQ57/Age!$F57</f>
        <v>3.7383549645672427E-2</v>
      </c>
      <c r="AR57">
        <f>Age!AR57/Age!$F57</f>
        <v>3.5937043819837033E-2</v>
      </c>
      <c r="AS57">
        <f>Age!AS57/Age!$F57</f>
        <v>4.4669161557448843E-2</v>
      </c>
      <c r="AT57">
        <f>Age!AT57/Age!$F57</f>
        <v>3.2367226690023093E-2</v>
      </c>
      <c r="AU57">
        <f>Age!AU57/Age!$F57</f>
        <v>4.0449080340791463E-2</v>
      </c>
      <c r="AV57">
        <f>Age!AV57/Age!$F57</f>
        <v>2.0609390344241845E-2</v>
      </c>
      <c r="AW57">
        <f>Age!AW57/Age!$F57</f>
        <v>1.4557953127902964E-2</v>
      </c>
      <c r="AX57">
        <f>Age!AX57/Age!$F57</f>
        <v>1.8366642779414497E-2</v>
      </c>
      <c r="AY57">
        <f>Age!AY57/Age!$F57</f>
        <v>3.3840273907158212E-3</v>
      </c>
      <c r="AZ57">
        <f>Age!AZ57/Age!$F57</f>
        <v>1.4703930780051491E-2</v>
      </c>
      <c r="BA57">
        <f>Age!BA57/Age!$F57</f>
        <v>1.7384611301324415E-2</v>
      </c>
      <c r="BB57">
        <f>Age!BB57/Age!$F57</f>
        <v>1.421291504100645E-2</v>
      </c>
      <c r="BC57">
        <f>Age!BC57/Age!$F57</f>
        <v>7.5642965204236008E-4</v>
      </c>
      <c r="BF57" t="str">
        <f t="shared" si="0"/>
        <v>over 60</v>
      </c>
    </row>
    <row r="58" spans="1:58">
      <c r="A58" s="1">
        <v>1010</v>
      </c>
      <c r="B58" s="1">
        <v>70</v>
      </c>
      <c r="C58" t="s">
        <v>169</v>
      </c>
      <c r="D58">
        <v>284997</v>
      </c>
      <c r="E58">
        <v>278506</v>
      </c>
      <c r="F58">
        <v>276399</v>
      </c>
      <c r="G58">
        <f>Age!G58/Age!$F58</f>
        <v>0.78258242613034057</v>
      </c>
      <c r="H58">
        <f>Age!H58/Age!$F58</f>
        <v>1.9826410370515088E-3</v>
      </c>
      <c r="I58">
        <f>Age!I58/Age!$F58</f>
        <v>1.9392255398897971E-3</v>
      </c>
      <c r="J58">
        <f>Age!J58/Age!$F58</f>
        <v>1.8125970065014708E-3</v>
      </c>
      <c r="K58">
        <f>Age!K58/Age!$F58</f>
        <v>1.7945072160174241E-3</v>
      </c>
      <c r="L58">
        <f>Age!L58/Age!$F58</f>
        <v>1.7764174255333774E-3</v>
      </c>
      <c r="M58">
        <f>Age!M58/Age!$F58</f>
        <v>4.1244722303626277E-4</v>
      </c>
      <c r="N58">
        <f>Age!N58/Age!$F58</f>
        <v>9.8408460233213586E-4</v>
      </c>
      <c r="O58">
        <f>Age!O58/Age!$F58</f>
        <v>1.0853874290427969E-5</v>
      </c>
      <c r="P58">
        <f>Age!P58/Age!$F58</f>
        <v>0</v>
      </c>
      <c r="Q58">
        <f>Age!Q58/Age!$F58</f>
        <v>0.45132941870267257</v>
      </c>
      <c r="R58">
        <f>Age!R58/Age!$F58</f>
        <v>7.3737603971070806E-2</v>
      </c>
      <c r="S58">
        <f>Age!S58/Age!$F58</f>
        <v>0.37155344266802703</v>
      </c>
      <c r="T58">
        <f>Age!T58/Age!$F58</f>
        <v>1.1772835647017536E-2</v>
      </c>
      <c r="U58">
        <f>Age!U58/Age!$F58</f>
        <v>3.0857564607686714E-2</v>
      </c>
      <c r="V58">
        <f>Age!V58/Age!$F58</f>
        <v>6.0390956551941218E-2</v>
      </c>
      <c r="W58">
        <f>Age!W58/Age!$F58</f>
        <v>0.20667947423832936</v>
      </c>
      <c r="X58">
        <f>Age!X58/Age!$F58</f>
        <v>8.3998133133622047E-2</v>
      </c>
      <c r="Y58">
        <f>Age!Y58/Age!$F58</f>
        <v>8.3426495754326174E-2</v>
      </c>
      <c r="Z58">
        <f>Age!Z58/Age!$F58</f>
        <v>3.9124598858896013E-2</v>
      </c>
      <c r="AA58">
        <f>Age!AA58/Age!$F58</f>
        <v>4.106382439878581E-3</v>
      </c>
      <c r="AB58">
        <f>Age!AB58/Age!$F58</f>
        <v>3.1787379838566707E-2</v>
      </c>
      <c r="AC58">
        <f>Age!AC58/Age!$F58</f>
        <v>1.1570229993596214E-2</v>
      </c>
      <c r="AD58">
        <f>Age!AD58/Age!$F58</f>
        <v>1.4565899297754334E-2</v>
      </c>
      <c r="AE58">
        <f>Age!AE58/Age!$F58</f>
        <v>0.10250760675689854</v>
      </c>
      <c r="AF58">
        <f>Age!AF58/Age!$F58</f>
        <v>5.9696308597353824E-4</v>
      </c>
      <c r="AG58">
        <f>Age!AG58/Age!$F58</f>
        <v>0.3191147580128727</v>
      </c>
      <c r="AH58">
        <f>Age!AH58/Age!$F58</f>
        <v>0.3072406195391445</v>
      </c>
      <c r="AI58">
        <f>Age!AI58/Age!$F58</f>
        <v>3.798856001649789E-3</v>
      </c>
      <c r="AJ58">
        <f>Age!AJ58/Age!$F58</f>
        <v>2.0550001989876952E-3</v>
      </c>
      <c r="AK58">
        <f>Age!AK58/Age!$F58</f>
        <v>0.28915082905509787</v>
      </c>
      <c r="AL58">
        <f>Age!AL58/Age!$F58</f>
        <v>0.12987384180116426</v>
      </c>
      <c r="AM58">
        <f>Age!AM58/Age!$F58</f>
        <v>1.1939261719470765E-3</v>
      </c>
      <c r="AN58">
        <f>Age!AN58/Age!$F58</f>
        <v>6.7977814680950363E-2</v>
      </c>
      <c r="AO58">
        <f>Age!AO58/Age!$F58</f>
        <v>2.3795310402714917E-2</v>
      </c>
      <c r="AP58">
        <f>Age!AP58/Age!$F58</f>
        <v>3.9786685190612125E-2</v>
      </c>
      <c r="AQ58">
        <f>Age!AQ58/Age!$F58</f>
        <v>5.517747893443898E-2</v>
      </c>
      <c r="AR58">
        <f>Age!AR58/Age!$F58</f>
        <v>5.2941580830610818E-2</v>
      </c>
      <c r="AS58">
        <f>Age!AS58/Age!$F58</f>
        <v>1.9464614560834155E-2</v>
      </c>
      <c r="AT58">
        <f>Age!AT58/Age!$F58</f>
        <v>5.4631167261820776E-3</v>
      </c>
      <c r="AU58">
        <f>Age!AU58/Age!$F58</f>
        <v>0.14474364957905059</v>
      </c>
      <c r="AV58">
        <f>Age!AV58/Age!$F58</f>
        <v>2.7210662846102917E-2</v>
      </c>
      <c r="AW58">
        <f>Age!AW58/Age!$F58</f>
        <v>5.1881519108245688E-3</v>
      </c>
      <c r="AX58">
        <f>Age!AX58/Age!$F58</f>
        <v>2.6049298297027124E-2</v>
      </c>
      <c r="AY58">
        <f>Age!AY58/Age!$F58</f>
        <v>6.0781696026396626E-3</v>
      </c>
      <c r="AZ58">
        <f>Age!AZ58/Age!$F58</f>
        <v>1.9023223673023421E-2</v>
      </c>
      <c r="BA58">
        <f>Age!BA58/Age!$F58</f>
        <v>0.11392226455233195</v>
      </c>
      <c r="BB58">
        <f>Age!BB58/Age!$F58</f>
        <v>5.3339556221259847E-2</v>
      </c>
      <c r="BC58">
        <f>Age!BC58/Age!$F58</f>
        <v>1.7727994674365683E-4</v>
      </c>
      <c r="BF58" t="str">
        <f t="shared" si="0"/>
        <v>over 60</v>
      </c>
    </row>
    <row r="59" spans="1:58">
      <c r="A59" s="1">
        <v>1050</v>
      </c>
      <c r="B59" s="1">
        <v>70</v>
      </c>
      <c r="C59" t="s">
        <v>187</v>
      </c>
      <c r="D59">
        <v>237179</v>
      </c>
      <c r="E59">
        <v>231914</v>
      </c>
      <c r="F59">
        <v>230665</v>
      </c>
      <c r="G59">
        <f>Age!G59/Age!$F59</f>
        <v>0.90677389287494847</v>
      </c>
      <c r="H59">
        <f>Age!H59/Age!$F59</f>
        <v>1.3339691760778618E-2</v>
      </c>
      <c r="I59">
        <f>Age!I59/Age!$F59</f>
        <v>1.3283332972059046E-2</v>
      </c>
      <c r="J59">
        <f>Age!J59/Age!$F59</f>
        <v>1.2945180239741616E-2</v>
      </c>
      <c r="K59">
        <f>Age!K59/Age!$F59</f>
        <v>1.2932174365421715E-2</v>
      </c>
      <c r="L59">
        <f>Age!L59/Age!$F59</f>
        <v>1.2919168491101814E-2</v>
      </c>
      <c r="M59">
        <f>Age!M59/Age!$F59</f>
        <v>9.7804174885656684E-3</v>
      </c>
      <c r="N59">
        <f>Age!N59/Age!$F59</f>
        <v>1.5693755012680726E-3</v>
      </c>
      <c r="O59">
        <f>Age!O59/Age!$F59</f>
        <v>3.0347040079769364E-5</v>
      </c>
      <c r="P59">
        <f>Age!P59/Age!$F59</f>
        <v>3.9017622959703465E-5</v>
      </c>
      <c r="Q59">
        <f>Age!Q59/Age!$F59</f>
        <v>0.55062970108165521</v>
      </c>
      <c r="R59">
        <f>Age!R59/Age!$F59</f>
        <v>8.2049725792816428E-2</v>
      </c>
      <c r="S59">
        <f>Age!S59/Age!$F59</f>
        <v>0.45851776385667525</v>
      </c>
      <c r="T59">
        <f>Age!T59/Age!$F59</f>
        <v>1.0274640712721913E-2</v>
      </c>
      <c r="U59">
        <f>Age!U59/Age!$F59</f>
        <v>5.6957058938287126E-2</v>
      </c>
      <c r="V59">
        <f>Age!V59/Age!$F59</f>
        <v>0.13965274315565865</v>
      </c>
      <c r="W59">
        <f>Age!W59/Age!$F59</f>
        <v>0.16028439511846185</v>
      </c>
      <c r="X59">
        <f>Age!X59/Age!$F59</f>
        <v>5.9311122190189233E-2</v>
      </c>
      <c r="Y59">
        <f>Age!Y59/Age!$F59</f>
        <v>5.8097240586998458E-2</v>
      </c>
      <c r="Z59">
        <f>Age!Z59/Age!$F59</f>
        <v>4.6552359482366204E-2</v>
      </c>
      <c r="AA59">
        <f>Age!AA59/Age!$F59</f>
        <v>4.8381852470032296E-3</v>
      </c>
      <c r="AB59">
        <f>Age!AB59/Age!$F59</f>
        <v>2.4654802419092625E-2</v>
      </c>
      <c r="AC59">
        <f>Age!AC59/Age!$F59</f>
        <v>3.2037803741356511E-3</v>
      </c>
      <c r="AD59">
        <f>Age!AD59/Age!$F59</f>
        <v>1.9712570177530184E-2</v>
      </c>
      <c r="AE59">
        <f>Age!AE59/Age!$F59</f>
        <v>0.22484555524245117</v>
      </c>
      <c r="AF59">
        <f>Age!AF59/Age!$F59</f>
        <v>1.0274640712721913E-3</v>
      </c>
      <c r="AG59">
        <f>Age!AG59/Age!$F59</f>
        <v>0.33579433377408796</v>
      </c>
      <c r="AH59">
        <f>Age!AH59/Age!$F59</f>
        <v>0.32580148700496392</v>
      </c>
      <c r="AI59">
        <f>Age!AI59/Age!$F59</f>
        <v>4.8598617042030648E-3</v>
      </c>
      <c r="AJ59">
        <f>Age!AJ59/Age!$F59</f>
        <v>1.3309344720698849E-3</v>
      </c>
      <c r="AK59">
        <f>Age!AK59/Age!$F59</f>
        <v>0.30189669000498559</v>
      </c>
      <c r="AL59">
        <f>Age!AL59/Age!$F59</f>
        <v>0.21983829362928922</v>
      </c>
      <c r="AM59">
        <f>Age!AM59/Age!$F59</f>
        <v>2.2586868402228338E-3</v>
      </c>
      <c r="AN59">
        <f>Age!AN59/Age!$F59</f>
        <v>0.15771356729456137</v>
      </c>
      <c r="AO59">
        <f>Age!AO59/Age!$F59</f>
        <v>3.7695359070513516E-2</v>
      </c>
      <c r="AP59">
        <f>Age!AP59/Age!$F59</f>
        <v>0.1092493442871697</v>
      </c>
      <c r="AQ59">
        <f>Age!AQ59/Age!$F59</f>
        <v>4.1497409663364619E-2</v>
      </c>
      <c r="AR59">
        <f>Age!AR59/Age!$F59</f>
        <v>4.1254633342726464E-2</v>
      </c>
      <c r="AS59">
        <f>Age!AS59/Age!$F59</f>
        <v>1.0500075867600199E-2</v>
      </c>
      <c r="AT59">
        <f>Age!AT59/Age!$F59</f>
        <v>3.3078273686948604E-3</v>
      </c>
      <c r="AU59">
        <f>Age!AU59/Age!$F59</f>
        <v>6.8991827975635661E-2</v>
      </c>
      <c r="AV59">
        <f>Age!AV59/Age!$F59</f>
        <v>1.9794940714889558E-2</v>
      </c>
      <c r="AW59">
        <f>Age!AW59/Age!$F59</f>
        <v>1.4479873409489954E-3</v>
      </c>
      <c r="AX59">
        <f>Age!AX59/Age!$F59</f>
        <v>2.3579650141980796E-2</v>
      </c>
      <c r="AY59">
        <f>Age!AY59/Age!$F59</f>
        <v>8.1980361129776955E-3</v>
      </c>
      <c r="AZ59">
        <f>Age!AZ59/Age!$F59</f>
        <v>1.4258773546051633E-2</v>
      </c>
      <c r="BA59">
        <f>Age!BA59/Age!$F59</f>
        <v>4.0101445819695228E-2</v>
      </c>
      <c r="BB59">
        <f>Age!BB59/Age!$F59</f>
        <v>3.3607179242624588E-2</v>
      </c>
      <c r="BC59">
        <f>Age!BC59/Age!$F59</f>
        <v>6.5029371599505781E-5</v>
      </c>
      <c r="BF59" t="str">
        <f t="shared" si="0"/>
        <v>over 60</v>
      </c>
    </row>
    <row r="60" spans="1:58">
      <c r="A60" s="1">
        <v>1149</v>
      </c>
      <c r="B60" s="1">
        <v>70</v>
      </c>
      <c r="C60" t="s">
        <v>205</v>
      </c>
      <c r="D60">
        <v>26524</v>
      </c>
      <c r="E60">
        <v>24333</v>
      </c>
      <c r="F60">
        <v>22879</v>
      </c>
      <c r="G60">
        <f>Age!G60/Age!$F60</f>
        <v>0.6812360680099655</v>
      </c>
      <c r="H60">
        <f>Age!H60/Age!$F60</f>
        <v>2.4039512216443028E-3</v>
      </c>
      <c r="I60">
        <f>Age!I60/Age!$F60</f>
        <v>2.4039512216443028E-3</v>
      </c>
      <c r="J60">
        <f>Age!J60/Age!$F60</f>
        <v>2.4039512216443028E-3</v>
      </c>
      <c r="K60">
        <f>Age!K60/Age!$F60</f>
        <v>2.4039512216443028E-3</v>
      </c>
      <c r="L60">
        <f>Age!L60/Age!$F60</f>
        <v>2.4039512216443028E-3</v>
      </c>
      <c r="M60">
        <f>Age!M60/Age!$F60</f>
        <v>1.3112461208968924E-3</v>
      </c>
      <c r="N60">
        <f>Age!N60/Age!$F60</f>
        <v>9.6158048865772102E-4</v>
      </c>
      <c r="O60">
        <f>Age!O60/Age!$F60</f>
        <v>0</v>
      </c>
      <c r="P60">
        <f>Age!P60/Age!$F60</f>
        <v>0</v>
      </c>
      <c r="Q60">
        <f>Age!Q60/Age!$F60</f>
        <v>0.3436776082870755</v>
      </c>
      <c r="R60">
        <f>Age!R60/Age!$F60</f>
        <v>5.3804799160802483E-2</v>
      </c>
      <c r="S60">
        <f>Age!S60/Age!$F60</f>
        <v>0.27947025656715768</v>
      </c>
      <c r="T60">
        <f>Age!T60/Age!$F60</f>
        <v>2.3209056339874995E-2</v>
      </c>
      <c r="U60">
        <f>Age!U60/Age!$F60</f>
        <v>1.8881944140915249E-2</v>
      </c>
      <c r="V60">
        <f>Age!V60/Age!$F60</f>
        <v>3.1688447921674898E-2</v>
      </c>
      <c r="W60">
        <f>Age!W60/Age!$F60</f>
        <v>0.10319506971458543</v>
      </c>
      <c r="X60">
        <f>Age!X60/Age!$F60</f>
        <v>1.2282005332400892E-2</v>
      </c>
      <c r="Y60">
        <f>Age!Y60/Age!$F60</f>
        <v>1.1538965863892652E-2</v>
      </c>
      <c r="Z60">
        <f>Age!Z60/Age!$F60</f>
        <v>2.4214345032562611E-2</v>
      </c>
      <c r="AA60">
        <f>Age!AA60/Age!$F60</f>
        <v>3.0158660780628525E-3</v>
      </c>
      <c r="AB60">
        <f>Age!AB60/Age!$F60</f>
        <v>1.8007780060317322E-2</v>
      </c>
      <c r="AC60">
        <f>Age!AC60/Age!$F60</f>
        <v>3.5403645264216093E-3</v>
      </c>
      <c r="AD60">
        <f>Age!AD60/Age!$F60</f>
        <v>1.2544254556580271E-2</v>
      </c>
      <c r="AE60">
        <f>Age!AE60/Age!$F60</f>
        <v>0.14200795489313345</v>
      </c>
      <c r="AF60">
        <f>Age!AF60/Age!$F60</f>
        <v>1.3112461208968922E-4</v>
      </c>
      <c r="AG60">
        <f>Age!AG60/Age!$F60</f>
        <v>0.33073997989422615</v>
      </c>
      <c r="AH60">
        <f>Age!AH60/Age!$F60</f>
        <v>0.26391013593251456</v>
      </c>
      <c r="AI60">
        <f>Age!AI60/Age!$F60</f>
        <v>7.3429782770225976E-3</v>
      </c>
      <c r="AJ60">
        <f>Age!AJ60/Age!$F60</f>
        <v>4.9827352594081905E-3</v>
      </c>
      <c r="AK60">
        <f>Age!AK60/Age!$F60</f>
        <v>0.23580576074129114</v>
      </c>
      <c r="AL60">
        <f>Age!AL60/Age!$F60</f>
        <v>0.14113379081253552</v>
      </c>
      <c r="AM60">
        <f>Age!AM60/Age!$F60</f>
        <v>1.923160977315442E-3</v>
      </c>
      <c r="AN60">
        <f>Age!AN60/Age!$F60</f>
        <v>7.8499934437693958E-2</v>
      </c>
      <c r="AO60">
        <f>Age!AO60/Age!$F60</f>
        <v>2.8366624415402771E-2</v>
      </c>
      <c r="AP60">
        <f>Age!AP60/Age!$F60</f>
        <v>4.3664495825866512E-2</v>
      </c>
      <c r="AQ60">
        <f>Age!AQ60/Age!$F60</f>
        <v>5.4766379649460205E-2</v>
      </c>
      <c r="AR60">
        <f>Age!AR60/Age!$F60</f>
        <v>5.3673674548712795E-2</v>
      </c>
      <c r="AS60">
        <f>Age!AS60/Age!$F60</f>
        <v>1.8663403120765767E-2</v>
      </c>
      <c r="AT60">
        <f>Age!AT60/Age!$F60</f>
        <v>5.4635255037370515E-3</v>
      </c>
      <c r="AU60">
        <f>Age!AU60/Age!$F60</f>
        <v>6.3770269679618866E-2</v>
      </c>
      <c r="AV60">
        <f>Age!AV60/Age!$F60</f>
        <v>1.315616941299882E-2</v>
      </c>
      <c r="AW60">
        <f>Age!AW60/Age!$F60</f>
        <v>8.3045587656803183E-4</v>
      </c>
      <c r="AX60">
        <f>Age!AX60/Age!$F60</f>
        <v>4.414528607019538E-3</v>
      </c>
      <c r="AY60">
        <f>Age!AY60/Age!$F60</f>
        <v>2.666200445823681E-3</v>
      </c>
      <c r="AZ60">
        <f>Age!AZ60/Age!$F60</f>
        <v>1.4423707329865815E-3</v>
      </c>
      <c r="BA60">
        <f>Age!BA60/Age!$F60</f>
        <v>5.7738537523493158E-2</v>
      </c>
      <c r="BB60">
        <f>Age!BB60/Age!$F60</f>
        <v>3.9599632851086149E-2</v>
      </c>
      <c r="BC60">
        <f>Age!BC60/Age!$F60</f>
        <v>2.4039512216443028E-3</v>
      </c>
      <c r="BF60" t="str">
        <f t="shared" si="0"/>
        <v>over 60</v>
      </c>
    </row>
    <row r="61" spans="1:58">
      <c r="A61" s="1">
        <v>1153</v>
      </c>
      <c r="B61" s="1">
        <v>70</v>
      </c>
      <c r="C61" t="s">
        <v>207</v>
      </c>
      <c r="D61">
        <v>319599</v>
      </c>
      <c r="E61">
        <v>283483</v>
      </c>
      <c r="F61">
        <v>263446</v>
      </c>
      <c r="G61">
        <f>Age!G61/Age!$F61</f>
        <v>0.64263644162371036</v>
      </c>
      <c r="H61">
        <f>Age!H61/Age!$F61</f>
        <v>1.4727875921441206E-3</v>
      </c>
      <c r="I61">
        <f>Age!I61/Age!$F61</f>
        <v>1.4576042149055215E-3</v>
      </c>
      <c r="J61">
        <f>Age!J61/Age!$F61</f>
        <v>1.3702997957835761E-3</v>
      </c>
      <c r="K61">
        <f>Age!K61/Age!$F61</f>
        <v>1.3627081071642766E-3</v>
      </c>
      <c r="L61">
        <f>Age!L61/Age!$F61</f>
        <v>1.3627081071642766E-3</v>
      </c>
      <c r="M61">
        <f>Age!M61/Age!$F61</f>
        <v>2.3154650288863751E-4</v>
      </c>
      <c r="N61">
        <f>Age!N61/Age!$F61</f>
        <v>9.9451120912824641E-4</v>
      </c>
      <c r="O61">
        <f>Age!O61/Age!$F61</f>
        <v>0</v>
      </c>
      <c r="P61">
        <f>Age!P61/Age!$F61</f>
        <v>1.8979221548248977E-5</v>
      </c>
      <c r="Q61">
        <f>Age!Q61/Age!$F61</f>
        <v>0.38585136992021135</v>
      </c>
      <c r="R61">
        <f>Age!R61/Age!$F61</f>
        <v>4.36028635849472E-2</v>
      </c>
      <c r="S61">
        <f>Age!S61/Age!$F61</f>
        <v>0.3366344526012921</v>
      </c>
      <c r="T61">
        <f>Age!T61/Age!$F61</f>
        <v>1.2108743347782848E-2</v>
      </c>
      <c r="U61">
        <f>Age!U61/Age!$F61</f>
        <v>1.0495509516181684E-2</v>
      </c>
      <c r="V61">
        <f>Age!V61/Age!$F61</f>
        <v>3.7351108006953987E-2</v>
      </c>
      <c r="W61">
        <f>Age!W61/Age!$F61</f>
        <v>0.19307941665464648</v>
      </c>
      <c r="X61">
        <f>Age!X61/Age!$F61</f>
        <v>2.6324180287421332E-2</v>
      </c>
      <c r="Y61">
        <f>Age!Y61/Age!$F61</f>
        <v>2.5322077389673785E-2</v>
      </c>
      <c r="Z61">
        <f>Age!Z61/Age!$F61</f>
        <v>3.9491964197596471E-2</v>
      </c>
      <c r="AA61">
        <f>Age!AA61/Age!$F61</f>
        <v>5.4736074945150046E-3</v>
      </c>
      <c r="AB61">
        <f>Age!AB61/Age!$F61</f>
        <v>2.8681399603713853E-2</v>
      </c>
      <c r="AC61">
        <f>Age!AC61/Age!$F61</f>
        <v>8.1041276011023129E-3</v>
      </c>
      <c r="AD61">
        <f>Age!AD61/Age!$F61</f>
        <v>1.6162705070488829E-2</v>
      </c>
      <c r="AE61">
        <f>Age!AE61/Age!$F61</f>
        <v>8.4051380548575416E-2</v>
      </c>
      <c r="AF61">
        <f>Age!AF61/Age!$F61</f>
        <v>7.5537301762030934E-4</v>
      </c>
      <c r="AG61">
        <f>Age!AG61/Age!$F61</f>
        <v>0.25241985074740175</v>
      </c>
      <c r="AH61">
        <f>Age!AH61/Age!$F61</f>
        <v>0.23814747614311851</v>
      </c>
      <c r="AI61">
        <f>Age!AI61/Age!$F61</f>
        <v>1.7840468255354038E-3</v>
      </c>
      <c r="AJ61">
        <f>Age!AJ61/Age!$F61</f>
        <v>2.9607585615268404E-4</v>
      </c>
      <c r="AK61">
        <f>Age!AK61/Age!$F61</f>
        <v>0.23065827532017946</v>
      </c>
      <c r="AL61">
        <f>Age!AL61/Age!$F61</f>
        <v>0.18310014196457719</v>
      </c>
      <c r="AM61">
        <f>Age!AM61/Age!$F61</f>
        <v>1.446216681976572E-3</v>
      </c>
      <c r="AN61">
        <f>Age!AN61/Age!$F61</f>
        <v>6.7201627658039984E-2</v>
      </c>
      <c r="AO61">
        <f>Age!AO61/Age!$F61</f>
        <v>7.0526787273293198E-3</v>
      </c>
      <c r="AP61">
        <f>Age!AP61/Age!$F61</f>
        <v>5.7844871434753233E-2</v>
      </c>
      <c r="AQ61">
        <f>Age!AQ61/Age!$F61</f>
        <v>9.6782642363140839E-2</v>
      </c>
      <c r="AR61">
        <f>Age!AR61/Age!$F61</f>
        <v>9.6570075081800447E-2</v>
      </c>
      <c r="AS61">
        <f>Age!AS61/Age!$F61</f>
        <v>1.0738443551999271E-2</v>
      </c>
      <c r="AT61">
        <f>Age!AT61/Age!$F61</f>
        <v>3.4010765014462169E-3</v>
      </c>
      <c r="AU61">
        <f>Age!AU61/Age!$F61</f>
        <v>4.2205992878996075E-2</v>
      </c>
      <c r="AV61">
        <f>Age!AV61/Age!$F61</f>
        <v>5.8607836140992841E-3</v>
      </c>
      <c r="AW61">
        <f>Age!AW61/Age!$F61</f>
        <v>7.9712730502645701E-4</v>
      </c>
      <c r="AX61">
        <f>Age!AX61/Age!$F61</f>
        <v>8.1800444872953092E-3</v>
      </c>
      <c r="AY61">
        <f>Age!AY61/Age!$F61</f>
        <v>6.2327763564449645E-3</v>
      </c>
      <c r="AZ61">
        <f>Age!AZ61/Age!$F61</f>
        <v>1.4917668136923696E-3</v>
      </c>
      <c r="BA61">
        <f>Age!BA61/Age!$F61</f>
        <v>2.9527872884765757E-2</v>
      </c>
      <c r="BB61">
        <f>Age!BB61/Age!$F61</f>
        <v>2.4528745928956978E-2</v>
      </c>
      <c r="BC61">
        <f>Age!BC61/Age!$F61</f>
        <v>1.9358805979213957E-4</v>
      </c>
      <c r="BF61" t="str">
        <f t="shared" si="0"/>
        <v>over 60</v>
      </c>
    </row>
    <row r="62" spans="1:58">
      <c r="A62" s="1">
        <v>1008</v>
      </c>
      <c r="B62" s="1">
        <v>71</v>
      </c>
      <c r="C62" t="s">
        <v>168</v>
      </c>
      <c r="D62">
        <v>47011</v>
      </c>
      <c r="E62">
        <v>45318</v>
      </c>
      <c r="F62">
        <v>44254</v>
      </c>
      <c r="G62">
        <f>Age!G62/Age!$F62</f>
        <v>0.61879152167035745</v>
      </c>
      <c r="H62">
        <f>Age!H62/Age!$F62</f>
        <v>4.2933972070321328E-3</v>
      </c>
      <c r="I62">
        <f>Age!I62/Age!$F62</f>
        <v>4.1126225877886743E-3</v>
      </c>
      <c r="J62">
        <f>Age!J62/Age!$F62</f>
        <v>3.818863831518055E-3</v>
      </c>
      <c r="K62">
        <f>Age!K62/Age!$F62</f>
        <v>3.7284765218963257E-3</v>
      </c>
      <c r="L62">
        <f>Age!L62/Age!$F62</f>
        <v>3.6832828670854611E-3</v>
      </c>
      <c r="M62">
        <f>Age!M62/Age!$F62</f>
        <v>9.9426040583902022E-4</v>
      </c>
      <c r="N62">
        <f>Age!N62/Age!$F62</f>
        <v>2.3500700501649569E-3</v>
      </c>
      <c r="O62">
        <f>Age!O62/Age!$F62</f>
        <v>0</v>
      </c>
      <c r="P62">
        <f>Age!P62/Age!$F62</f>
        <v>0</v>
      </c>
      <c r="Q62">
        <f>Age!Q62/Age!$F62</f>
        <v>0.30295566502463056</v>
      </c>
      <c r="R62">
        <f>Age!R62/Age!$F62</f>
        <v>7.0163149093867228E-2</v>
      </c>
      <c r="S62">
        <f>Age!S62/Age!$F62</f>
        <v>0.22095177837031682</v>
      </c>
      <c r="T62">
        <f>Age!T62/Age!$F62</f>
        <v>1.4620147331314684E-2</v>
      </c>
      <c r="U62">
        <f>Age!U62/Age!$F62</f>
        <v>6.0107560898449855E-3</v>
      </c>
      <c r="V62">
        <f>Age!V62/Age!$F62</f>
        <v>9.8974104035793372E-3</v>
      </c>
      <c r="W62">
        <f>Age!W62/Age!$F62</f>
        <v>9.6443259366384954E-2</v>
      </c>
      <c r="X62">
        <f>Age!X62/Age!$F62</f>
        <v>1.2744610656663805E-2</v>
      </c>
      <c r="Y62">
        <f>Age!Y62/Age!$F62</f>
        <v>1.1659962941203056E-2</v>
      </c>
      <c r="Z62">
        <f>Age!Z62/Age!$F62</f>
        <v>5.3215528539793014E-2</v>
      </c>
      <c r="AA62">
        <f>Age!AA62/Age!$F62</f>
        <v>8.4512134496316713E-3</v>
      </c>
      <c r="AB62">
        <f>Age!AB62/Age!$F62</f>
        <v>3.7103990599719798E-2</v>
      </c>
      <c r="AC62">
        <f>Age!AC62/Age!$F62</f>
        <v>2.9375875627061962E-4</v>
      </c>
      <c r="AD62">
        <f>Age!AD62/Age!$F62</f>
        <v>3.6539069914583992E-2</v>
      </c>
      <c r="AE62">
        <f>Age!AE62/Age!$F62</f>
        <v>5.6198309757310071E-2</v>
      </c>
      <c r="AF62">
        <f>Age!AF62/Age!$F62</f>
        <v>1.378406471731369E-3</v>
      </c>
      <c r="AG62">
        <f>Age!AG62/Age!$F62</f>
        <v>0.30098974104035792</v>
      </c>
      <c r="AH62">
        <f>Age!AH62/Age!$F62</f>
        <v>0.28876485741401908</v>
      </c>
      <c r="AI62">
        <f>Age!AI62/Age!$F62</f>
        <v>4.9938988566005336E-3</v>
      </c>
      <c r="AJ62">
        <f>Age!AJ62/Age!$F62</f>
        <v>3.7962670041126224E-3</v>
      </c>
      <c r="AK62">
        <f>Age!AK62/Age!$F62</f>
        <v>0.26897003660686042</v>
      </c>
      <c r="AL62">
        <f>Age!AL62/Age!$F62</f>
        <v>0.21636462240701407</v>
      </c>
      <c r="AM62">
        <f>Age!AM62/Age!$F62</f>
        <v>2.7116192886518731E-4</v>
      </c>
      <c r="AN62">
        <f>Age!AN62/Age!$F62</f>
        <v>0.16068603968002892</v>
      </c>
      <c r="AO62">
        <f>Age!AO62/Age!$F62</f>
        <v>4.8357210647625076E-2</v>
      </c>
      <c r="AP62">
        <f>Age!AP62/Age!$F62</f>
        <v>9.5900935508654583E-2</v>
      </c>
      <c r="AQ62">
        <f>Age!AQ62/Age!$F62</f>
        <v>4.1781533872644279E-2</v>
      </c>
      <c r="AR62">
        <f>Age!AR62/Age!$F62</f>
        <v>4.071948298458896E-2</v>
      </c>
      <c r="AS62">
        <f>Age!AS62/Age!$F62</f>
        <v>1.8664979436887059E-2</v>
      </c>
      <c r="AT62">
        <f>Age!AT62/Age!$F62</f>
        <v>8.0670673837393223E-3</v>
      </c>
      <c r="AU62">
        <f>Age!AU62/Age!$F62</f>
        <v>4.591675328783839E-2</v>
      </c>
      <c r="AV62">
        <f>Age!AV62/Age!$F62</f>
        <v>7.3439689067654901E-3</v>
      </c>
      <c r="AW62">
        <f>Age!AW62/Age!$F62</f>
        <v>2.0563112938943372E-3</v>
      </c>
      <c r="AX62">
        <f>Age!AX62/Age!$F62</f>
        <v>2.8946535906358747E-2</v>
      </c>
      <c r="AY62">
        <f>Age!AY62/Age!$F62</f>
        <v>1.9207303294617435E-3</v>
      </c>
      <c r="AZ62">
        <f>Age!AZ62/Age!$F62</f>
        <v>2.6189722962896008E-2</v>
      </c>
      <c r="BA62">
        <f>Age!BA62/Age!$F62</f>
        <v>1.5343245808288516E-2</v>
      </c>
      <c r="BB62">
        <f>Age!BB62/Age!$F62</f>
        <v>1.1208026393094409E-2</v>
      </c>
      <c r="BC62">
        <f>Age!BC62/Age!$F62</f>
        <v>6.7790482216296827E-5</v>
      </c>
      <c r="BF62" t="str">
        <f t="shared" si="0"/>
        <v>over 60</v>
      </c>
    </row>
    <row r="63" spans="1:58">
      <c r="A63" s="1">
        <v>1021</v>
      </c>
      <c r="B63" s="1">
        <v>71</v>
      </c>
      <c r="C63" t="s">
        <v>176</v>
      </c>
      <c r="D63">
        <v>36221</v>
      </c>
      <c r="E63">
        <v>34723</v>
      </c>
      <c r="F63">
        <v>34052</v>
      </c>
      <c r="G63">
        <f>Age!G63/Age!$F63</f>
        <v>0.74439093151650415</v>
      </c>
      <c r="H63">
        <f>Age!H63/Age!$F63</f>
        <v>2.9366850698931047E-5</v>
      </c>
      <c r="I63">
        <f>Age!I63/Age!$F63</f>
        <v>2.9366850698931047E-5</v>
      </c>
      <c r="J63">
        <f>Age!J63/Age!$F63</f>
        <v>0</v>
      </c>
      <c r="K63">
        <f>Age!K63/Age!$F63</f>
        <v>0</v>
      </c>
      <c r="L63">
        <f>Age!L63/Age!$F63</f>
        <v>0</v>
      </c>
      <c r="M63">
        <f>Age!M63/Age!$F63</f>
        <v>0</v>
      </c>
      <c r="N63">
        <f>Age!N63/Age!$F63</f>
        <v>0</v>
      </c>
      <c r="O63">
        <f>Age!O63/Age!$F63</f>
        <v>0</v>
      </c>
      <c r="P63">
        <f>Age!P63/Age!$F63</f>
        <v>0</v>
      </c>
      <c r="Q63">
        <f>Age!Q63/Age!$F63</f>
        <v>0.26242217784564781</v>
      </c>
      <c r="R63">
        <f>Age!R63/Age!$F63</f>
        <v>6.2610125690120991E-2</v>
      </c>
      <c r="S63">
        <f>Age!S63/Age!$F63</f>
        <v>0.19461411958181604</v>
      </c>
      <c r="T63">
        <f>Age!T63/Age!$F63</f>
        <v>2.2113238576295078E-2</v>
      </c>
      <c r="U63">
        <f>Age!U63/Age!$F63</f>
        <v>6.9863737812756954E-2</v>
      </c>
      <c r="V63">
        <f>Age!V63/Age!$F63</f>
        <v>0.10184423822389287</v>
      </c>
      <c r="W63">
        <f>Age!W63/Age!$F63</f>
        <v>1.6210501585809937E-2</v>
      </c>
      <c r="X63">
        <f>Age!X63/Age!$F63</f>
        <v>3.4065546810760016E-3</v>
      </c>
      <c r="Y63">
        <f>Age!Y63/Age!$F63</f>
        <v>2.4961823094091389E-3</v>
      </c>
      <c r="Z63">
        <f>Age!Z63/Age!$F63</f>
        <v>5.2566662751086575E-2</v>
      </c>
      <c r="AA63">
        <f>Age!AA63/Age!$F63</f>
        <v>7.3417126747327621E-4</v>
      </c>
      <c r="AB63">
        <f>Age!AB63/Age!$F63</f>
        <v>7.723481733818865E-3</v>
      </c>
      <c r="AC63">
        <f>Age!AC63/Age!$F63</f>
        <v>2.4374486080112768E-3</v>
      </c>
      <c r="AD63">
        <f>Age!AD63/Age!$F63</f>
        <v>4.5224950076353816E-3</v>
      </c>
      <c r="AE63">
        <f>Age!AE63/Age!$F63</f>
        <v>0.11432514977093856</v>
      </c>
      <c r="AF63">
        <f>Age!AF63/Age!$F63</f>
        <v>1.4389756842476213E-3</v>
      </c>
      <c r="AG63">
        <f>Age!AG63/Age!$F63</f>
        <v>0.48003054152472691</v>
      </c>
      <c r="AH63">
        <f>Age!AH63/Age!$F63</f>
        <v>0.41912369317514392</v>
      </c>
      <c r="AI63">
        <f>Age!AI63/Age!$F63</f>
        <v>1.4654058498766592E-2</v>
      </c>
      <c r="AJ63">
        <f>Age!AJ63/Age!$F63</f>
        <v>2.9073182191941735E-3</v>
      </c>
      <c r="AK63">
        <f>Age!AK63/Age!$F63</f>
        <v>0.37618935745330673</v>
      </c>
      <c r="AL63">
        <f>Age!AL63/Age!$F63</f>
        <v>0.295988488194526</v>
      </c>
      <c r="AM63">
        <f>Age!AM63/Age!$F63</f>
        <v>1.321508281451897E-3</v>
      </c>
      <c r="AN63">
        <f>Age!AN63/Age!$F63</f>
        <v>0.12736403148126396</v>
      </c>
      <c r="AO63">
        <f>Age!AO63/Age!$F63</f>
        <v>5.0246681545871023E-2</v>
      </c>
      <c r="AP63">
        <f>Age!AP63/Age!$F63</f>
        <v>6.6721484787971339E-2</v>
      </c>
      <c r="AQ63">
        <f>Age!AQ63/Age!$F63</f>
        <v>0.13696699165981441</v>
      </c>
      <c r="AR63">
        <f>Age!AR63/Age!$F63</f>
        <v>0.13614471984024434</v>
      </c>
      <c r="AS63">
        <f>Age!AS63/Age!$F63</f>
        <v>2.4521320333607426E-2</v>
      </c>
      <c r="AT63">
        <f>Age!AT63/Age!$F63</f>
        <v>1.709150710677787E-2</v>
      </c>
      <c r="AU63">
        <f>Age!AU63/Age!$F63</f>
        <v>6.4137201926465409E-2</v>
      </c>
      <c r="AV63">
        <f>Age!AV63/Age!$F63</f>
        <v>3.9938916950546226E-3</v>
      </c>
      <c r="AW63">
        <f>Age!AW63/Age!$F63</f>
        <v>3.5827557852695876E-3</v>
      </c>
      <c r="AX63">
        <f>Age!AX63/Age!$F63</f>
        <v>1.7766944672853283E-2</v>
      </c>
      <c r="AY63">
        <f>Age!AY63/Age!$F63</f>
        <v>6.3726066016680369E-3</v>
      </c>
      <c r="AZ63">
        <f>Age!AZ63/Age!$F63</f>
        <v>1.0718900505109832E-2</v>
      </c>
      <c r="BA63">
        <f>Age!BA63/Age!$F63</f>
        <v>3.7677669446728533E-2</v>
      </c>
      <c r="BB63">
        <f>Age!BB63/Age!$F63</f>
        <v>3.0247856219898978E-2</v>
      </c>
      <c r="BC63">
        <f>Age!BC63/Age!$F63</f>
        <v>4.4050276048396568E-4</v>
      </c>
      <c r="BF63" t="str">
        <f t="shared" si="0"/>
        <v>over 60</v>
      </c>
    </row>
    <row r="64" spans="1:58">
      <c r="A64" s="1">
        <v>1181</v>
      </c>
      <c r="B64" s="1">
        <v>72</v>
      </c>
      <c r="C64" t="s">
        <v>223</v>
      </c>
      <c r="D64">
        <v>103950</v>
      </c>
      <c r="E64">
        <v>100965</v>
      </c>
      <c r="F64">
        <v>93340</v>
      </c>
      <c r="G64">
        <f>Age!G64/Age!$F64</f>
        <v>0.43163702592671954</v>
      </c>
      <c r="H64">
        <f>Age!H64/Age!$F64</f>
        <v>1.7141632740518535E-4</v>
      </c>
      <c r="I64">
        <f>Age!I64/Age!$F64</f>
        <v>1.6070280694236127E-4</v>
      </c>
      <c r="J64">
        <f>Age!J64/Age!$F64</f>
        <v>1.6070280694236127E-4</v>
      </c>
      <c r="K64">
        <f>Age!K64/Age!$F64</f>
        <v>1.392757660167131E-4</v>
      </c>
      <c r="L64">
        <f>Age!L64/Age!$F64</f>
        <v>1.392757660167131E-4</v>
      </c>
      <c r="M64">
        <f>Age!M64/Age!$F64</f>
        <v>8.5708163702592673E-5</v>
      </c>
      <c r="N64">
        <f>Age!N64/Age!$F64</f>
        <v>3.2140561388472249E-5</v>
      </c>
      <c r="O64">
        <f>Age!O64/Age!$F64</f>
        <v>0</v>
      </c>
      <c r="P64">
        <f>Age!P64/Age!$F64</f>
        <v>0</v>
      </c>
      <c r="Q64">
        <f>Age!Q64/Age!$F64</f>
        <v>0.25094278980072854</v>
      </c>
      <c r="R64">
        <f>Age!R64/Age!$F64</f>
        <v>1.6916648810799229E-2</v>
      </c>
      <c r="S64">
        <f>Age!S64/Age!$F64</f>
        <v>0.23065138204413971</v>
      </c>
      <c r="T64">
        <f>Age!T64/Age!$F64</f>
        <v>3.1604885365331048E-3</v>
      </c>
      <c r="U64">
        <f>Age!U64/Age!$F64</f>
        <v>2.9355046068137991E-3</v>
      </c>
      <c r="V64">
        <f>Age!V64/Age!$F64</f>
        <v>7.2176987358045855E-2</v>
      </c>
      <c r="W64">
        <f>Age!W64/Age!$F64</f>
        <v>1.7570173559031496E-2</v>
      </c>
      <c r="X64">
        <f>Age!X64/Age!$F64</f>
        <v>6.5673880437111636E-3</v>
      </c>
      <c r="Y64">
        <f>Age!Y64/Age!$F64</f>
        <v>6.2031283479751448E-3</v>
      </c>
      <c r="Z64">
        <f>Age!Z64/Age!$F64</f>
        <v>4.8328690807799446E-2</v>
      </c>
      <c r="AA64">
        <f>Age!AA64/Age!$F64</f>
        <v>6.9637883008356546E-4</v>
      </c>
      <c r="AB64">
        <f>Age!AB64/Age!$F64</f>
        <v>4.318620098564388E-2</v>
      </c>
      <c r="AC64">
        <f>Age!AC64/Age!$F64</f>
        <v>1.7988000857081635E-2</v>
      </c>
      <c r="AD64">
        <f>Age!AD64/Age!$F64</f>
        <v>6.3424041139918579E-3</v>
      </c>
      <c r="AE64">
        <f>Age!AE64/Age!$F64</f>
        <v>0.10781015641739876</v>
      </c>
      <c r="AF64">
        <f>Age!AF64/Age!$F64</f>
        <v>3.4283265481037069E-4</v>
      </c>
      <c r="AG64">
        <f>Age!AG64/Age!$F64</f>
        <v>0.17428755088922221</v>
      </c>
      <c r="AH64">
        <f>Age!AH64/Age!$F64</f>
        <v>9.7525176773087641E-2</v>
      </c>
      <c r="AI64">
        <f>Age!AI64/Age!$F64</f>
        <v>4.2854081851296337E-5</v>
      </c>
      <c r="AJ64">
        <f>Age!AJ64/Age!$F64</f>
        <v>1.1784872509106492E-4</v>
      </c>
      <c r="AK64">
        <f>Age!AK64/Age!$F64</f>
        <v>9.7053781872723371E-2</v>
      </c>
      <c r="AL64">
        <f>Age!AL64/Age!$F64</f>
        <v>5.6470966359545745E-2</v>
      </c>
      <c r="AM64">
        <f>Age!AM64/Age!$F64</f>
        <v>6.4281122776944498E-5</v>
      </c>
      <c r="AN64">
        <f>Age!AN64/Age!$F64</f>
        <v>1.6745232483394042E-2</v>
      </c>
      <c r="AO64">
        <f>Age!AO64/Age!$F64</f>
        <v>2.5712449110777804E-3</v>
      </c>
      <c r="AP64">
        <f>Age!AP64/Age!$F64</f>
        <v>1.3166916648810799E-2</v>
      </c>
      <c r="AQ64">
        <f>Age!AQ64/Age!$F64</f>
        <v>3.5268909363616888E-2</v>
      </c>
      <c r="AR64">
        <f>Age!AR64/Age!$F64</f>
        <v>3.5129633597600171E-2</v>
      </c>
      <c r="AS64">
        <f>Age!AS64/Age!$F64</f>
        <v>6.5352474823226917E-4</v>
      </c>
      <c r="AT64">
        <f>Age!AT64/Age!$F64</f>
        <v>5.3567602314120418E-5</v>
      </c>
      <c r="AU64">
        <f>Age!AU64/Age!$F64</f>
        <v>2.977287336618813E-2</v>
      </c>
      <c r="AV64">
        <f>Age!AV64/Age!$F64</f>
        <v>6.7495178915791731E-4</v>
      </c>
      <c r="AW64">
        <f>Age!AW64/Age!$F64</f>
        <v>2.1427040925648168E-5</v>
      </c>
      <c r="AX64">
        <f>Age!AX64/Age!$F64</f>
        <v>5.4103278337261623E-3</v>
      </c>
      <c r="AY64">
        <f>Age!AY64/Age!$F64</f>
        <v>3.1176344546818085E-3</v>
      </c>
      <c r="AZ64">
        <f>Age!AZ64/Age!$F64</f>
        <v>1.8105849582172701E-3</v>
      </c>
      <c r="BA64">
        <f>Age!BA64/Age!$F64</f>
        <v>2.2251982001285621E-2</v>
      </c>
      <c r="BB64">
        <f>Age!BB64/Age!$F64</f>
        <v>2.1352046282408398E-2</v>
      </c>
      <c r="BC64">
        <f>Age!BC64/Age!$F64</f>
        <v>9.6421684165416761E-5</v>
      </c>
      <c r="BF64" t="str">
        <f t="shared" si="0"/>
        <v>over 60</v>
      </c>
    </row>
    <row r="65" spans="1:58">
      <c r="A65" s="1">
        <v>1145</v>
      </c>
      <c r="B65" s="1">
        <v>73</v>
      </c>
      <c r="C65" t="s">
        <v>203</v>
      </c>
      <c r="D65">
        <v>90582</v>
      </c>
      <c r="E65">
        <v>82483</v>
      </c>
      <c r="F65">
        <v>79796</v>
      </c>
      <c r="G65">
        <f>Age!G65/Age!$F65</f>
        <v>0.52393603689407986</v>
      </c>
      <c r="H65">
        <f>Age!H65/Age!$F65</f>
        <v>4.5115043360569448E-3</v>
      </c>
      <c r="I65">
        <f>Age!I65/Age!$F65</f>
        <v>4.4613765101007572E-3</v>
      </c>
      <c r="J65">
        <f>Age!J65/Age!$F65</f>
        <v>4.0979497719183921E-3</v>
      </c>
      <c r="K65">
        <f>Age!K65/Age!$F65</f>
        <v>4.0728858589402974E-3</v>
      </c>
      <c r="L65">
        <f>Age!L65/Age!$F65</f>
        <v>4.0603539024512509E-3</v>
      </c>
      <c r="M65">
        <f>Age!M65/Age!$F65</f>
        <v>1.3158554313499424E-3</v>
      </c>
      <c r="N65">
        <f>Age!N65/Age!$F65</f>
        <v>2.1053686901599078E-3</v>
      </c>
      <c r="O65">
        <f>Age!O65/Age!$F65</f>
        <v>8.7723695423329491E-5</v>
      </c>
      <c r="P65">
        <f>Age!P65/Age!$F65</f>
        <v>6.2659782445235351E-5</v>
      </c>
      <c r="Q65">
        <f>Age!Q65/Age!$F65</f>
        <v>0.26795829364880447</v>
      </c>
      <c r="R65">
        <f>Age!R65/Age!$F65</f>
        <v>8.2084315003258315E-3</v>
      </c>
      <c r="S65">
        <f>Age!S65/Age!$F65</f>
        <v>0.25417314151085268</v>
      </c>
      <c r="T65">
        <f>Age!T65/Age!$F65</f>
        <v>1.5577221915885509E-2</v>
      </c>
      <c r="U65">
        <f>Age!U65/Age!$F65</f>
        <v>2.3184119504737078E-2</v>
      </c>
      <c r="V65">
        <f>Age!V65/Age!$F65</f>
        <v>2.7983858840042106E-2</v>
      </c>
      <c r="W65">
        <f>Age!W65/Age!$F65</f>
        <v>0.11029374906010327</v>
      </c>
      <c r="X65">
        <f>Age!X65/Age!$F65</f>
        <v>2.5314552107875081E-2</v>
      </c>
      <c r="Y65">
        <f>Age!Y65/Age!$F65</f>
        <v>2.4625294500977491E-2</v>
      </c>
      <c r="Z65">
        <f>Age!Z65/Age!$F65</f>
        <v>4.1982054238307684E-2</v>
      </c>
      <c r="AA65">
        <f>Age!AA65/Age!$F65</f>
        <v>4.6117599879693218E-3</v>
      </c>
      <c r="AB65">
        <f>Age!AB65/Age!$F65</f>
        <v>2.6830918843049778E-2</v>
      </c>
      <c r="AC65">
        <f>Age!AC65/Age!$F65</f>
        <v>2.3058799939846609E-3</v>
      </c>
      <c r="AD65">
        <f>Age!AD65/Age!$F65</f>
        <v>2.2507393854328539E-2</v>
      </c>
      <c r="AE65">
        <f>Age!AE65/Age!$F65</f>
        <v>8.4365131084264869E-2</v>
      </c>
      <c r="AF65">
        <f>Age!AF65/Age!$F65</f>
        <v>3.1329891222617675E-4</v>
      </c>
      <c r="AG65">
        <f>Age!AG65/Age!$F65</f>
        <v>0.24499974936087021</v>
      </c>
      <c r="AH65">
        <f>Age!AH65/Age!$F65</f>
        <v>0.23514963156047922</v>
      </c>
      <c r="AI65">
        <f>Age!AI65/Age!$F65</f>
        <v>2.7181813624743093E-2</v>
      </c>
      <c r="AJ65">
        <f>Age!AJ65/Age!$F65</f>
        <v>1.3822748007418919E-2</v>
      </c>
      <c r="AK65">
        <f>Age!AK65/Age!$F65</f>
        <v>0.17136197303122963</v>
      </c>
      <c r="AL65">
        <f>Age!AL65/Age!$F65</f>
        <v>9.8024963657326186E-2</v>
      </c>
      <c r="AM65">
        <f>Age!AM65/Age!$F65</f>
        <v>5.012782595618828E-4</v>
      </c>
      <c r="AN65">
        <f>Age!AN65/Age!$F65</f>
        <v>1.36848964860394E-2</v>
      </c>
      <c r="AO65">
        <f>Age!AO65/Age!$F65</f>
        <v>3.5340117299112739E-3</v>
      </c>
      <c r="AP65">
        <f>Age!AP65/Age!$F65</f>
        <v>9.173392149982456E-3</v>
      </c>
      <c r="AQ65">
        <f>Age!AQ65/Age!$F65</f>
        <v>8.1069226527645491E-2</v>
      </c>
      <c r="AR65">
        <f>Age!AR65/Age!$F65</f>
        <v>7.8487643490901801E-2</v>
      </c>
      <c r="AS65">
        <f>Age!AS65/Age!$F65</f>
        <v>1.3308937791367988E-2</v>
      </c>
      <c r="AT65">
        <f>Age!AT65/Age!$F65</f>
        <v>1.1153441275251893E-3</v>
      </c>
      <c r="AU65">
        <f>Age!AU65/Age!$F65</f>
        <v>6.1080755927615422E-2</v>
      </c>
      <c r="AV65">
        <f>Age!AV65/Age!$F65</f>
        <v>1.1604591708857586E-2</v>
      </c>
      <c r="AW65">
        <f>Age!AW65/Age!$F65</f>
        <v>7.3938543285377708E-4</v>
      </c>
      <c r="AX65">
        <f>Age!AX65/Age!$F65</f>
        <v>2.3810717329189432E-3</v>
      </c>
      <c r="AY65">
        <f>Age!AY65/Age!$F65</f>
        <v>1.4035791267732719E-3</v>
      </c>
      <c r="AZ65">
        <f>Age!AZ65/Age!$F65</f>
        <v>8.5217304125520077E-4</v>
      </c>
      <c r="BA65">
        <f>Age!BA65/Age!$F65</f>
        <v>5.7684595719083666E-2</v>
      </c>
      <c r="BB65">
        <f>Age!BB65/Age!$F65</f>
        <v>4.120507293598677E-2</v>
      </c>
      <c r="BC65">
        <f>Age!BC65/Age!$F65</f>
        <v>4.3861847711664745E-4</v>
      </c>
      <c r="BF65" t="str">
        <f t="shared" si="0"/>
        <v>over 60</v>
      </c>
    </row>
    <row r="66" spans="1:58">
      <c r="A66" s="1">
        <v>1204</v>
      </c>
      <c r="B66" s="1">
        <v>74</v>
      </c>
      <c r="C66" t="s">
        <v>225</v>
      </c>
      <c r="D66">
        <v>129019</v>
      </c>
      <c r="E66">
        <v>125046</v>
      </c>
      <c r="F66">
        <v>121389</v>
      </c>
      <c r="G66">
        <f>Age!G66/Age!$F66</f>
        <v>0.70553345031263126</v>
      </c>
      <c r="H66">
        <f>Age!H66/Age!$F66</f>
        <v>7.8260797930619738E-4</v>
      </c>
      <c r="I66">
        <f>Age!I66/Age!$F66</f>
        <v>7.7437000057665854E-4</v>
      </c>
      <c r="J66">
        <f>Age!J66/Age!$F66</f>
        <v>7.3318010692896389E-4</v>
      </c>
      <c r="K66">
        <f>Age!K66/Age!$F66</f>
        <v>7.3318010692896389E-4</v>
      </c>
      <c r="L66">
        <f>Age!L66/Age!$F66</f>
        <v>7.3318010692896389E-4</v>
      </c>
      <c r="M66">
        <f>Age!M66/Age!$F66</f>
        <v>1.1533170221354489E-4</v>
      </c>
      <c r="N66">
        <f>Age!N66/Age!$F66</f>
        <v>5.6018255360864655E-4</v>
      </c>
      <c r="O66">
        <f>Age!O66/Age!$F66</f>
        <v>0</v>
      </c>
      <c r="P66">
        <f>Age!P66/Age!$F66</f>
        <v>8.2379787295389196E-6</v>
      </c>
      <c r="Q66">
        <f>Age!Q66/Age!$F66</f>
        <v>0.18906984982164776</v>
      </c>
      <c r="R66">
        <f>Age!R66/Age!$F66</f>
        <v>3.6873192793416207E-2</v>
      </c>
      <c r="S66">
        <f>Age!S66/Age!$F66</f>
        <v>0.1488602756427683</v>
      </c>
      <c r="T66">
        <f>Age!T66/Age!$F66</f>
        <v>1.907915873761214E-2</v>
      </c>
      <c r="U66">
        <f>Age!U66/Age!$F66</f>
        <v>4.132993928609676E-2</v>
      </c>
      <c r="V66">
        <f>Age!V66/Age!$F66</f>
        <v>4.4048472266844607E-2</v>
      </c>
      <c r="W66">
        <f>Age!W66/Age!$F66</f>
        <v>1.8609593950028421E-2</v>
      </c>
      <c r="X66">
        <f>Age!X66/Age!$F66</f>
        <v>9.2512501132722084E-3</v>
      </c>
      <c r="Y66">
        <f>Age!Y66/Age!$F66</f>
        <v>8.0814571336776803E-3</v>
      </c>
      <c r="Z66">
        <f>Age!Z66/Age!$F66</f>
        <v>1.5083739053785763E-2</v>
      </c>
      <c r="AA66">
        <f>Age!AA66/Age!$F66</f>
        <v>5.2805443656344479E-3</v>
      </c>
      <c r="AB66">
        <f>Age!AB66/Age!$F66</f>
        <v>8.5180700063432445E-3</v>
      </c>
      <c r="AC66">
        <f>Age!AC66/Age!$F66</f>
        <v>4.1107513860399215E-3</v>
      </c>
      <c r="AD66">
        <f>Age!AD66/Age!$F66</f>
        <v>3.3775712791109572E-3</v>
      </c>
      <c r="AE66">
        <f>Age!AE66/Age!$F66</f>
        <v>0.10839532412327312</v>
      </c>
      <c r="AF66">
        <f>Age!AF66/Age!$F66</f>
        <v>9.8855744754467053E-4</v>
      </c>
      <c r="AG66">
        <f>Age!AG66/Age!$F66</f>
        <v>0.5109029648485448</v>
      </c>
      <c r="AH66">
        <f>Age!AH66/Age!$F66</f>
        <v>0.48510985344635837</v>
      </c>
      <c r="AI66">
        <f>Age!AI66/Age!$F66</f>
        <v>9.8608605392580869E-3</v>
      </c>
      <c r="AJ66">
        <f>Age!AJ66/Age!$F66</f>
        <v>9.3006779856494408E-3</v>
      </c>
      <c r="AK66">
        <f>Age!AK66/Age!$F66</f>
        <v>0.43167008542783941</v>
      </c>
      <c r="AL66">
        <f>Age!AL66/Age!$F66</f>
        <v>0.28847753915099389</v>
      </c>
      <c r="AM66">
        <f>Age!AM66/Age!$F66</f>
        <v>1.7876413843099458E-3</v>
      </c>
      <c r="AN66">
        <f>Age!AN66/Age!$F66</f>
        <v>0.12092528977090181</v>
      </c>
      <c r="AO66">
        <f>Age!AO66/Age!$F66</f>
        <v>4.1379367158473998E-2</v>
      </c>
      <c r="AP66">
        <f>Age!AP66/Age!$F66</f>
        <v>6.7172478560660359E-2</v>
      </c>
      <c r="AQ66">
        <f>Age!AQ66/Age!$F66</f>
        <v>0.15068910692072593</v>
      </c>
      <c r="AR66">
        <f>Age!AR66/Age!$F66</f>
        <v>0.14927217457924524</v>
      </c>
      <c r="AS66">
        <f>Age!AS66/Age!$F66</f>
        <v>1.959815139757309E-2</v>
      </c>
      <c r="AT66">
        <f>Age!AT66/Age!$F66</f>
        <v>1.1228365008361548E-2</v>
      </c>
      <c r="AU66">
        <f>Age!AU66/Age!$F66</f>
        <v>0.13637973786751684</v>
      </c>
      <c r="AV66">
        <f>Age!AV66/Age!$F66</f>
        <v>1.6698382884775393E-2</v>
      </c>
      <c r="AW66">
        <f>Age!AW66/Age!$F66</f>
        <v>5.7995370255953995E-3</v>
      </c>
      <c r="AX66">
        <f>Age!AX66/Age!$F66</f>
        <v>4.1642982477819245E-2</v>
      </c>
      <c r="AY66">
        <f>Age!AY66/Age!$F66</f>
        <v>5.980772557645256E-3</v>
      </c>
      <c r="AZ66">
        <f>Age!AZ66/Age!$F66</f>
        <v>3.2465874173112884E-2</v>
      </c>
      <c r="BA66">
        <f>Age!BA66/Age!$F66</f>
        <v>9.0354150705582878E-2</v>
      </c>
      <c r="BB66">
        <f>Age!BB66/Age!$F66</f>
        <v>5.8588504724480801E-2</v>
      </c>
      <c r="BC66">
        <f>Age!BC66/Age!$F66</f>
        <v>2.6361531934524543E-4</v>
      </c>
      <c r="BF66" t="str">
        <f t="shared" si="0"/>
        <v>over 60</v>
      </c>
    </row>
    <row r="67" spans="1:58">
      <c r="A67" s="1">
        <v>1014</v>
      </c>
      <c r="B67" s="1">
        <v>75</v>
      </c>
      <c r="C67" t="s">
        <v>172</v>
      </c>
      <c r="D67">
        <v>112228</v>
      </c>
      <c r="E67">
        <v>110574</v>
      </c>
      <c r="F67">
        <v>108857</v>
      </c>
      <c r="G67">
        <f>Age!G67/Age!$F67</f>
        <v>0.45737986532790725</v>
      </c>
      <c r="H67">
        <f>Age!H67/Age!$F67</f>
        <v>8.9567046675914277E-3</v>
      </c>
      <c r="I67">
        <f>Age!I67/Age!$F67</f>
        <v>8.5984364808877698E-3</v>
      </c>
      <c r="J67">
        <f>Age!J67/Age!$F67</f>
        <v>8.3963364781318613E-3</v>
      </c>
      <c r="K67">
        <f>Age!K67/Age!$F67</f>
        <v>8.3412182955620671E-3</v>
      </c>
      <c r="L67">
        <f>Age!L67/Age!$F67</f>
        <v>8.3320319318004356E-3</v>
      </c>
      <c r="M67">
        <f>Age!M67/Age!$F67</f>
        <v>6.8805864574625428E-3</v>
      </c>
      <c r="N67">
        <f>Age!N67/Age!$F67</f>
        <v>2.3884545780243806E-4</v>
      </c>
      <c r="O67">
        <f>Age!O67/Age!$F67</f>
        <v>0</v>
      </c>
      <c r="P67">
        <f>Age!P67/Age!$F67</f>
        <v>0</v>
      </c>
      <c r="Q67">
        <f>Age!Q67/Age!$F67</f>
        <v>0.19148975261122389</v>
      </c>
      <c r="R67">
        <f>Age!R67/Age!$F67</f>
        <v>3.4742827746493107E-2</v>
      </c>
      <c r="S67">
        <f>Age!S67/Age!$F67</f>
        <v>0.15170361115959469</v>
      </c>
      <c r="T67">
        <f>Age!T67/Age!$F67</f>
        <v>2.2479032124714075E-2</v>
      </c>
      <c r="U67">
        <f>Age!U67/Age!$F67</f>
        <v>1.032547286807463E-2</v>
      </c>
      <c r="V67">
        <f>Age!V67/Age!$F67</f>
        <v>1.1198177425429692E-2</v>
      </c>
      <c r="W67">
        <f>Age!W67/Age!$F67</f>
        <v>5.9959396272173587E-2</v>
      </c>
      <c r="X67">
        <f>Age!X67/Age!$F67</f>
        <v>4.2339950577362964E-2</v>
      </c>
      <c r="Y67">
        <f>Age!Y67/Age!$F67</f>
        <v>4.0640473281460997E-2</v>
      </c>
      <c r="Z67">
        <f>Age!Z67/Age!$F67</f>
        <v>2.0053832091643166E-2</v>
      </c>
      <c r="AA67">
        <f>Age!AA67/Age!$F67</f>
        <v>3.3897682280422939E-3</v>
      </c>
      <c r="AB67">
        <f>Age!AB67/Age!$F67</f>
        <v>8.7729773923587821E-3</v>
      </c>
      <c r="AC67">
        <f>Age!AC67/Age!$F67</f>
        <v>1.5341227481925829E-3</v>
      </c>
      <c r="AD67">
        <f>Age!AD67/Age!$F67</f>
        <v>5.9343909900144223E-3</v>
      </c>
      <c r="AE67">
        <f>Age!AE67/Age!$F67</f>
        <v>5.6771728046887203E-2</v>
      </c>
      <c r="AF67">
        <f>Age!AF67/Age!$F67</f>
        <v>8.6351819359342988E-4</v>
      </c>
      <c r="AG67">
        <f>Age!AG67/Age!$F67</f>
        <v>0.24918930339803597</v>
      </c>
      <c r="AH67">
        <f>Age!AH67/Age!$F67</f>
        <v>0.23561185775834351</v>
      </c>
      <c r="AI67">
        <f>Age!AI67/Age!$F67</f>
        <v>1.7913409335182854E-3</v>
      </c>
      <c r="AJ67">
        <f>Age!AJ67/Age!$F67</f>
        <v>9.3609046731032448E-3</v>
      </c>
      <c r="AK67">
        <f>Age!AK67/Age!$F67</f>
        <v>0.21697272568599171</v>
      </c>
      <c r="AL67">
        <f>Age!AL67/Age!$F67</f>
        <v>0.16518919316167083</v>
      </c>
      <c r="AM67">
        <f>Age!AM67/Age!$F67</f>
        <v>5.1443637065140503E-4</v>
      </c>
      <c r="AN67">
        <f>Age!AN67/Age!$F67</f>
        <v>0.12264714258155195</v>
      </c>
      <c r="AO67">
        <f>Age!AO67/Age!$F67</f>
        <v>5.5595873485398274E-2</v>
      </c>
      <c r="AP67">
        <f>Age!AP67/Age!$F67</f>
        <v>5.3951514372066106E-2</v>
      </c>
      <c r="AQ67">
        <f>Age!AQ67/Age!$F67</f>
        <v>3.5156214115766554E-2</v>
      </c>
      <c r="AR67">
        <f>Age!AR67/Age!$F67</f>
        <v>3.4614218653830256E-2</v>
      </c>
      <c r="AS67">
        <f>Age!AS67/Age!$F67</f>
        <v>1.5258550208071139E-2</v>
      </c>
      <c r="AT67">
        <f>Age!AT67/Age!$F67</f>
        <v>4.0236273275949183E-3</v>
      </c>
      <c r="AU67">
        <f>Age!AU67/Age!$F67</f>
        <v>4.6694287000376644E-2</v>
      </c>
      <c r="AV67">
        <f>Age!AV67/Age!$F67</f>
        <v>1.0481641052022378E-2</v>
      </c>
      <c r="AW67">
        <f>Age!AW67/Age!$F67</f>
        <v>2.1220500289370458E-3</v>
      </c>
      <c r="AX67">
        <f>Age!AX67/Age!$F67</f>
        <v>3.7572227785075832E-3</v>
      </c>
      <c r="AY67">
        <f>Age!AY67/Age!$F67</f>
        <v>1.1666681977272936E-3</v>
      </c>
      <c r="AZ67">
        <f>Age!AZ67/Age!$F67</f>
        <v>2.3608954867394838E-3</v>
      </c>
      <c r="BA67">
        <f>Age!BA67/Age!$F67</f>
        <v>4.2064359664513995E-2</v>
      </c>
      <c r="BB67">
        <f>Age!BB67/Age!$F67</f>
        <v>3.0480354961095749E-2</v>
      </c>
      <c r="BC67">
        <f>Age!BC67/Age!$F67</f>
        <v>6.4304546331425628E-5</v>
      </c>
      <c r="BF67" t="str">
        <f t="shared" si="0"/>
        <v>over 60</v>
      </c>
    </row>
    <row r="68" spans="1:58">
      <c r="A68" s="1">
        <v>1172</v>
      </c>
      <c r="B68" s="1">
        <v>75</v>
      </c>
      <c r="C68" t="s">
        <v>221</v>
      </c>
      <c r="D68">
        <v>166329</v>
      </c>
      <c r="E68">
        <v>161188</v>
      </c>
      <c r="F68">
        <v>150664</v>
      </c>
      <c r="G68">
        <f>Age!G68/Age!$F68</f>
        <v>0.40688552009770085</v>
      </c>
      <c r="H68">
        <f>Age!H68/Age!$F68</f>
        <v>1.9248128285456379E-4</v>
      </c>
      <c r="I68">
        <f>Age!I68/Age!$F68</f>
        <v>1.8584399723888919E-4</v>
      </c>
      <c r="J68">
        <f>Age!J68/Age!$F68</f>
        <v>1.7256942600753995E-4</v>
      </c>
      <c r="K68">
        <f>Age!K68/Age!$F68</f>
        <v>1.5929485477619073E-4</v>
      </c>
      <c r="L68">
        <f>Age!L68/Age!$F68</f>
        <v>1.5929485477619073E-4</v>
      </c>
      <c r="M68">
        <f>Age!M68/Age!$F68</f>
        <v>5.3098284925396908E-5</v>
      </c>
      <c r="N68">
        <f>Age!N68/Age!$F68</f>
        <v>8.6284713003769974E-5</v>
      </c>
      <c r="O68">
        <f>Age!O68/Age!$F68</f>
        <v>0</v>
      </c>
      <c r="P68">
        <f>Age!P68/Age!$F68</f>
        <v>0</v>
      </c>
      <c r="Q68">
        <f>Age!Q68/Age!$F68</f>
        <v>0.19493707853236342</v>
      </c>
      <c r="R68">
        <f>Age!R68/Age!$F68</f>
        <v>2.6987203313332979E-2</v>
      </c>
      <c r="S68">
        <f>Age!S68/Age!$F68</f>
        <v>0.16377502256677109</v>
      </c>
      <c r="T68">
        <f>Age!T68/Age!$F68</f>
        <v>8.7612170126904892E-3</v>
      </c>
      <c r="U68">
        <f>Age!U68/Age!$F68</f>
        <v>1.0082036850209738E-2</v>
      </c>
      <c r="V68">
        <f>Age!V68/Age!$F68</f>
        <v>1.707773588913078E-2</v>
      </c>
      <c r="W68">
        <f>Age!W68/Age!$F68</f>
        <v>8.4147507035522748E-2</v>
      </c>
      <c r="X68">
        <f>Age!X68/Age!$F68</f>
        <v>5.7133754579727074E-2</v>
      </c>
      <c r="Y68">
        <f>Age!Y68/Age!$F68</f>
        <v>5.3191206924016354E-2</v>
      </c>
      <c r="Z68">
        <f>Age!Z68/Age!$F68</f>
        <v>9.3054744331758088E-3</v>
      </c>
      <c r="AA68">
        <f>Age!AA68/Age!$F68</f>
        <v>1.3540062655976212E-3</v>
      </c>
      <c r="AB68">
        <f>Age!AB68/Age!$F68</f>
        <v>6.8430414697605267E-3</v>
      </c>
      <c r="AC68">
        <f>Age!AC68/Age!$F68</f>
        <v>1.8584399723888919E-4</v>
      </c>
      <c r="AD68">
        <f>Age!AD68/Age!$F68</f>
        <v>6.3518823342006052E-3</v>
      </c>
      <c r="AE68">
        <f>Age!AE68/Age!$F68</f>
        <v>6.1912600223012794E-2</v>
      </c>
      <c r="AF68">
        <f>Age!AF68/Age!$F68</f>
        <v>5.2434556363829452E-4</v>
      </c>
      <c r="AG68">
        <f>Age!AG68/Age!$F68</f>
        <v>0.20960547974300431</v>
      </c>
      <c r="AH68">
        <f>Age!AH68/Age!$F68</f>
        <v>0.19420697711463919</v>
      </c>
      <c r="AI68">
        <f>Age!AI68/Age!$F68</f>
        <v>3.1792598099081399E-3</v>
      </c>
      <c r="AJ68">
        <f>Age!AJ68/Age!$F68</f>
        <v>2.1372059682472255E-3</v>
      </c>
      <c r="AK68">
        <f>Age!AK68/Age!$F68</f>
        <v>0.17704959379812032</v>
      </c>
      <c r="AL68">
        <f>Age!AL68/Age!$F68</f>
        <v>7.3468114479902299E-2</v>
      </c>
      <c r="AM68">
        <f>Age!AM68/Age!$F68</f>
        <v>5.1770827802261987E-4</v>
      </c>
      <c r="AN68">
        <f>Age!AN68/Age!$F68</f>
        <v>3.7049328306695696E-2</v>
      </c>
      <c r="AO68">
        <f>Age!AO68/Age!$F68</f>
        <v>2.8075718154303617E-3</v>
      </c>
      <c r="AP68">
        <f>Age!AP68/Age!$F68</f>
        <v>3.2575797801731005E-2</v>
      </c>
      <c r="AQ68">
        <f>Age!AQ68/Age!$F68</f>
        <v>2.9874422556151435E-2</v>
      </c>
      <c r="AR68">
        <f>Age!AR68/Age!$F68</f>
        <v>2.96222057027558E-2</v>
      </c>
      <c r="AS68">
        <f>Age!AS68/Age!$F68</f>
        <v>8.6682950140710459E-3</v>
      </c>
      <c r="AT68">
        <f>Age!AT68/Age!$F68</f>
        <v>4.2677746508787764E-3</v>
      </c>
      <c r="AU68">
        <f>Age!AU68/Age!$F68</f>
        <v>9.2264907343492811E-2</v>
      </c>
      <c r="AV68">
        <f>Age!AV68/Age!$F68</f>
        <v>2.6675250889396273E-2</v>
      </c>
      <c r="AW68">
        <f>Age!AW68/Age!$F68</f>
        <v>4.7456592152073486E-3</v>
      </c>
      <c r="AX68">
        <f>Age!AX68/Age!$F68</f>
        <v>1.4469282642170659E-2</v>
      </c>
      <c r="AY68">
        <f>Age!AY68/Age!$F68</f>
        <v>1.1190463548027399E-2</v>
      </c>
      <c r="AZ68">
        <f>Age!AZ68/Age!$F68</f>
        <v>2.4425211065682577E-3</v>
      </c>
      <c r="BA68">
        <f>Age!BA68/Age!$F68</f>
        <v>7.3687144905219562E-2</v>
      </c>
      <c r="BB68">
        <f>Age!BB68/Age!$F68</f>
        <v>6.3259969202994745E-2</v>
      </c>
      <c r="BC68">
        <f>Age!BC68/Age!$F68</f>
        <v>1.8584399723888919E-4</v>
      </c>
      <c r="BF68" t="str">
        <f t="shared" ref="BF68:BF77" si="1">IF(B68&lt;60, "under 60", "over 60")</f>
        <v>over 60</v>
      </c>
    </row>
    <row r="69" spans="1:58">
      <c r="A69" s="1">
        <v>1168</v>
      </c>
      <c r="B69" s="1">
        <v>76</v>
      </c>
      <c r="C69" t="s">
        <v>219</v>
      </c>
      <c r="D69">
        <v>85258</v>
      </c>
      <c r="E69">
        <v>80830</v>
      </c>
      <c r="F69">
        <v>71821</v>
      </c>
      <c r="G69">
        <f>Age!G69/Age!$F69</f>
        <v>0.27177287979838766</v>
      </c>
      <c r="H69">
        <f>Age!H69/Age!$F69</f>
        <v>4.3859038442795283E-3</v>
      </c>
      <c r="I69">
        <f>Age!I69/Age!$F69</f>
        <v>4.3162863229417583E-3</v>
      </c>
      <c r="J69">
        <f>Age!J69/Age!$F69</f>
        <v>3.9542752119853522E-3</v>
      </c>
      <c r="K69">
        <f>Age!K69/Age!$F69</f>
        <v>3.9403517077177984E-3</v>
      </c>
      <c r="L69">
        <f>Age!L69/Age!$F69</f>
        <v>3.9403517077177984E-3</v>
      </c>
      <c r="M69">
        <f>Age!M69/Age!$F69</f>
        <v>7.3794572618036502E-4</v>
      </c>
      <c r="N69">
        <f>Age!N69/Age!$F69</f>
        <v>2.5062307681597306E-3</v>
      </c>
      <c r="O69">
        <f>Age!O69/Age!$F69</f>
        <v>1.3923504267554058E-5</v>
      </c>
      <c r="P69">
        <f>Age!P69/Age!$F69</f>
        <v>5.5694017070216232E-5</v>
      </c>
      <c r="Q69">
        <f>Age!Q69/Age!$F69</f>
        <v>0.16780607343256151</v>
      </c>
      <c r="R69">
        <f>Age!R69/Age!$F69</f>
        <v>5.2909316216705419E-3</v>
      </c>
      <c r="S69">
        <f>Age!S69/Age!$F69</f>
        <v>0.15641664694170229</v>
      </c>
      <c r="T69">
        <f>Age!T69/Age!$F69</f>
        <v>4.274515810139096E-3</v>
      </c>
      <c r="U69">
        <f>Age!U69/Age!$F69</f>
        <v>7.2541457233956646E-3</v>
      </c>
      <c r="V69">
        <f>Age!V69/Age!$F69</f>
        <v>1.2545077345066206E-2</v>
      </c>
      <c r="W69">
        <f>Age!W69/Age!$F69</f>
        <v>4.7312067501148691E-2</v>
      </c>
      <c r="X69">
        <f>Age!X69/Age!$F69</f>
        <v>2.1595355118976343E-2</v>
      </c>
      <c r="Y69">
        <f>Age!Y69/Age!$F69</f>
        <v>2.0244775205023602E-2</v>
      </c>
      <c r="Z69">
        <f>Age!Z69/Age!$F69</f>
        <v>3.4042967934169673E-2</v>
      </c>
      <c r="AA69">
        <f>Age!AA69/Age!$F69</f>
        <v>2.923935896186352E-3</v>
      </c>
      <c r="AB69">
        <f>Age!AB69/Age!$F69</f>
        <v>2.0133387170883168E-2</v>
      </c>
      <c r="AC69">
        <f>Age!AC69/Age!$F69</f>
        <v>9.0502777739101374E-4</v>
      </c>
      <c r="AD69">
        <f>Age!AD69/Age!$F69</f>
        <v>1.6819593155205301E-2</v>
      </c>
      <c r="AE69">
        <f>Age!AE69/Age!$F69</f>
        <v>5.680789741162056E-2</v>
      </c>
      <c r="AF69">
        <f>Age!AF69/Age!$F69</f>
        <v>7.2402222191281099E-4</v>
      </c>
      <c r="AG69">
        <f>Age!AG69/Age!$F69</f>
        <v>9.1616658080505703E-2</v>
      </c>
      <c r="AH69">
        <f>Age!AH69/Age!$F69</f>
        <v>8.2134751674301384E-2</v>
      </c>
      <c r="AI69">
        <f>Age!AI69/Age!$F69</f>
        <v>7.1009871764525696E-4</v>
      </c>
      <c r="AJ69">
        <f>Age!AJ69/Age!$F69</f>
        <v>1.3227329054176355E-3</v>
      </c>
      <c r="AK69">
        <f>Age!AK69/Age!$F69</f>
        <v>7.7734924325754309E-2</v>
      </c>
      <c r="AL69">
        <f>Age!AL69/Age!$F69</f>
        <v>1.7404380334442571E-2</v>
      </c>
      <c r="AM69">
        <f>Age!AM69/Age!$F69</f>
        <v>3.3416410242129738E-4</v>
      </c>
      <c r="AN69">
        <f>Age!AN69/Age!$F69</f>
        <v>4.9428440149816904E-3</v>
      </c>
      <c r="AO69">
        <f>Age!AO69/Age!$F69</f>
        <v>1.1138803414043246E-4</v>
      </c>
      <c r="AP69">
        <f>Age!AP69/Age!$F69</f>
        <v>4.7339914509683797E-3</v>
      </c>
      <c r="AQ69">
        <f>Age!AQ69/Age!$F69</f>
        <v>1.1138803414043247E-2</v>
      </c>
      <c r="AR69">
        <f>Age!AR69/Age!$F69</f>
        <v>1.1138803414043247E-2</v>
      </c>
      <c r="AS69">
        <f>Age!AS69/Age!$F69</f>
        <v>3.6618816223667173E-3</v>
      </c>
      <c r="AT69">
        <f>Age!AT69/Age!$F69</f>
        <v>4.4555213656172985E-4</v>
      </c>
      <c r="AU69">
        <f>Age!AU69/Age!$F69</f>
        <v>5.4496595703206585E-2</v>
      </c>
      <c r="AV69">
        <f>Age!AV69/Age!$F69</f>
        <v>1.5329778198577018E-2</v>
      </c>
      <c r="AW69">
        <f>Age!AW69/Age!$F69</f>
        <v>8.3541025605324347E-4</v>
      </c>
      <c r="AX69">
        <f>Age!AX69/Age!$F69</f>
        <v>3.3277175199454201E-3</v>
      </c>
      <c r="AY69">
        <f>Age!AY69/Age!$F69</f>
        <v>3.0910179473970009E-3</v>
      </c>
      <c r="AZ69">
        <f>Age!AZ69/Age!$F69</f>
        <v>1.8100555547820275E-4</v>
      </c>
      <c r="BA69">
        <f>Age!BA69/Age!$F69</f>
        <v>4.981829826930842E-2</v>
      </c>
      <c r="BB69">
        <f>Age!BB69/Age!$F69</f>
        <v>4.6448810236560341E-2</v>
      </c>
      <c r="BC69">
        <f>Age!BC69/Age!$F69</f>
        <v>4.7339914509683797E-4</v>
      </c>
      <c r="BF69" t="str">
        <f t="shared" si="1"/>
        <v>over 60</v>
      </c>
    </row>
    <row r="70" spans="1:58">
      <c r="A70" s="1">
        <v>1258</v>
      </c>
      <c r="B70" s="1">
        <v>76</v>
      </c>
      <c r="C70" t="s">
        <v>233</v>
      </c>
      <c r="D70">
        <v>284351</v>
      </c>
      <c r="E70">
        <v>257365</v>
      </c>
      <c r="F70">
        <v>244867</v>
      </c>
      <c r="G70">
        <f>Age!G70/Age!$F70</f>
        <v>0.51404640069915508</v>
      </c>
      <c r="H70">
        <f>Age!H70/Age!$F70</f>
        <v>2.6708376383914531E-3</v>
      </c>
      <c r="I70">
        <f>Age!I70/Age!$F70</f>
        <v>2.6585860895914923E-3</v>
      </c>
      <c r="J70">
        <f>Age!J70/Age!$F70</f>
        <v>2.4993159551920021E-3</v>
      </c>
      <c r="K70">
        <f>Age!K70/Age!$F70</f>
        <v>2.4829805567920544E-3</v>
      </c>
      <c r="L70">
        <f>Age!L70/Age!$F70</f>
        <v>2.4788967071920675E-3</v>
      </c>
      <c r="M70">
        <f>Age!M70/Age!$F70</f>
        <v>4.369719071986017E-4</v>
      </c>
      <c r="N70">
        <f>Age!N70/Age!$F70</f>
        <v>1.5396112991950732E-3</v>
      </c>
      <c r="O70">
        <f>Age!O70/Age!$F70</f>
        <v>3.6754646399882385E-5</v>
      </c>
      <c r="P70">
        <f>Age!P70/Age!$F70</f>
        <v>8.9844691199712499E-5</v>
      </c>
      <c r="Q70">
        <f>Age!Q70/Age!$F70</f>
        <v>0.32747981557335204</v>
      </c>
      <c r="R70">
        <f>Age!R70/Age!$F70</f>
        <v>9.0943246742108977E-2</v>
      </c>
      <c r="S70">
        <f>Age!S70/Age!$F70</f>
        <v>0.22648213111607526</v>
      </c>
      <c r="T70">
        <f>Age!T70/Age!$F70</f>
        <v>8.1799507487738243E-3</v>
      </c>
      <c r="U70">
        <f>Age!U70/Age!$F70</f>
        <v>2.2158967929529091E-2</v>
      </c>
      <c r="V70">
        <f>Age!V70/Age!$F70</f>
        <v>2.7704835686311345E-2</v>
      </c>
      <c r="W70">
        <f>Age!W70/Age!$F70</f>
        <v>9.4451273548497749E-2</v>
      </c>
      <c r="X70">
        <f>Age!X70/Age!$F70</f>
        <v>3.3107768707094053E-2</v>
      </c>
      <c r="Y70">
        <f>Age!Y70/Age!$F70</f>
        <v>3.2711635295895325E-2</v>
      </c>
      <c r="Z70">
        <f>Age!Z70/Age!$F70</f>
        <v>3.30301755646943E-2</v>
      </c>
      <c r="AA70">
        <f>Age!AA70/Age!$F70</f>
        <v>3.6101230463884476E-3</v>
      </c>
      <c r="AB70">
        <f>Age!AB70/Age!$F70</f>
        <v>2.5083004243119735E-2</v>
      </c>
      <c r="AC70">
        <f>Age!AC70/Age!$F70</f>
        <v>2.9077009151906954E-3</v>
      </c>
      <c r="AD70">
        <f>Age!AD70/Age!$F70</f>
        <v>2.1072663935932566E-2</v>
      </c>
      <c r="AE70">
        <f>Age!AE70/Age!$F70</f>
        <v>8.2612193558135635E-2</v>
      </c>
      <c r="AF70">
        <f>Age!AF70/Age!$F70</f>
        <v>5.5540354559822274E-4</v>
      </c>
      <c r="AG70">
        <f>Age!AG70/Age!$F70</f>
        <v>0.17920748814662654</v>
      </c>
      <c r="AH70">
        <f>Age!AH70/Age!$F70</f>
        <v>0.16894885795145936</v>
      </c>
      <c r="AI70">
        <f>Age!AI70/Age!$F70</f>
        <v>9.3111770879702039E-4</v>
      </c>
      <c r="AJ70">
        <f>Age!AJ70/Age!$F70</f>
        <v>6.2891283839798745E-4</v>
      </c>
      <c r="AK70">
        <f>Age!AK70/Age!$F70</f>
        <v>0.16408499307787494</v>
      </c>
      <c r="AL70">
        <f>Age!AL70/Age!$F70</f>
        <v>0.11912997668121879</v>
      </c>
      <c r="AM70">
        <f>Age!AM70/Age!$F70</f>
        <v>5.1864889919834027E-4</v>
      </c>
      <c r="AN70">
        <f>Age!AN70/Age!$F70</f>
        <v>2.9579322652705346E-2</v>
      </c>
      <c r="AO70">
        <f>Age!AO70/Age!$F70</f>
        <v>7.9553390207745423E-3</v>
      </c>
      <c r="AP70">
        <f>Age!AP70/Age!$F70</f>
        <v>1.911241612793884E-2</v>
      </c>
      <c r="AQ70">
        <f>Age!AQ70/Age!$F70</f>
        <v>7.8965315865347316E-2</v>
      </c>
      <c r="AR70">
        <f>Age!AR70/Age!$F70</f>
        <v>7.7817754127750979E-2</v>
      </c>
      <c r="AS70">
        <f>Age!AS70/Age!$F70</f>
        <v>9.0743138111709625E-3</v>
      </c>
      <c r="AT70">
        <f>Age!AT70/Age!$F70</f>
        <v>1.5396112991950732E-3</v>
      </c>
      <c r="AU70">
        <f>Age!AU70/Age!$F70</f>
        <v>3.8600546419076481E-2</v>
      </c>
      <c r="AV70">
        <f>Age!AV70/Age!$F70</f>
        <v>7.4856963167760455E-3</v>
      </c>
      <c r="AW70">
        <f>Age!AW70/Age!$F70</f>
        <v>3.1445641919899373E-4</v>
      </c>
      <c r="AX70">
        <f>Age!AX70/Age!$F70</f>
        <v>4.7903555807846708E-3</v>
      </c>
      <c r="AY70">
        <f>Age!AY70/Age!$F70</f>
        <v>1.3435865183957006E-3</v>
      </c>
      <c r="AZ70">
        <f>Age!AZ70/Age!$F70</f>
        <v>3.1690672895898588E-3</v>
      </c>
      <c r="BA70">
        <f>Age!BA70/Age!$F70</f>
        <v>3.2050051660697437E-2</v>
      </c>
      <c r="BB70">
        <f>Age!BB70/Age!$F70</f>
        <v>2.5225938979119279E-2</v>
      </c>
      <c r="BC70">
        <f>Age!BC70/Age!$F70</f>
        <v>6.5341593599790913E-5</v>
      </c>
      <c r="BF70" t="str">
        <f t="shared" si="1"/>
        <v>over 60</v>
      </c>
    </row>
    <row r="71" spans="1:58">
      <c r="A71" s="1">
        <v>1016</v>
      </c>
      <c r="B71" s="1">
        <v>78</v>
      </c>
      <c r="C71" t="s">
        <v>174</v>
      </c>
      <c r="D71">
        <v>68990</v>
      </c>
      <c r="E71">
        <v>66382</v>
      </c>
      <c r="F71">
        <v>62287</v>
      </c>
      <c r="G71">
        <f>Age!G71/Age!$F71</f>
        <v>0.38685439979449965</v>
      </c>
      <c r="H71">
        <f>Age!H71/Age!$F71</f>
        <v>3.3217204232022735E-2</v>
      </c>
      <c r="I71">
        <f>Age!I71/Age!$F71</f>
        <v>3.3120875945221312E-2</v>
      </c>
      <c r="J71">
        <f>Age!J71/Age!$F71</f>
        <v>3.2944274086085377E-2</v>
      </c>
      <c r="K71">
        <f>Age!K71/Age!$F71</f>
        <v>3.2928219371618474E-2</v>
      </c>
      <c r="L71">
        <f>Age!L71/Age!$F71</f>
        <v>3.2928219371618474E-2</v>
      </c>
      <c r="M71">
        <f>Age!M71/Age!$F71</f>
        <v>2.4740314993497839E-2</v>
      </c>
      <c r="N71">
        <f>Age!N71/Age!$F71</f>
        <v>5.298055774078058E-3</v>
      </c>
      <c r="O71">
        <f>Age!O71/Age!$F71</f>
        <v>0</v>
      </c>
      <c r="P71">
        <f>Age!P71/Age!$F71</f>
        <v>4.8164143400709616E-5</v>
      </c>
      <c r="Q71">
        <f>Age!Q71/Age!$F71</f>
        <v>0.14767126366657568</v>
      </c>
      <c r="R71">
        <f>Age!R71/Age!$F71</f>
        <v>2.1738083388186943E-2</v>
      </c>
      <c r="S71">
        <f>Age!S71/Age!$F71</f>
        <v>0.12435981826063223</v>
      </c>
      <c r="T71">
        <f>Age!T71/Age!$F71</f>
        <v>7.7865365164480546E-3</v>
      </c>
      <c r="U71">
        <f>Age!U71/Age!$F71</f>
        <v>3.6925843273877372E-3</v>
      </c>
      <c r="V71">
        <f>Age!V71/Age!$F71</f>
        <v>1.0628220977089922E-2</v>
      </c>
      <c r="W71">
        <f>Age!W71/Age!$F71</f>
        <v>3.5368535970587762E-2</v>
      </c>
      <c r="X71">
        <f>Age!X71/Age!$F71</f>
        <v>9.0869683882672143E-3</v>
      </c>
      <c r="Y71">
        <f>Age!Y71/Age!$F71</f>
        <v>7.8828648032494737E-3</v>
      </c>
      <c r="Z71">
        <f>Age!Z71/Age!$F71</f>
        <v>2.6763209016327644E-2</v>
      </c>
      <c r="AA71">
        <f>Age!AA71/Age!$F71</f>
        <v>1.1559394416170309E-2</v>
      </c>
      <c r="AB71">
        <f>Age!AB71/Age!$F71</f>
        <v>1.0596111548156116E-2</v>
      </c>
      <c r="AC71">
        <f>Age!AC71/Age!$F71</f>
        <v>4.2063351903286403E-3</v>
      </c>
      <c r="AD71">
        <f>Age!AD71/Age!$F71</f>
        <v>5.9241896382872831E-3</v>
      </c>
      <c r="AE71">
        <f>Age!AE71/Age!$F71</f>
        <v>4.8437073546646975E-2</v>
      </c>
      <c r="AF71">
        <f>Age!AF71/Age!$F71</f>
        <v>5.619150063416122E-4</v>
      </c>
      <c r="AG71">
        <f>Age!AG71/Age!$F71</f>
        <v>0.19792251994798271</v>
      </c>
      <c r="AH71">
        <f>Age!AH71/Age!$F71</f>
        <v>0.18620257838714338</v>
      </c>
      <c r="AI71">
        <f>Age!AI71/Age!$F71</f>
        <v>2.1513317385650297E-3</v>
      </c>
      <c r="AJ71">
        <f>Age!AJ71/Age!$F71</f>
        <v>8.4126703806572806E-3</v>
      </c>
      <c r="AK71">
        <f>Age!AK71/Age!$F71</f>
        <v>0.16855844718801677</v>
      </c>
      <c r="AL71">
        <f>Age!AL71/Age!$F71</f>
        <v>9.9298408977796335E-2</v>
      </c>
      <c r="AM71">
        <f>Age!AM71/Age!$F71</f>
        <v>1.6054714466903205E-4</v>
      </c>
      <c r="AN71">
        <f>Age!AN71/Age!$F71</f>
        <v>7.9454781896703963E-2</v>
      </c>
      <c r="AO71">
        <f>Age!AO71/Age!$F71</f>
        <v>1.141490198596818E-2</v>
      </c>
      <c r="AP71">
        <f>Age!AP71/Age!$F71</f>
        <v>6.1537720551639988E-2</v>
      </c>
      <c r="AQ71">
        <f>Age!AQ71/Age!$F71</f>
        <v>1.6054714466903205E-2</v>
      </c>
      <c r="AR71">
        <f>Age!AR71/Age!$F71</f>
        <v>1.5797839035432755E-2</v>
      </c>
      <c r="AS71">
        <f>Age!AS71/Age!$F71</f>
        <v>1.1896543419975276E-2</v>
      </c>
      <c r="AT71">
        <f>Age!AT71/Age!$F71</f>
        <v>6.3416122144267662E-3</v>
      </c>
      <c r="AU71">
        <f>Age!AU71/Age!$F71</f>
        <v>6.3111082569396501E-2</v>
      </c>
      <c r="AV71">
        <f>Age!AV71/Age!$F71</f>
        <v>1.6134988039237724E-2</v>
      </c>
      <c r="AW71">
        <f>Age!AW71/Age!$F71</f>
        <v>2.9540674619101901E-3</v>
      </c>
      <c r="AX71">
        <f>Age!AX71/Age!$F71</f>
        <v>9.5365003933405041E-3</v>
      </c>
      <c r="AY71">
        <f>Age!AY71/Age!$F71</f>
        <v>6.1971197842246376E-3</v>
      </c>
      <c r="AZ71">
        <f>Age!AZ71/Age!$F71</f>
        <v>2.6329731725721257E-3</v>
      </c>
      <c r="BA71">
        <f>Age!BA71/Age!$F71</f>
        <v>5.0716843000947226E-2</v>
      </c>
      <c r="BB71">
        <f>Age!BB71/Age!$F71</f>
        <v>3.4822675678713055E-2</v>
      </c>
      <c r="BC71">
        <f>Age!BC71/Age!$F71</f>
        <v>2.2476600253664488E-4</v>
      </c>
      <c r="BF71" t="str">
        <f t="shared" si="1"/>
        <v>over 60</v>
      </c>
    </row>
    <row r="72" spans="1:58">
      <c r="A72" s="1">
        <v>1073</v>
      </c>
      <c r="B72" s="1">
        <v>78</v>
      </c>
      <c r="C72" t="s">
        <v>192</v>
      </c>
      <c r="D72">
        <v>52549</v>
      </c>
      <c r="E72">
        <v>50413</v>
      </c>
      <c r="F72">
        <v>48624</v>
      </c>
      <c r="G72">
        <f>Age!G72/Age!$F72</f>
        <v>0.57621750575847319</v>
      </c>
      <c r="H72">
        <f>Age!H72/Age!$F72</f>
        <v>2.9820664692333004E-3</v>
      </c>
      <c r="I72">
        <f>Age!I72/Age!$F72</f>
        <v>2.9409345179335308E-3</v>
      </c>
      <c r="J72">
        <f>Age!J72/Age!$F72</f>
        <v>2.8792365909838763E-3</v>
      </c>
      <c r="K72">
        <f>Age!K72/Age!$F72</f>
        <v>2.8792365909838763E-3</v>
      </c>
      <c r="L72">
        <f>Age!L72/Age!$F72</f>
        <v>2.8792365909838763E-3</v>
      </c>
      <c r="M72">
        <f>Age!M72/Age!$F72</f>
        <v>9.6660085554458707E-4</v>
      </c>
      <c r="N72">
        <f>Age!N72/Age!$F72</f>
        <v>1.5218821980914775E-3</v>
      </c>
      <c r="O72">
        <f>Age!O72/Age!$F72</f>
        <v>1.2339585389930897E-4</v>
      </c>
      <c r="P72">
        <f>Age!P72/Age!$F72</f>
        <v>4.1131951299769661E-5</v>
      </c>
      <c r="Q72">
        <f>Age!Q72/Age!$F72</f>
        <v>0.36942662059888121</v>
      </c>
      <c r="R72">
        <f>Age!R72/Age!$F72</f>
        <v>6.661319512997696E-2</v>
      </c>
      <c r="S72">
        <f>Age!S72/Age!$F72</f>
        <v>0.29144044093451793</v>
      </c>
      <c r="T72">
        <f>Age!T72/Age!$F72</f>
        <v>9.1929911154985198E-3</v>
      </c>
      <c r="U72">
        <f>Age!U72/Age!$F72</f>
        <v>1.6123724909509706E-2</v>
      </c>
      <c r="V72">
        <f>Age!V72/Age!$F72</f>
        <v>4.7054952286936493E-2</v>
      </c>
      <c r="W72">
        <f>Age!W72/Age!$F72</f>
        <v>6.2890753537347813E-2</v>
      </c>
      <c r="X72">
        <f>Age!X72/Age!$F72</f>
        <v>1.2072227706482395E-2</v>
      </c>
      <c r="Y72">
        <f>Age!Y72/Age!$F72</f>
        <v>1.1352418558736426E-2</v>
      </c>
      <c r="Z72">
        <f>Age!Z72/Age!$F72</f>
        <v>1.9023527476143467E-2</v>
      </c>
      <c r="AA72">
        <f>Age!AA72/Age!$F72</f>
        <v>2.0977295162882526E-3</v>
      </c>
      <c r="AB72">
        <f>Age!AB72/Age!$F72</f>
        <v>1.5321651859164198E-2</v>
      </c>
      <c r="AC72">
        <f>Age!AC72/Age!$F72</f>
        <v>3.6607436656795E-3</v>
      </c>
      <c r="AD72">
        <f>Age!AD72/Age!$F72</f>
        <v>1.0262421849292531E-2</v>
      </c>
      <c r="AE72">
        <f>Age!AE72/Age!$F72</f>
        <v>0.2011763738071734</v>
      </c>
      <c r="AF72">
        <f>Age!AF72/Age!$F72</f>
        <v>5.1414939124712073E-4</v>
      </c>
      <c r="AG72">
        <f>Age!AG72/Age!$F72</f>
        <v>0.19821487331359</v>
      </c>
      <c r="AH72">
        <f>Age!AH72/Age!$F72</f>
        <v>0.192497532082922</v>
      </c>
      <c r="AI72">
        <f>Age!AI72/Age!$F72</f>
        <v>1.5218821980914775E-3</v>
      </c>
      <c r="AJ72">
        <f>Age!AJ72/Age!$F72</f>
        <v>8.4320500164527807E-4</v>
      </c>
      <c r="AK72">
        <f>Age!AK72/Age!$F72</f>
        <v>0.1810011516946364</v>
      </c>
      <c r="AL72">
        <f>Age!AL72/Age!$F72</f>
        <v>0.10038252714708785</v>
      </c>
      <c r="AM72">
        <f>Age!AM72/Age!$F72</f>
        <v>1.1105626850937808E-3</v>
      </c>
      <c r="AN72">
        <f>Age!AN72/Age!$F72</f>
        <v>6.9266205988812113E-2</v>
      </c>
      <c r="AO72">
        <f>Age!AO72/Age!$F72</f>
        <v>1.0468081605791379E-2</v>
      </c>
      <c r="AP72">
        <f>Age!AP72/Age!$F72</f>
        <v>5.4006252056597565E-2</v>
      </c>
      <c r="AQ72">
        <f>Age!AQ72/Age!$F72</f>
        <v>2.3938795656465943E-2</v>
      </c>
      <c r="AR72">
        <f>Age!AR72/Age!$F72</f>
        <v>2.375370187561698E-2</v>
      </c>
      <c r="AS72">
        <f>Age!AS72/Age!$F72</f>
        <v>1.0118460019743336E-2</v>
      </c>
      <c r="AT72">
        <f>Age!AT72/Age!$F72</f>
        <v>3.7224415926291545E-3</v>
      </c>
      <c r="AU72">
        <f>Age!AU72/Age!$F72</f>
        <v>6.88754524514643E-2</v>
      </c>
      <c r="AV72">
        <f>Age!AV72/Age!$F72</f>
        <v>9.0078973346495554E-3</v>
      </c>
      <c r="AW72">
        <f>Age!AW72/Age!$F72</f>
        <v>1.0282987824942415E-3</v>
      </c>
      <c r="AX72">
        <f>Age!AX72/Age!$F72</f>
        <v>2.1553142481079302E-2</v>
      </c>
      <c r="AY72">
        <f>Age!AY72/Age!$F72</f>
        <v>1.3511846001974333E-2</v>
      </c>
      <c r="AZ72">
        <f>Age!AZ72/Age!$F72</f>
        <v>6.3548864758144127E-3</v>
      </c>
      <c r="BA72">
        <f>Age!BA72/Age!$F72</f>
        <v>4.1769496544916088E-2</v>
      </c>
      <c r="BB72">
        <f>Age!BB72/Age!$F72</f>
        <v>2.8093122737742678E-2</v>
      </c>
      <c r="BC72">
        <f>Age!BC72/Age!$F72</f>
        <v>2.2622573214873314E-4</v>
      </c>
      <c r="BF72" t="str">
        <f t="shared" si="1"/>
        <v>over 60</v>
      </c>
    </row>
    <row r="73" spans="1:58">
      <c r="A73" s="1">
        <v>1156</v>
      </c>
      <c r="B73" s="1">
        <v>78</v>
      </c>
      <c r="C73" t="s">
        <v>210</v>
      </c>
      <c r="D73">
        <v>94953</v>
      </c>
      <c r="E73">
        <v>87185</v>
      </c>
      <c r="F73">
        <v>85970</v>
      </c>
      <c r="G73">
        <f>Age!G73/Age!$F73</f>
        <v>0.64492264743515182</v>
      </c>
      <c r="H73">
        <f>Age!H73/Age!$F73</f>
        <v>7.4560893334884261E-3</v>
      </c>
      <c r="I73">
        <f>Age!I73/Age!$F73</f>
        <v>7.1536582528789116E-3</v>
      </c>
      <c r="J73">
        <f>Age!J73/Age!$F73</f>
        <v>6.5604280562987088E-3</v>
      </c>
      <c r="K73">
        <f>Age!K73/Age!$F73</f>
        <v>6.4790043038269168E-3</v>
      </c>
      <c r="L73">
        <f>Age!L73/Age!$F73</f>
        <v>6.385948586716296E-3</v>
      </c>
      <c r="M73">
        <f>Age!M73/Age!$F73</f>
        <v>1.7680586251017797E-3</v>
      </c>
      <c r="N73">
        <f>Age!N73/Age!$F73</f>
        <v>3.8850761893683841E-3</v>
      </c>
      <c r="O73">
        <f>Age!O73/Age!$F73</f>
        <v>7.4444573688495989E-4</v>
      </c>
      <c r="P73">
        <f>Age!P73/Age!$F73</f>
        <v>1.3958357566592997E-4</v>
      </c>
      <c r="Q73">
        <f>Age!Q73/Age!$F73</f>
        <v>0.31013144120041874</v>
      </c>
      <c r="R73">
        <f>Age!R73/Age!$F73</f>
        <v>7.092008840293125E-2</v>
      </c>
      <c r="S73">
        <f>Age!S73/Age!$F73</f>
        <v>0.22275212283354659</v>
      </c>
      <c r="T73">
        <f>Age!T73/Age!$F73</f>
        <v>1.5982319413748981E-2</v>
      </c>
      <c r="U73">
        <f>Age!U73/Age!$F73</f>
        <v>3.3104571362103062E-2</v>
      </c>
      <c r="V73">
        <f>Age!V73/Age!$F73</f>
        <v>3.2930091892520649E-2</v>
      </c>
      <c r="W73">
        <f>Age!W73/Age!$F73</f>
        <v>0.10692101896010237</v>
      </c>
      <c r="X73">
        <f>Age!X73/Age!$F73</f>
        <v>5.2902175177387462E-2</v>
      </c>
      <c r="Y73">
        <f>Age!Y73/Age!$F73</f>
        <v>5.0692101896010235E-2</v>
      </c>
      <c r="Z73">
        <f>Age!Z73/Age!$F73</f>
        <v>2.4310806095149472E-2</v>
      </c>
      <c r="AA73">
        <f>Age!AA73/Age!$F73</f>
        <v>3.1289984878445968E-3</v>
      </c>
      <c r="AB73">
        <f>Age!AB73/Age!$F73</f>
        <v>1.6424334070024426E-2</v>
      </c>
      <c r="AC73">
        <f>Age!AC73/Age!$F73</f>
        <v>2.0006979178783298E-3</v>
      </c>
      <c r="AD73">
        <f>Age!AD73/Age!$F73</f>
        <v>1.3516342910317553E-2</v>
      </c>
      <c r="AE73">
        <f>Age!AE73/Age!$F73</f>
        <v>7.8620448993835065E-2</v>
      </c>
      <c r="AF73">
        <f>Age!AF73/Age!$F73</f>
        <v>8.3750145399557989E-4</v>
      </c>
      <c r="AG73">
        <f>Age!AG73/Age!$F73</f>
        <v>0.30614167732930092</v>
      </c>
      <c r="AH73">
        <f>Age!AH73/Age!$F73</f>
        <v>0.28475049435849714</v>
      </c>
      <c r="AI73">
        <f>Age!AI73/Age!$F73</f>
        <v>3.7105967197859717E-3</v>
      </c>
      <c r="AJ73">
        <f>Age!AJ73/Age!$F73</f>
        <v>3.152262417122252E-3</v>
      </c>
      <c r="AK73">
        <f>Age!AK73/Age!$F73</f>
        <v>0.26533674537629404</v>
      </c>
      <c r="AL73">
        <f>Age!AL73/Age!$F73</f>
        <v>0.21137606141677329</v>
      </c>
      <c r="AM73">
        <f>Age!AM73/Age!$F73</f>
        <v>3.9316040479236945E-3</v>
      </c>
      <c r="AN73">
        <f>Age!AN73/Age!$F73</f>
        <v>0.10173316273118529</v>
      </c>
      <c r="AO73">
        <f>Age!AO73/Age!$F73</f>
        <v>4.8737931836687218E-2</v>
      </c>
      <c r="AP73">
        <f>Age!AP73/Age!$F73</f>
        <v>4.6144003722228683E-2</v>
      </c>
      <c r="AQ73">
        <f>Age!AQ73/Age!$F73</f>
        <v>8.6111434221239971E-2</v>
      </c>
      <c r="AR73">
        <f>Age!AR73/Age!$F73</f>
        <v>8.4401535419332319E-2</v>
      </c>
      <c r="AS73">
        <f>Age!AS73/Age!$F73</f>
        <v>4.7237408398278467E-2</v>
      </c>
      <c r="AT73">
        <f>Age!AT73/Age!$F73</f>
        <v>2.6392927765499594E-2</v>
      </c>
      <c r="AU73">
        <f>Age!AU73/Age!$F73</f>
        <v>4.3282540421077119E-2</v>
      </c>
      <c r="AV73">
        <f>Age!AV73/Age!$F73</f>
        <v>2.500872397347912E-2</v>
      </c>
      <c r="AW73">
        <f>Age!AW73/Age!$F73</f>
        <v>1.120158194719088E-2</v>
      </c>
      <c r="AX73">
        <f>Age!AX73/Age!$F73</f>
        <v>8.9100849133418626E-3</v>
      </c>
      <c r="AY73">
        <f>Age!AY73/Age!$F73</f>
        <v>2.6288240083750147E-3</v>
      </c>
      <c r="AZ73">
        <f>Age!AZ73/Age!$F73</f>
        <v>6.0369896475514712E-3</v>
      </c>
      <c r="BA73">
        <f>Age!BA73/Age!$F73</f>
        <v>2.7870187274630684E-2</v>
      </c>
      <c r="BB73">
        <f>Age!BB73/Age!$F73</f>
        <v>2.1216703501221356E-2</v>
      </c>
      <c r="BC73">
        <f>Age!BC73/Age!$F73</f>
        <v>1.7447946958241246E-4</v>
      </c>
      <c r="BF73" t="str">
        <f t="shared" si="1"/>
        <v>over 60</v>
      </c>
    </row>
    <row r="74" spans="1:58">
      <c r="A74" s="1">
        <v>1022</v>
      </c>
      <c r="B74" s="1">
        <v>79</v>
      </c>
      <c r="C74" t="s">
        <v>177</v>
      </c>
      <c r="D74">
        <v>214901</v>
      </c>
      <c r="E74">
        <v>208043</v>
      </c>
      <c r="F74">
        <v>204524</v>
      </c>
      <c r="G74">
        <f>Age!G74/Age!$F74</f>
        <v>0.56602648099978492</v>
      </c>
      <c r="H74">
        <f>Age!H74/Age!$F74</f>
        <v>5.8819502845631807E-3</v>
      </c>
      <c r="I74">
        <f>Age!I74/Age!$F74</f>
        <v>5.6081437875261583E-3</v>
      </c>
      <c r="J74">
        <f>Age!J74/Age!$F74</f>
        <v>5.4467935303436268E-3</v>
      </c>
      <c r="K74">
        <f>Age!K74/Age!$F74</f>
        <v>5.4076783164811954E-3</v>
      </c>
      <c r="L74">
        <f>Age!L74/Age!$F74</f>
        <v>5.3930101112827835E-3</v>
      </c>
      <c r="M74">
        <f>Age!M74/Age!$F74</f>
        <v>1.1294518002777181E-3</v>
      </c>
      <c r="N74">
        <f>Age!N74/Age!$F74</f>
        <v>3.799065146388688E-3</v>
      </c>
      <c r="O74">
        <f>Age!O74/Age!$F74</f>
        <v>1.2223504332009935E-4</v>
      </c>
      <c r="P74">
        <f>Age!P74/Age!$F74</f>
        <v>5.8672820793647693E-5</v>
      </c>
      <c r="Q74">
        <f>Age!Q74/Age!$F74</f>
        <v>0.33914357239248205</v>
      </c>
      <c r="R74">
        <f>Age!R74/Age!$F74</f>
        <v>0.1317742661007999</v>
      </c>
      <c r="S74">
        <f>Age!S74/Age!$F74</f>
        <v>0.17149087637636659</v>
      </c>
      <c r="T74">
        <f>Age!T74/Age!$F74</f>
        <v>1.2331071170131623E-2</v>
      </c>
      <c r="U74">
        <f>Age!U74/Age!$F74</f>
        <v>1.4438403316970135E-2</v>
      </c>
      <c r="V74">
        <f>Age!V74/Age!$F74</f>
        <v>1.6545735463808647E-2</v>
      </c>
      <c r="W74">
        <f>Age!W74/Age!$F74</f>
        <v>6.5434863390115588E-2</v>
      </c>
      <c r="X74">
        <f>Age!X74/Age!$F74</f>
        <v>1.5455398877393361E-2</v>
      </c>
      <c r="Y74">
        <f>Age!Y74/Age!$F74</f>
        <v>1.3949463143689738E-2</v>
      </c>
      <c r="Z74">
        <f>Age!Z74/Age!$F74</f>
        <v>4.2581799690989811E-2</v>
      </c>
      <c r="AA74">
        <f>Age!AA74/Age!$F74</f>
        <v>8.1995267059122648E-3</v>
      </c>
      <c r="AB74">
        <f>Age!AB74/Age!$F74</f>
        <v>2.642721636580548E-2</v>
      </c>
      <c r="AC74">
        <f>Age!AC74/Age!$F74</f>
        <v>8.4097709804228352E-4</v>
      </c>
      <c r="AD74">
        <f>Age!AD74/Age!$F74</f>
        <v>2.506307328235317E-2</v>
      </c>
      <c r="AE74">
        <f>Age!AE74/Age!$F74</f>
        <v>5.0272828616690461E-2</v>
      </c>
      <c r="AF74">
        <f>Age!AF74/Age!$F74</f>
        <v>8.4097709804228352E-4</v>
      </c>
      <c r="AG74">
        <f>Age!AG74/Age!$F74</f>
        <v>0.20745731552287261</v>
      </c>
      <c r="AH74">
        <f>Age!AH74/Age!$F74</f>
        <v>0.20032856779644442</v>
      </c>
      <c r="AI74">
        <f>Age!AI74/Age!$F74</f>
        <v>7.9208308071424384E-4</v>
      </c>
      <c r="AJ74">
        <f>Age!AJ74/Age!$F74</f>
        <v>1.6575071874205473E-3</v>
      </c>
      <c r="AK74">
        <f>Age!AK74/Age!$F74</f>
        <v>0.19277933152099508</v>
      </c>
      <c r="AL74">
        <f>Age!AL74/Age!$F74</f>
        <v>0.11684692261054937</v>
      </c>
      <c r="AM74">
        <f>Age!AM74/Age!$F74</f>
        <v>2.6891709530421859E-4</v>
      </c>
      <c r="AN74">
        <f>Age!AN74/Age!$F74</f>
        <v>8.7725645889968909E-2</v>
      </c>
      <c r="AO74">
        <f>Age!AO74/Age!$F74</f>
        <v>6.7405292288435587E-2</v>
      </c>
      <c r="AP74">
        <f>Age!AP74/Age!$F74</f>
        <v>1.5807435802155247E-2</v>
      </c>
      <c r="AQ74">
        <f>Age!AQ74/Age!$F74</f>
        <v>2.3522911736519918E-2</v>
      </c>
      <c r="AR74">
        <f>Age!AR74/Age!$F74</f>
        <v>2.245213275703585E-2</v>
      </c>
      <c r="AS74">
        <f>Age!AS74/Age!$F74</f>
        <v>8.5466742289413474E-3</v>
      </c>
      <c r="AT74">
        <f>Age!AT74/Age!$F74</f>
        <v>1.9753183000528057E-3</v>
      </c>
      <c r="AU74">
        <f>Age!AU74/Age!$F74</f>
        <v>6.3968042870274397E-2</v>
      </c>
      <c r="AV74">
        <f>Age!AV74/Age!$F74</f>
        <v>1.8785081457432868E-2</v>
      </c>
      <c r="AW74">
        <f>Age!AW74/Age!$F74</f>
        <v>1.6379495804893314E-3</v>
      </c>
      <c r="AX74">
        <f>Age!AX74/Age!$F74</f>
        <v>9.0551720091529599E-3</v>
      </c>
      <c r="AY74">
        <f>Age!AY74/Age!$F74</f>
        <v>2.0584381295104732E-3</v>
      </c>
      <c r="AZ74">
        <f>Age!AZ74/Age!$F74</f>
        <v>6.7327061860710724E-3</v>
      </c>
      <c r="BA74">
        <f>Age!BA74/Age!$F74</f>
        <v>5.2737087090023664E-2</v>
      </c>
      <c r="BB74">
        <f>Age!BB74/Age!$F74</f>
        <v>3.3174590757074962E-2</v>
      </c>
      <c r="BC74">
        <f>Age!BC74/Age!$F74</f>
        <v>1.2712444505290333E-4</v>
      </c>
      <c r="BF74" t="str">
        <f t="shared" si="1"/>
        <v>over 60</v>
      </c>
    </row>
    <row r="75" spans="1:58">
      <c r="A75" s="1">
        <v>1033</v>
      </c>
      <c r="B75" s="1">
        <v>79</v>
      </c>
      <c r="C75" t="s">
        <v>181</v>
      </c>
      <c r="D75">
        <v>128942</v>
      </c>
      <c r="E75">
        <v>125796</v>
      </c>
      <c r="F75">
        <v>122517</v>
      </c>
      <c r="G75">
        <f>Age!G75/Age!$F75</f>
        <v>0.44904788723197597</v>
      </c>
      <c r="H75">
        <f>Age!H75/Age!$F75</f>
        <v>2.4568019132038821E-3</v>
      </c>
      <c r="I75">
        <f>Age!I75/Age!$F75</f>
        <v>2.4323155153978633E-3</v>
      </c>
      <c r="J75">
        <f>Age!J75/Age!$F75</f>
        <v>2.3098835263677692E-3</v>
      </c>
      <c r="K75">
        <f>Age!K75/Age!$F75</f>
        <v>2.293559261163757E-3</v>
      </c>
      <c r="L75">
        <f>Age!L75/Age!$F75</f>
        <v>2.2853971285617504E-3</v>
      </c>
      <c r="M75">
        <f>Age!M75/Age!$F75</f>
        <v>8.8151032101667522E-4</v>
      </c>
      <c r="N75">
        <f>Age!N75/Age!$F75</f>
        <v>2.1221544765216254E-4</v>
      </c>
      <c r="O75">
        <f>Age!O75/Age!$F75</f>
        <v>0</v>
      </c>
      <c r="P75">
        <f>Age!P75/Age!$F75</f>
        <v>0</v>
      </c>
      <c r="Q75">
        <f>Age!Q75/Age!$F75</f>
        <v>0.31869046744533414</v>
      </c>
      <c r="R75">
        <f>Age!R75/Age!$F75</f>
        <v>3.3791228972305881E-2</v>
      </c>
      <c r="S75">
        <f>Age!S75/Age!$F75</f>
        <v>0.27739823861178448</v>
      </c>
      <c r="T75">
        <f>Age!T75/Age!$F75</f>
        <v>1.3271627610862166E-2</v>
      </c>
      <c r="U75">
        <f>Age!U75/Age!$F75</f>
        <v>1.6324265204012506E-2</v>
      </c>
      <c r="V75">
        <f>Age!V75/Age!$F75</f>
        <v>3.3423933005215602E-2</v>
      </c>
      <c r="W75">
        <f>Age!W75/Age!$F75</f>
        <v>0.11851416538113078</v>
      </c>
      <c r="X75">
        <f>Age!X75/Age!$F75</f>
        <v>1.6258968143196453E-2</v>
      </c>
      <c r="Y75">
        <f>Age!Y75/Age!$F75</f>
        <v>1.4471461103357085E-2</v>
      </c>
      <c r="Z75">
        <f>Age!Z75/Age!$F75</f>
        <v>5.259678248732829E-2</v>
      </c>
      <c r="AA75">
        <f>Age!AA75/Age!$F75</f>
        <v>5.1339814066619326E-3</v>
      </c>
      <c r="AB75">
        <f>Age!AB75/Age!$F75</f>
        <v>3.6574516189590019E-2</v>
      </c>
      <c r="AC75">
        <f>Age!AC75/Age!$F75</f>
        <v>1.1018879012708439E-3</v>
      </c>
      <c r="AD75">
        <f>Age!AD75/Age!$F75</f>
        <v>3.3268852485777482E-2</v>
      </c>
      <c r="AE75">
        <f>Age!AE75/Age!$F75</f>
        <v>8.5628933127647591E-2</v>
      </c>
      <c r="AF75">
        <f>Age!AF75/Age!$F75</f>
        <v>6.9378127117053143E-4</v>
      </c>
      <c r="AG75">
        <f>Age!AG75/Age!$F75</f>
        <v>0.12326452655549842</v>
      </c>
      <c r="AH75">
        <f>Age!AH75/Age!$F75</f>
        <v>0.11408212737824139</v>
      </c>
      <c r="AI75">
        <f>Age!AI75/Age!$F75</f>
        <v>1.5508051943811879E-3</v>
      </c>
      <c r="AJ75">
        <f>Age!AJ75/Age!$F75</f>
        <v>7.345919341805627E-4</v>
      </c>
      <c r="AK75">
        <f>Age!AK75/Age!$F75</f>
        <v>0.10870328199351927</v>
      </c>
      <c r="AL75">
        <f>Age!AL75/Age!$F75</f>
        <v>6.3607499367434719E-2</v>
      </c>
      <c r="AM75">
        <f>Age!AM75/Age!$F75</f>
        <v>3.1016103887623756E-4</v>
      </c>
      <c r="AN75">
        <f>Age!AN75/Age!$F75</f>
        <v>1.3867463290808622E-2</v>
      </c>
      <c r="AO75">
        <f>Age!AO75/Age!$F75</f>
        <v>2.334369924173788E-3</v>
      </c>
      <c r="AP75">
        <f>Age!AP75/Age!$F75</f>
        <v>1.095358195189239E-2</v>
      </c>
      <c r="AQ75">
        <f>Age!AQ75/Age!$F75</f>
        <v>4.5136593289094577E-2</v>
      </c>
      <c r="AR75">
        <f>Age!AR75/Age!$F75</f>
        <v>4.4834594382820343E-2</v>
      </c>
      <c r="AS75">
        <f>Age!AS75/Age!$F75</f>
        <v>1.1492282703624804E-2</v>
      </c>
      <c r="AT75">
        <f>Age!AT75/Age!$F75</f>
        <v>1.6242643877992442E-3</v>
      </c>
      <c r="AU75">
        <f>Age!AU75/Age!$F75</f>
        <v>4.1251418170539601E-2</v>
      </c>
      <c r="AV75">
        <f>Age!AV75/Age!$F75</f>
        <v>1.8397446884922092E-2</v>
      </c>
      <c r="AW75">
        <f>Age!AW75/Age!$F75</f>
        <v>9.9578017744476281E-4</v>
      </c>
      <c r="AX75">
        <f>Age!AX75/Age!$F75</f>
        <v>2.8159357476921572E-3</v>
      </c>
      <c r="AY75">
        <f>Age!AY75/Age!$F75</f>
        <v>1.9670739570835068E-3</v>
      </c>
      <c r="AZ75">
        <f>Age!AZ75/Age!$F75</f>
        <v>6.6113274076250639E-4</v>
      </c>
      <c r="BA75">
        <f>Age!BA75/Age!$F75</f>
        <v>3.68112180350482E-2</v>
      </c>
      <c r="BB75">
        <f>Age!BB75/Age!$F75</f>
        <v>2.4910828701323082E-2</v>
      </c>
      <c r="BC75">
        <f>Age!BC75/Age!$F75</f>
        <v>5.5502501693642514E-4</v>
      </c>
      <c r="BF75" t="str">
        <f t="shared" si="1"/>
        <v>over 60</v>
      </c>
    </row>
    <row r="76" spans="1:58">
      <c r="A76" s="1">
        <v>1040</v>
      </c>
      <c r="B76" s="1">
        <v>80</v>
      </c>
      <c r="C76" t="s">
        <v>183</v>
      </c>
      <c r="D76">
        <v>69173</v>
      </c>
      <c r="E76">
        <v>66483</v>
      </c>
      <c r="F76">
        <v>62058</v>
      </c>
      <c r="G76">
        <f>Age!G76/Age!$F76</f>
        <v>0.64127106899996777</v>
      </c>
      <c r="H76">
        <f>Age!H76/Age!$F76</f>
        <v>1.4712043572142189E-2</v>
      </c>
      <c r="I76">
        <f>Age!I76/Age!$F76</f>
        <v>1.4341422540204325E-2</v>
      </c>
      <c r="J76">
        <f>Age!J76/Age!$F76</f>
        <v>1.2762254664990815E-2</v>
      </c>
      <c r="K76">
        <f>Age!K76/Age!$F76</f>
        <v>1.2746140707080474E-2</v>
      </c>
      <c r="L76">
        <f>Age!L76/Age!$F76</f>
        <v>1.2697798833349446E-2</v>
      </c>
      <c r="M76">
        <f>Age!M76/Age!$F76</f>
        <v>2.5298913919236843E-3</v>
      </c>
      <c r="N76">
        <f>Age!N76/Age!$F76</f>
        <v>8.6048535241225951E-3</v>
      </c>
      <c r="O76">
        <f>Age!O76/Age!$F76</f>
        <v>8.5403976924812268E-4</v>
      </c>
      <c r="P76">
        <f>Age!P76/Age!$F76</f>
        <v>2.094814528344452E-4</v>
      </c>
      <c r="Q76">
        <f>Age!Q76/Age!$F76</f>
        <v>0.36465886751103804</v>
      </c>
      <c r="R76">
        <f>Age!R76/Age!$F76</f>
        <v>3.4177704727835254E-2</v>
      </c>
      <c r="S76">
        <f>Age!S76/Age!$F76</f>
        <v>0.32696831995874825</v>
      </c>
      <c r="T76">
        <f>Age!T76/Age!$F76</f>
        <v>1.5856134583776466E-2</v>
      </c>
      <c r="U76">
        <f>Age!U76/Age!$F76</f>
        <v>1.6323439363176383E-2</v>
      </c>
      <c r="V76">
        <f>Age!V76/Age!$F76</f>
        <v>1.6097843952431596E-2</v>
      </c>
      <c r="W76">
        <f>Age!W76/Age!$F76</f>
        <v>0.19426987656708242</v>
      </c>
      <c r="X76">
        <f>Age!X76/Age!$F76</f>
        <v>4.9453736826839408E-2</v>
      </c>
      <c r="Y76">
        <f>Age!Y76/Age!$F76</f>
        <v>4.8551355183860258E-2</v>
      </c>
      <c r="Z76">
        <f>Age!Z76/Age!$F76</f>
        <v>5.1226272196977021E-2</v>
      </c>
      <c r="AA76">
        <f>Age!AA76/Age!$F76</f>
        <v>7.0256856489090847E-3</v>
      </c>
      <c r="AB76">
        <f>Age!AB76/Age!$F76</f>
        <v>3.7980598794675947E-2</v>
      </c>
      <c r="AC76">
        <f>Age!AC76/Age!$F76</f>
        <v>1.2085468432756453E-3</v>
      </c>
      <c r="AD76">
        <f>Age!AD76/Age!$F76</f>
        <v>3.150278771471849E-2</v>
      </c>
      <c r="AE76">
        <f>Age!AE76/Age!$F76</f>
        <v>6.0959102774823554E-2</v>
      </c>
      <c r="AF76">
        <f>Age!AF76/Age!$F76</f>
        <v>7.7346997969641302E-4</v>
      </c>
      <c r="AG76">
        <f>Age!AG76/Age!$F76</f>
        <v>0.24652744207032132</v>
      </c>
      <c r="AH76">
        <f>Age!AH76/Age!$F76</f>
        <v>0.23816429791485386</v>
      </c>
      <c r="AI76">
        <f>Age!AI76/Age!$F76</f>
        <v>3.0777659608753104E-3</v>
      </c>
      <c r="AJ76">
        <f>Age!AJ76/Age!$F76</f>
        <v>4.6408198781784779E-3</v>
      </c>
      <c r="AK76">
        <f>Age!AK76/Age!$F76</f>
        <v>0.21690998743111284</v>
      </c>
      <c r="AL76">
        <f>Age!AL76/Age!$F76</f>
        <v>0.11992007476876471</v>
      </c>
      <c r="AM76">
        <f>Age!AM76/Age!$F76</f>
        <v>5.8010248477230973E-4</v>
      </c>
      <c r="AN76">
        <f>Age!AN76/Age!$F76</f>
        <v>7.4027522640110865E-2</v>
      </c>
      <c r="AO76">
        <f>Age!AO76/Age!$F76</f>
        <v>2.0899803409713494E-2</v>
      </c>
      <c r="AP76">
        <f>Age!AP76/Age!$F76</f>
        <v>4.7600631667150083E-2</v>
      </c>
      <c r="AQ76">
        <f>Age!AQ76/Age!$F76</f>
        <v>3.5515163234393632E-2</v>
      </c>
      <c r="AR76">
        <f>Age!AR76/Age!$F76</f>
        <v>3.522511199200748E-2</v>
      </c>
      <c r="AS76">
        <f>Age!AS76/Age!$F76</f>
        <v>1.0699668052467047E-2</v>
      </c>
      <c r="AT76">
        <f>Age!AT76/Age!$F76</f>
        <v>3.3033613716200974E-3</v>
      </c>
      <c r="AU76">
        <f>Age!AU76/Age!$F76</f>
        <v>8.0779271004544143E-2</v>
      </c>
      <c r="AV76">
        <f>Age!AV76/Age!$F76</f>
        <v>2.8296110090560444E-2</v>
      </c>
      <c r="AW76">
        <f>Age!AW76/Age!$F76</f>
        <v>1.9175609913306907E-3</v>
      </c>
      <c r="AX76">
        <f>Age!AX76/Age!$F76</f>
        <v>1.6258983531535015E-2</v>
      </c>
      <c r="AY76">
        <f>Age!AY76/Age!$F76</f>
        <v>9.4588932933707178E-3</v>
      </c>
      <c r="AZ76">
        <f>Age!AZ76/Age!$F76</f>
        <v>5.6559992265300205E-3</v>
      </c>
      <c r="BA76">
        <f>Age!BA76/Age!$F76</f>
        <v>5.8654806793644654E-2</v>
      </c>
      <c r="BB76">
        <f>Age!BB76/Age!$F76</f>
        <v>4.1509555577040835E-2</v>
      </c>
      <c r="BC76">
        <f>Age!BC76/Age!$F76</f>
        <v>1.1279770537239356E-4</v>
      </c>
      <c r="BF76" t="str">
        <f t="shared" si="1"/>
        <v>over 60</v>
      </c>
    </row>
    <row r="77" spans="1:58">
      <c r="A77" s="1">
        <v>1155</v>
      </c>
      <c r="B77" s="1">
        <v>89</v>
      </c>
      <c r="C77" t="s">
        <v>209</v>
      </c>
      <c r="D77">
        <v>348111</v>
      </c>
      <c r="E77">
        <v>320999</v>
      </c>
      <c r="F77">
        <v>317961</v>
      </c>
      <c r="G77">
        <f>Age!G77/Age!$F77</f>
        <v>0.59715185195668652</v>
      </c>
      <c r="H77">
        <f>Age!H77/Age!$F77</f>
        <v>2.1417721041259779E-3</v>
      </c>
      <c r="I77">
        <f>Age!I77/Age!$F77</f>
        <v>2.0788713081164043E-3</v>
      </c>
      <c r="J77">
        <f>Age!J77/Age!$F77</f>
        <v>2.0159705121068306E-3</v>
      </c>
      <c r="K77">
        <f>Age!K77/Age!$F77</f>
        <v>1.9971002733039588E-3</v>
      </c>
      <c r="L77">
        <f>Age!L77/Age!$F77</f>
        <v>1.9876651539025227E-3</v>
      </c>
      <c r="M77">
        <f>Age!M77/Age!$F77</f>
        <v>7.0134387550674457E-4</v>
      </c>
      <c r="N77">
        <f>Age!N77/Age!$F77</f>
        <v>9.1835162173977314E-4</v>
      </c>
      <c r="O77">
        <f>Age!O77/Age!$F77</f>
        <v>3.1450398004786752E-6</v>
      </c>
      <c r="P77">
        <f>Age!P77/Age!$F77</f>
        <v>6.2900796009573503E-6</v>
      </c>
      <c r="Q77">
        <f>Age!Q77/Age!$F77</f>
        <v>0.23287132698664301</v>
      </c>
      <c r="R77">
        <f>Age!R77/Age!$F77</f>
        <v>4.3634282191841137E-2</v>
      </c>
      <c r="S77">
        <f>Age!S77/Age!$F77</f>
        <v>0.18649457008878448</v>
      </c>
      <c r="T77">
        <f>Age!T77/Age!$F77</f>
        <v>9.1269055009891142E-3</v>
      </c>
      <c r="U77">
        <f>Age!U77/Age!$F77</f>
        <v>1.1847364928403169E-2</v>
      </c>
      <c r="V77">
        <f>Age!V77/Age!$F77</f>
        <v>1.478797714185073E-2</v>
      </c>
      <c r="W77">
        <f>Age!W77/Age!$F77</f>
        <v>0.10988454558892442</v>
      </c>
      <c r="X77">
        <f>Age!X77/Age!$F77</f>
        <v>1.4995549768682323E-2</v>
      </c>
      <c r="Y77">
        <f>Age!Y77/Age!$F77</f>
        <v>2.1574973031283709E-3</v>
      </c>
      <c r="Z77">
        <f>Age!Z77/Age!$F77</f>
        <v>2.0930239872185584E-2</v>
      </c>
      <c r="AA77">
        <f>Age!AA77/Age!$F77</f>
        <v>7.0889197102789337E-3</v>
      </c>
      <c r="AB77">
        <f>Age!AB77/Age!$F77</f>
        <v>1.1089410336487809E-2</v>
      </c>
      <c r="AC77">
        <f>Age!AC77/Age!$F77</f>
        <v>1.1353593679728016E-3</v>
      </c>
      <c r="AD77">
        <f>Age!AD77/Age!$F77</f>
        <v>9.0294092671742762E-3</v>
      </c>
      <c r="AE77">
        <f>Age!AE77/Age!$F77</f>
        <v>4.8285796056749097E-2</v>
      </c>
      <c r="AF77">
        <f>Age!AF77/Age!$F77</f>
        <v>3.931299750598344E-4</v>
      </c>
      <c r="AG77">
        <f>Age!AG77/Age!$F77</f>
        <v>0.35823890351332394</v>
      </c>
      <c r="AH77">
        <f>Age!AH77/Age!$F77</f>
        <v>0.32849940715999759</v>
      </c>
      <c r="AI77">
        <f>Age!AI77/Age!$F77</f>
        <v>2.9657725318513904E-3</v>
      </c>
      <c r="AJ77">
        <f>Age!AJ77/Age!$F77</f>
        <v>4.5099870738864204E-3</v>
      </c>
      <c r="AK77">
        <f>Age!AK77/Age!$F77</f>
        <v>0.30997512273517819</v>
      </c>
      <c r="AL77">
        <f>Age!AL77/Age!$F77</f>
        <v>0.2233041159135869</v>
      </c>
      <c r="AM77">
        <f>Age!AM77/Age!$F77</f>
        <v>5.1264148747802408E-4</v>
      </c>
      <c r="AN77">
        <f>Age!AN77/Age!$F77</f>
        <v>0.13157274005302538</v>
      </c>
      <c r="AO77">
        <f>Age!AO77/Age!$F77</f>
        <v>3.3416047880085925E-2</v>
      </c>
      <c r="AP77">
        <f>Age!AP77/Age!$F77</f>
        <v>8.6183525652517134E-2</v>
      </c>
      <c r="AQ77">
        <f>Age!AQ77/Age!$F77</f>
        <v>7.0926937580395075E-2</v>
      </c>
      <c r="AR77">
        <f>Age!AR77/Age!$F77</f>
        <v>6.7146599740219706E-2</v>
      </c>
      <c r="AS77">
        <f>Age!AS77/Age!$F77</f>
        <v>9.8534096948996886E-3</v>
      </c>
      <c r="AT77">
        <f>Age!AT77/Age!$F77</f>
        <v>1.4247030296168398E-3</v>
      </c>
      <c r="AU77">
        <f>Age!AU77/Age!$F77</f>
        <v>7.6547123703850473E-2</v>
      </c>
      <c r="AV77">
        <f>Age!AV77/Age!$F77</f>
        <v>8.1016225260330671E-3</v>
      </c>
      <c r="AW77">
        <f>Age!AW77/Age!$F77</f>
        <v>4.4974069146845055E-4</v>
      </c>
      <c r="AX77">
        <f>Age!AX77/Age!$F77</f>
        <v>9.1803711775972525E-3</v>
      </c>
      <c r="AY77">
        <f>Age!AY77/Age!$F77</f>
        <v>2.7487647856183619E-3</v>
      </c>
      <c r="AZ77">
        <f>Age!AZ77/Age!$F77</f>
        <v>5.6862319592654448E-3</v>
      </c>
      <c r="BA77">
        <f>Age!BA77/Age!$F77</f>
        <v>6.4630567899836774E-2</v>
      </c>
      <c r="BB77">
        <f>Age!BB77/Age!$F77</f>
        <v>3.0019404895568952E-2</v>
      </c>
      <c r="BC77">
        <f>Age!BC77/Age!$F77</f>
        <v>1.6825962932560912E-3</v>
      </c>
      <c r="BF77" t="str">
        <f t="shared" si="1"/>
        <v>over 60</v>
      </c>
    </row>
    <row r="78" spans="1:58" s="17" customFormat="1">
      <c r="A78" s="17" t="s">
        <v>240</v>
      </c>
      <c r="G78" s="17">
        <f>TTEST(G2:G32,G34:G77,2,2)</f>
        <v>1.1130574821644569E-2</v>
      </c>
      <c r="H78" s="17">
        <f t="shared" ref="H78:BC78" si="2">TTEST(H2:H32,H34:H77,2,2)</f>
        <v>5.9796261725681213E-2</v>
      </c>
      <c r="I78" s="17">
        <f t="shared" si="2"/>
        <v>6.2442678285899042E-2</v>
      </c>
      <c r="J78" s="17">
        <f t="shared" si="2"/>
        <v>6.1273165712846647E-2</v>
      </c>
      <c r="K78" s="17">
        <f t="shared" si="2"/>
        <v>6.2249321774452686E-2</v>
      </c>
      <c r="L78" s="17">
        <f t="shared" si="2"/>
        <v>6.2703637089482442E-2</v>
      </c>
      <c r="M78" s="17">
        <f t="shared" si="2"/>
        <v>9.0628979891233252E-2</v>
      </c>
      <c r="N78" s="17">
        <f t="shared" si="2"/>
        <v>0.14758910561625682</v>
      </c>
      <c r="O78" s="17">
        <f t="shared" si="2"/>
        <v>0.1638035825247485</v>
      </c>
      <c r="P78" s="17">
        <f t="shared" si="2"/>
        <v>0.44959695139598466</v>
      </c>
      <c r="Q78" s="17">
        <f t="shared" si="2"/>
        <v>0.48097789497380516</v>
      </c>
      <c r="R78" s="17">
        <f t="shared" si="2"/>
        <v>9.7929930273562851E-2</v>
      </c>
      <c r="S78" s="17">
        <f t="shared" si="2"/>
        <v>0.9619618517967331</v>
      </c>
      <c r="T78" s="17">
        <f t="shared" si="2"/>
        <v>0.63858169060668202</v>
      </c>
      <c r="U78" s="17">
        <f t="shared" si="2"/>
        <v>9.0202353829155382E-2</v>
      </c>
      <c r="V78" s="17">
        <f t="shared" si="2"/>
        <v>4.3577608259654961E-2</v>
      </c>
      <c r="W78" s="17">
        <f t="shared" si="2"/>
        <v>0.95002735281833717</v>
      </c>
      <c r="X78" s="17">
        <f t="shared" si="2"/>
        <v>0.68797814618071329</v>
      </c>
      <c r="Y78" s="17">
        <f t="shared" si="2"/>
        <v>0.91921094539686088</v>
      </c>
      <c r="Z78" s="17">
        <f t="shared" si="2"/>
        <v>0.97583462140352184</v>
      </c>
      <c r="AA78" s="17">
        <f t="shared" si="2"/>
        <v>0.51791524247010168</v>
      </c>
      <c r="AB78" s="17">
        <f t="shared" si="2"/>
        <v>0.89759608110135969</v>
      </c>
      <c r="AC78" s="17">
        <f t="shared" si="2"/>
        <v>0.11409890101613736</v>
      </c>
      <c r="AD78" s="17">
        <f t="shared" si="2"/>
        <v>0.4928684847409861</v>
      </c>
      <c r="AE78" s="17">
        <f t="shared" si="2"/>
        <v>0.9400079198420126</v>
      </c>
      <c r="AF78" s="17">
        <f t="shared" si="2"/>
        <v>2.6511917752763685E-3</v>
      </c>
      <c r="AG78" s="17">
        <f t="shared" si="2"/>
        <v>3.4794061879873644E-3</v>
      </c>
      <c r="AH78" s="17">
        <f t="shared" si="2"/>
        <v>6.4029773662834999E-3</v>
      </c>
      <c r="AI78" s="17">
        <f t="shared" si="2"/>
        <v>0.73373713462813961</v>
      </c>
      <c r="AJ78" s="17">
        <f t="shared" si="2"/>
        <v>3.2761748845917309E-2</v>
      </c>
      <c r="AK78" s="17">
        <f t="shared" si="2"/>
        <v>4.0439698903849903E-3</v>
      </c>
      <c r="AL78" s="17">
        <f t="shared" si="2"/>
        <v>6.9137308384322601E-3</v>
      </c>
      <c r="AM78" s="17">
        <f t="shared" si="2"/>
        <v>5.2541836133440489E-2</v>
      </c>
      <c r="AN78" s="17">
        <f t="shared" si="2"/>
        <v>7.3984953230221501E-2</v>
      </c>
      <c r="AO78" s="17">
        <f t="shared" si="2"/>
        <v>2.9755768403449897E-2</v>
      </c>
      <c r="AP78" s="17">
        <f t="shared" si="2"/>
        <v>0.35708364853651231</v>
      </c>
      <c r="AQ78" s="17">
        <f t="shared" si="2"/>
        <v>1.0628969668799858E-2</v>
      </c>
      <c r="AR78" s="17">
        <f t="shared" si="2"/>
        <v>1.4815827504606621E-2</v>
      </c>
      <c r="AS78" s="17">
        <f t="shared" si="2"/>
        <v>0.62862334763564398</v>
      </c>
      <c r="AT78" s="17">
        <f t="shared" si="2"/>
        <v>0.33434937707792733</v>
      </c>
      <c r="AU78" s="17">
        <f t="shared" si="2"/>
        <v>0.18604709481651804</v>
      </c>
      <c r="AV78" s="17">
        <f t="shared" si="2"/>
        <v>0.6972597064175905</v>
      </c>
      <c r="AW78" s="17">
        <f t="shared" si="2"/>
        <v>0.26689225165585817</v>
      </c>
      <c r="AX78" s="17">
        <f t="shared" si="2"/>
        <v>2.5916450527839246E-6</v>
      </c>
      <c r="AY78" s="17">
        <f t="shared" si="2"/>
        <v>0.22239150272540231</v>
      </c>
      <c r="AZ78" s="17">
        <f t="shared" si="2"/>
        <v>8.6048208029296009E-6</v>
      </c>
      <c r="BA78" s="17">
        <f t="shared" si="2"/>
        <v>0.59341660908301197</v>
      </c>
      <c r="BB78" s="17">
        <f t="shared" si="2"/>
        <v>0.88963164923530869</v>
      </c>
      <c r="BC78" s="17">
        <f t="shared" si="2"/>
        <v>0.78932017037478763</v>
      </c>
    </row>
  </sheetData>
  <sortState xmlns:xlrd2="http://schemas.microsoft.com/office/spreadsheetml/2017/richdata2" ref="A2:BC78">
    <sortCondition ref="B2:B78"/>
  </sortState>
  <conditionalFormatting sqref="A78:XFD78">
    <cfRule type="colorScale" priority="1">
      <colorScale>
        <cfvo type="num" val="0"/>
        <cfvo type="num" val="0.05"/>
        <color rgb="FFFB7073"/>
        <color theme="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FBB8-0B7A-DB4C-8CCF-8B32A41DFBF6}">
  <dimension ref="A1:BC76"/>
  <sheetViews>
    <sheetView zoomScale="75" workbookViewId="0">
      <selection activeCell="A61" sqref="A61:XFD61"/>
    </sheetView>
  </sheetViews>
  <sheetFormatPr defaultColWidth="11" defaultRowHeight="15.95"/>
  <sheetData>
    <row r="1" spans="1:55" ht="288.95">
      <c r="A1" s="1" t="s">
        <v>0</v>
      </c>
      <c r="B1" s="1" t="s">
        <v>13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  <c r="U1" s="2" t="s">
        <v>130</v>
      </c>
      <c r="V1" s="2" t="s">
        <v>131</v>
      </c>
      <c r="W1" s="2" t="s">
        <v>132</v>
      </c>
      <c r="X1" s="2" t="s">
        <v>133</v>
      </c>
      <c r="Y1" s="2" t="s">
        <v>134</v>
      </c>
      <c r="Z1" s="2" t="s">
        <v>135</v>
      </c>
      <c r="AA1" s="2" t="s">
        <v>136</v>
      </c>
      <c r="AB1" s="2" t="s">
        <v>137</v>
      </c>
      <c r="AC1" s="2" t="s">
        <v>138</v>
      </c>
      <c r="AD1" s="2" t="s">
        <v>139</v>
      </c>
      <c r="AE1" s="2" t="s">
        <v>140</v>
      </c>
      <c r="AF1" s="2" t="s">
        <v>141</v>
      </c>
      <c r="AG1" s="2" t="s">
        <v>142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149</v>
      </c>
      <c r="AO1" s="2" t="s">
        <v>150</v>
      </c>
      <c r="AP1" s="2" t="s">
        <v>151</v>
      </c>
      <c r="AQ1" s="2" t="s">
        <v>152</v>
      </c>
      <c r="AR1" s="2" t="s">
        <v>153</v>
      </c>
      <c r="AS1" s="2" t="s">
        <v>154</v>
      </c>
      <c r="AT1" s="2" t="s">
        <v>155</v>
      </c>
      <c r="AU1" s="2" t="s">
        <v>156</v>
      </c>
      <c r="AV1" s="2" t="s">
        <v>157</v>
      </c>
      <c r="AW1" s="2" t="s">
        <v>158</v>
      </c>
      <c r="AX1" s="2" t="s">
        <v>159</v>
      </c>
      <c r="AY1" s="2" t="s">
        <v>160</v>
      </c>
      <c r="AZ1" s="2" t="s">
        <v>161</v>
      </c>
      <c r="BA1" s="2" t="s">
        <v>162</v>
      </c>
      <c r="BB1" s="2" t="s">
        <v>163</v>
      </c>
      <c r="BC1" s="2" t="s">
        <v>164</v>
      </c>
    </row>
    <row r="2" spans="1:55">
      <c r="A2" s="1">
        <v>1001</v>
      </c>
      <c r="B2" s="1" t="s">
        <v>29</v>
      </c>
      <c r="C2" t="s">
        <v>165</v>
      </c>
      <c r="D2">
        <v>277764</v>
      </c>
      <c r="E2">
        <v>265500</v>
      </c>
      <c r="F2">
        <v>262632</v>
      </c>
      <c r="G2">
        <v>102216</v>
      </c>
      <c r="H2">
        <v>2698</v>
      </c>
      <c r="I2">
        <v>2649</v>
      </c>
      <c r="J2">
        <v>2482</v>
      </c>
      <c r="K2">
        <v>2472</v>
      </c>
      <c r="L2">
        <v>2463</v>
      </c>
      <c r="M2">
        <v>547</v>
      </c>
      <c r="N2">
        <v>1517</v>
      </c>
      <c r="O2">
        <v>53</v>
      </c>
      <c r="P2">
        <v>86</v>
      </c>
      <c r="Q2">
        <v>38541</v>
      </c>
      <c r="R2">
        <v>7265</v>
      </c>
      <c r="S2">
        <v>29957</v>
      </c>
      <c r="T2">
        <v>1300</v>
      </c>
      <c r="U2">
        <v>889</v>
      </c>
      <c r="V2">
        <v>1026</v>
      </c>
      <c r="W2">
        <v>13380</v>
      </c>
      <c r="X2">
        <v>5675</v>
      </c>
      <c r="Y2">
        <v>5624</v>
      </c>
      <c r="Z2">
        <v>8258</v>
      </c>
      <c r="AA2">
        <v>2276</v>
      </c>
      <c r="AB2">
        <v>5095</v>
      </c>
      <c r="AC2">
        <v>42</v>
      </c>
      <c r="AD2">
        <v>4884</v>
      </c>
      <c r="AE2">
        <v>5749</v>
      </c>
      <c r="AF2">
        <v>106</v>
      </c>
      <c r="AG2">
        <v>58069</v>
      </c>
      <c r="AH2">
        <v>55511</v>
      </c>
      <c r="AI2">
        <v>301</v>
      </c>
      <c r="AJ2">
        <v>176</v>
      </c>
      <c r="AK2">
        <v>53861</v>
      </c>
      <c r="AL2">
        <v>32786</v>
      </c>
      <c r="AM2">
        <v>130</v>
      </c>
      <c r="AN2">
        <v>19853</v>
      </c>
      <c r="AO2">
        <v>15656</v>
      </c>
      <c r="AP2">
        <v>3132</v>
      </c>
      <c r="AQ2">
        <v>7645</v>
      </c>
      <c r="AR2">
        <v>6090</v>
      </c>
      <c r="AS2">
        <v>1144</v>
      </c>
      <c r="AT2">
        <v>201</v>
      </c>
      <c r="AU2">
        <v>19694</v>
      </c>
      <c r="AV2">
        <v>1655</v>
      </c>
      <c r="AW2">
        <v>130</v>
      </c>
      <c r="AX2">
        <v>7234</v>
      </c>
      <c r="AY2">
        <v>298</v>
      </c>
      <c r="AZ2">
        <v>6835</v>
      </c>
      <c r="BA2">
        <v>11340</v>
      </c>
      <c r="BB2">
        <v>5716</v>
      </c>
      <c r="BC2">
        <v>154</v>
      </c>
    </row>
    <row r="3" spans="1:55">
      <c r="A3" s="1">
        <v>1003</v>
      </c>
      <c r="B3" s="1" t="s">
        <v>29</v>
      </c>
      <c r="C3" t="s">
        <v>166</v>
      </c>
      <c r="D3">
        <v>321845</v>
      </c>
      <c r="E3">
        <v>314310</v>
      </c>
      <c r="F3">
        <v>309191</v>
      </c>
      <c r="G3">
        <v>181785</v>
      </c>
      <c r="H3">
        <v>3329</v>
      </c>
      <c r="I3">
        <v>3197</v>
      </c>
      <c r="J3">
        <v>2976</v>
      </c>
      <c r="K3">
        <v>2935</v>
      </c>
      <c r="L3">
        <v>2904</v>
      </c>
      <c r="M3">
        <v>1162</v>
      </c>
      <c r="N3">
        <v>407</v>
      </c>
      <c r="O3">
        <v>9</v>
      </c>
      <c r="P3">
        <v>20</v>
      </c>
      <c r="Q3">
        <v>90578</v>
      </c>
      <c r="R3">
        <v>35124</v>
      </c>
      <c r="S3">
        <v>51872</v>
      </c>
      <c r="T3">
        <v>1659</v>
      </c>
      <c r="U3">
        <v>927</v>
      </c>
      <c r="V3">
        <v>2509</v>
      </c>
      <c r="W3">
        <v>21579</v>
      </c>
      <c r="X3">
        <v>11303</v>
      </c>
      <c r="Y3">
        <v>10861</v>
      </c>
      <c r="Z3">
        <v>13356</v>
      </c>
      <c r="AA3">
        <v>2863</v>
      </c>
      <c r="AB3">
        <v>8637</v>
      </c>
      <c r="AC3">
        <v>317</v>
      </c>
      <c r="AD3">
        <v>6310</v>
      </c>
      <c r="AE3">
        <v>9556</v>
      </c>
      <c r="AF3">
        <v>122</v>
      </c>
      <c r="AG3">
        <v>82123</v>
      </c>
      <c r="AH3">
        <v>75753</v>
      </c>
      <c r="AI3">
        <v>618</v>
      </c>
      <c r="AJ3">
        <v>651</v>
      </c>
      <c r="AK3">
        <v>72429</v>
      </c>
      <c r="AL3">
        <v>46060</v>
      </c>
      <c r="AM3">
        <v>125</v>
      </c>
      <c r="AN3">
        <v>38228</v>
      </c>
      <c r="AO3">
        <v>36081</v>
      </c>
      <c r="AP3">
        <v>1486</v>
      </c>
      <c r="AQ3">
        <v>5701</v>
      </c>
      <c r="AR3">
        <v>2403</v>
      </c>
      <c r="AS3">
        <v>5549</v>
      </c>
      <c r="AT3">
        <v>3054</v>
      </c>
      <c r="AU3">
        <v>24060</v>
      </c>
      <c r="AV3">
        <v>3824</v>
      </c>
      <c r="AW3">
        <v>736</v>
      </c>
      <c r="AX3">
        <v>8187</v>
      </c>
      <c r="AY3">
        <v>89</v>
      </c>
      <c r="AZ3">
        <v>7976</v>
      </c>
      <c r="BA3">
        <v>15216</v>
      </c>
      <c r="BB3">
        <v>788</v>
      </c>
      <c r="BC3">
        <v>165</v>
      </c>
    </row>
    <row r="4" spans="1:55">
      <c r="A4" s="1">
        <v>1004</v>
      </c>
      <c r="B4" s="1" t="s">
        <v>29</v>
      </c>
      <c r="C4" t="s">
        <v>167</v>
      </c>
      <c r="D4">
        <v>303378</v>
      </c>
      <c r="E4">
        <v>294206</v>
      </c>
      <c r="F4">
        <v>293104</v>
      </c>
      <c r="G4">
        <v>123429</v>
      </c>
      <c r="H4">
        <v>1998</v>
      </c>
      <c r="I4">
        <v>1955</v>
      </c>
      <c r="J4">
        <v>1890</v>
      </c>
      <c r="K4">
        <v>1861</v>
      </c>
      <c r="L4">
        <v>1855</v>
      </c>
      <c r="M4">
        <v>613</v>
      </c>
      <c r="N4">
        <v>927</v>
      </c>
      <c r="O4">
        <v>22</v>
      </c>
      <c r="P4">
        <v>32</v>
      </c>
      <c r="Q4">
        <v>29560</v>
      </c>
      <c r="R4">
        <v>2362</v>
      </c>
      <c r="S4">
        <v>26672</v>
      </c>
      <c r="T4">
        <v>1932</v>
      </c>
      <c r="U4">
        <v>3761</v>
      </c>
      <c r="V4">
        <v>4628</v>
      </c>
      <c r="W4">
        <v>9325</v>
      </c>
      <c r="X4">
        <v>247</v>
      </c>
      <c r="Y4">
        <v>234</v>
      </c>
      <c r="Z4">
        <v>3798</v>
      </c>
      <c r="AA4">
        <v>831</v>
      </c>
      <c r="AB4">
        <v>2116</v>
      </c>
      <c r="AC4">
        <v>104</v>
      </c>
      <c r="AD4">
        <v>1905</v>
      </c>
      <c r="AE4">
        <v>12819</v>
      </c>
      <c r="AF4">
        <v>385</v>
      </c>
      <c r="AG4">
        <v>89371</v>
      </c>
      <c r="AH4">
        <v>81626</v>
      </c>
      <c r="AI4">
        <v>368</v>
      </c>
      <c r="AJ4">
        <v>1572</v>
      </c>
      <c r="AK4">
        <v>77563</v>
      </c>
      <c r="AL4">
        <v>35933</v>
      </c>
      <c r="AM4">
        <v>693</v>
      </c>
      <c r="AN4">
        <v>11210</v>
      </c>
      <c r="AO4">
        <v>2531</v>
      </c>
      <c r="AP4">
        <v>7689</v>
      </c>
      <c r="AQ4">
        <v>22284</v>
      </c>
      <c r="AR4">
        <v>22077</v>
      </c>
      <c r="AS4">
        <v>1226</v>
      </c>
      <c r="AT4">
        <v>243</v>
      </c>
      <c r="AU4">
        <v>38816</v>
      </c>
      <c r="AV4">
        <v>5337</v>
      </c>
      <c r="AW4">
        <v>346</v>
      </c>
      <c r="AX4">
        <v>764</v>
      </c>
      <c r="AY4">
        <v>401</v>
      </c>
      <c r="AZ4">
        <v>306</v>
      </c>
      <c r="BA4">
        <v>37407</v>
      </c>
      <c r="BB4">
        <v>14084</v>
      </c>
      <c r="BC4">
        <v>126</v>
      </c>
    </row>
    <row r="5" spans="1:55">
      <c r="A5" s="1">
        <v>1008</v>
      </c>
      <c r="B5" s="1" t="s">
        <v>29</v>
      </c>
      <c r="C5" t="s">
        <v>168</v>
      </c>
      <c r="D5">
        <v>47011</v>
      </c>
      <c r="E5">
        <v>45318</v>
      </c>
      <c r="F5">
        <v>44254</v>
      </c>
      <c r="G5">
        <v>27384</v>
      </c>
      <c r="H5">
        <v>190</v>
      </c>
      <c r="I5">
        <v>182</v>
      </c>
      <c r="J5">
        <v>169</v>
      </c>
      <c r="K5">
        <v>165</v>
      </c>
      <c r="L5">
        <v>163</v>
      </c>
      <c r="M5">
        <v>44</v>
      </c>
      <c r="N5">
        <v>104</v>
      </c>
      <c r="O5">
        <v>0</v>
      </c>
      <c r="P5">
        <v>0</v>
      </c>
      <c r="Q5">
        <v>13407</v>
      </c>
      <c r="R5">
        <v>3105</v>
      </c>
      <c r="S5">
        <v>9778</v>
      </c>
      <c r="T5">
        <v>647</v>
      </c>
      <c r="U5">
        <v>266</v>
      </c>
      <c r="V5">
        <v>438</v>
      </c>
      <c r="W5">
        <v>4268</v>
      </c>
      <c r="X5">
        <v>564</v>
      </c>
      <c r="Y5">
        <v>516</v>
      </c>
      <c r="Z5">
        <v>2355</v>
      </c>
      <c r="AA5">
        <v>374</v>
      </c>
      <c r="AB5">
        <v>1642</v>
      </c>
      <c r="AC5">
        <v>13</v>
      </c>
      <c r="AD5">
        <v>1617</v>
      </c>
      <c r="AE5">
        <v>2487</v>
      </c>
      <c r="AF5">
        <v>61</v>
      </c>
      <c r="AG5">
        <v>13320</v>
      </c>
      <c r="AH5">
        <v>12779</v>
      </c>
      <c r="AI5">
        <v>221</v>
      </c>
      <c r="AJ5">
        <v>168</v>
      </c>
      <c r="AK5">
        <v>11903</v>
      </c>
      <c r="AL5">
        <v>9575</v>
      </c>
      <c r="AM5">
        <v>12</v>
      </c>
      <c r="AN5">
        <v>7111</v>
      </c>
      <c r="AO5">
        <v>2140</v>
      </c>
      <c r="AP5">
        <v>4244</v>
      </c>
      <c r="AQ5">
        <v>1849</v>
      </c>
      <c r="AR5">
        <v>1802</v>
      </c>
      <c r="AS5">
        <v>826</v>
      </c>
      <c r="AT5">
        <v>357</v>
      </c>
      <c r="AU5">
        <v>2032</v>
      </c>
      <c r="AV5">
        <v>325</v>
      </c>
      <c r="AW5">
        <v>91</v>
      </c>
      <c r="AX5">
        <v>1281</v>
      </c>
      <c r="AY5">
        <v>85</v>
      </c>
      <c r="AZ5">
        <v>1159</v>
      </c>
      <c r="BA5">
        <v>679</v>
      </c>
      <c r="BB5">
        <v>496</v>
      </c>
      <c r="BC5">
        <v>3</v>
      </c>
    </row>
    <row r="6" spans="1:55">
      <c r="A6" s="1">
        <v>1012</v>
      </c>
      <c r="B6" s="1" t="s">
        <v>29</v>
      </c>
      <c r="C6" t="s">
        <v>170</v>
      </c>
      <c r="D6">
        <v>270926</v>
      </c>
      <c r="E6">
        <v>265202</v>
      </c>
      <c r="F6">
        <v>261135</v>
      </c>
      <c r="G6">
        <v>167832</v>
      </c>
      <c r="H6">
        <v>1547</v>
      </c>
      <c r="I6">
        <v>1516</v>
      </c>
      <c r="J6">
        <v>1454</v>
      </c>
      <c r="K6">
        <v>1439</v>
      </c>
      <c r="L6">
        <v>1432</v>
      </c>
      <c r="M6">
        <v>639</v>
      </c>
      <c r="N6">
        <v>612</v>
      </c>
      <c r="O6">
        <v>16</v>
      </c>
      <c r="P6">
        <v>20</v>
      </c>
      <c r="Q6">
        <v>100530</v>
      </c>
      <c r="R6">
        <v>24253</v>
      </c>
      <c r="S6">
        <v>71034</v>
      </c>
      <c r="T6">
        <v>2153</v>
      </c>
      <c r="U6">
        <v>2647</v>
      </c>
      <c r="V6">
        <v>4370</v>
      </c>
      <c r="W6">
        <v>27309</v>
      </c>
      <c r="X6">
        <v>9535</v>
      </c>
      <c r="Y6">
        <v>9282</v>
      </c>
      <c r="Z6">
        <v>21634</v>
      </c>
      <c r="AA6">
        <v>4506</v>
      </c>
      <c r="AB6">
        <v>13647</v>
      </c>
      <c r="AC6">
        <v>155</v>
      </c>
      <c r="AD6">
        <v>12386</v>
      </c>
      <c r="AE6">
        <v>15506</v>
      </c>
      <c r="AF6">
        <v>214</v>
      </c>
      <c r="AG6">
        <v>63098</v>
      </c>
      <c r="AH6">
        <v>60720</v>
      </c>
      <c r="AI6">
        <v>522</v>
      </c>
      <c r="AJ6">
        <v>519</v>
      </c>
      <c r="AK6">
        <v>57375</v>
      </c>
      <c r="AL6">
        <v>25309</v>
      </c>
      <c r="AM6">
        <v>208</v>
      </c>
      <c r="AN6">
        <v>12451</v>
      </c>
      <c r="AO6">
        <v>7555</v>
      </c>
      <c r="AP6">
        <v>3972</v>
      </c>
      <c r="AQ6">
        <v>10943</v>
      </c>
      <c r="AR6">
        <v>10584</v>
      </c>
      <c r="AS6">
        <v>2019</v>
      </c>
      <c r="AT6">
        <v>434</v>
      </c>
      <c r="AU6">
        <v>29360</v>
      </c>
      <c r="AV6">
        <v>5302</v>
      </c>
      <c r="AW6">
        <v>760</v>
      </c>
      <c r="AX6">
        <v>12353</v>
      </c>
      <c r="AY6">
        <v>888</v>
      </c>
      <c r="AZ6">
        <v>11077</v>
      </c>
      <c r="BA6">
        <v>15587</v>
      </c>
      <c r="BB6">
        <v>10183</v>
      </c>
      <c r="BC6">
        <v>21</v>
      </c>
    </row>
    <row r="7" spans="1:55">
      <c r="A7" s="1">
        <v>1013</v>
      </c>
      <c r="B7" s="1" t="s">
        <v>29</v>
      </c>
      <c r="C7" t="s">
        <v>171</v>
      </c>
      <c r="D7">
        <v>36817</v>
      </c>
      <c r="E7">
        <v>34554</v>
      </c>
      <c r="F7">
        <v>33806</v>
      </c>
      <c r="G7">
        <v>10634</v>
      </c>
      <c r="H7">
        <v>215</v>
      </c>
      <c r="I7">
        <v>215</v>
      </c>
      <c r="J7">
        <v>203</v>
      </c>
      <c r="K7">
        <v>203</v>
      </c>
      <c r="L7">
        <v>203</v>
      </c>
      <c r="M7">
        <v>119</v>
      </c>
      <c r="N7">
        <v>60</v>
      </c>
      <c r="O7">
        <v>8</v>
      </c>
      <c r="P7">
        <v>4</v>
      </c>
      <c r="Q7">
        <v>5790</v>
      </c>
      <c r="R7">
        <v>1094</v>
      </c>
      <c r="S7">
        <v>4532</v>
      </c>
      <c r="T7">
        <v>435</v>
      </c>
      <c r="U7">
        <v>813</v>
      </c>
      <c r="V7">
        <v>923</v>
      </c>
      <c r="W7">
        <v>785</v>
      </c>
      <c r="X7">
        <v>219</v>
      </c>
      <c r="Y7">
        <v>182</v>
      </c>
      <c r="Z7">
        <v>892</v>
      </c>
      <c r="AA7">
        <v>130</v>
      </c>
      <c r="AB7">
        <v>596</v>
      </c>
      <c r="AC7">
        <v>59</v>
      </c>
      <c r="AD7">
        <v>458</v>
      </c>
      <c r="AE7">
        <v>2512</v>
      </c>
      <c r="AF7">
        <v>10</v>
      </c>
      <c r="AG7">
        <v>4397</v>
      </c>
      <c r="AH7">
        <v>4172</v>
      </c>
      <c r="AI7">
        <v>68</v>
      </c>
      <c r="AJ7">
        <v>103</v>
      </c>
      <c r="AK7">
        <v>3741</v>
      </c>
      <c r="AL7">
        <v>2651</v>
      </c>
      <c r="AM7">
        <v>12</v>
      </c>
      <c r="AN7">
        <v>1277</v>
      </c>
      <c r="AO7">
        <v>241</v>
      </c>
      <c r="AP7">
        <v>956</v>
      </c>
      <c r="AQ7">
        <v>1103</v>
      </c>
      <c r="AR7">
        <v>1096</v>
      </c>
      <c r="AS7">
        <v>206</v>
      </c>
      <c r="AT7">
        <v>74</v>
      </c>
      <c r="AU7">
        <v>939</v>
      </c>
      <c r="AV7">
        <v>227</v>
      </c>
      <c r="AW7">
        <v>66</v>
      </c>
      <c r="AX7">
        <v>190</v>
      </c>
      <c r="AY7">
        <v>75</v>
      </c>
      <c r="AZ7">
        <v>105</v>
      </c>
      <c r="BA7">
        <v>693</v>
      </c>
      <c r="BB7">
        <v>438</v>
      </c>
      <c r="BC7">
        <v>3</v>
      </c>
    </row>
    <row r="8" spans="1:55">
      <c r="A8" s="1">
        <v>1014</v>
      </c>
      <c r="B8" s="1" t="s">
        <v>29</v>
      </c>
      <c r="C8" t="s">
        <v>172</v>
      </c>
      <c r="D8">
        <v>112228</v>
      </c>
      <c r="E8">
        <v>110574</v>
      </c>
      <c r="F8">
        <v>108857</v>
      </c>
      <c r="G8">
        <v>49789</v>
      </c>
      <c r="H8">
        <v>975</v>
      </c>
      <c r="I8">
        <v>936</v>
      </c>
      <c r="J8">
        <v>914</v>
      </c>
      <c r="K8">
        <v>908</v>
      </c>
      <c r="L8">
        <v>907</v>
      </c>
      <c r="M8">
        <v>749</v>
      </c>
      <c r="N8">
        <v>26</v>
      </c>
      <c r="O8">
        <v>0</v>
      </c>
      <c r="P8">
        <v>0</v>
      </c>
      <c r="Q8">
        <v>20845</v>
      </c>
      <c r="R8">
        <v>3782</v>
      </c>
      <c r="S8">
        <v>16514</v>
      </c>
      <c r="T8">
        <v>2447</v>
      </c>
      <c r="U8">
        <v>1124</v>
      </c>
      <c r="V8">
        <v>1219</v>
      </c>
      <c r="W8">
        <v>6527</v>
      </c>
      <c r="X8">
        <v>4609</v>
      </c>
      <c r="Y8">
        <v>4424</v>
      </c>
      <c r="Z8">
        <v>2183</v>
      </c>
      <c r="AA8">
        <v>369</v>
      </c>
      <c r="AB8">
        <v>955</v>
      </c>
      <c r="AC8">
        <v>167</v>
      </c>
      <c r="AD8">
        <v>646</v>
      </c>
      <c r="AE8">
        <v>6180</v>
      </c>
      <c r="AF8">
        <v>94</v>
      </c>
      <c r="AG8">
        <v>27126</v>
      </c>
      <c r="AH8">
        <v>25648</v>
      </c>
      <c r="AI8">
        <v>195</v>
      </c>
      <c r="AJ8">
        <v>1019</v>
      </c>
      <c r="AK8">
        <v>23619</v>
      </c>
      <c r="AL8">
        <v>17982</v>
      </c>
      <c r="AM8">
        <v>56</v>
      </c>
      <c r="AN8">
        <v>13351</v>
      </c>
      <c r="AO8">
        <v>6052</v>
      </c>
      <c r="AP8">
        <v>5873</v>
      </c>
      <c r="AQ8">
        <v>3827</v>
      </c>
      <c r="AR8">
        <v>3768</v>
      </c>
      <c r="AS8">
        <v>1661</v>
      </c>
      <c r="AT8">
        <v>438</v>
      </c>
      <c r="AU8">
        <v>5083</v>
      </c>
      <c r="AV8">
        <v>1141</v>
      </c>
      <c r="AW8">
        <v>231</v>
      </c>
      <c r="AX8">
        <v>409</v>
      </c>
      <c r="AY8">
        <v>127</v>
      </c>
      <c r="AZ8">
        <v>257</v>
      </c>
      <c r="BA8">
        <v>4579</v>
      </c>
      <c r="BB8">
        <v>3318</v>
      </c>
      <c r="BC8">
        <v>7</v>
      </c>
    </row>
    <row r="9" spans="1:55">
      <c r="A9" s="1">
        <v>1015</v>
      </c>
      <c r="B9" s="1" t="s">
        <v>29</v>
      </c>
      <c r="C9" t="s">
        <v>173</v>
      </c>
      <c r="D9">
        <v>34385</v>
      </c>
      <c r="E9">
        <v>33666</v>
      </c>
      <c r="F9">
        <v>33296</v>
      </c>
      <c r="G9">
        <v>27707</v>
      </c>
      <c r="H9">
        <v>21</v>
      </c>
      <c r="I9">
        <v>21</v>
      </c>
      <c r="J9">
        <v>18</v>
      </c>
      <c r="K9">
        <v>18</v>
      </c>
      <c r="L9">
        <v>17</v>
      </c>
      <c r="M9">
        <v>7</v>
      </c>
      <c r="N9">
        <v>9</v>
      </c>
      <c r="O9">
        <v>0</v>
      </c>
      <c r="P9">
        <v>0</v>
      </c>
      <c r="Q9">
        <v>9378</v>
      </c>
      <c r="R9">
        <v>650</v>
      </c>
      <c r="S9">
        <v>8646</v>
      </c>
      <c r="T9">
        <v>486</v>
      </c>
      <c r="U9">
        <v>957</v>
      </c>
      <c r="V9">
        <v>1716</v>
      </c>
      <c r="W9">
        <v>4430</v>
      </c>
      <c r="X9">
        <v>2388</v>
      </c>
      <c r="Y9">
        <v>2368</v>
      </c>
      <c r="Z9">
        <v>585</v>
      </c>
      <c r="AA9">
        <v>193</v>
      </c>
      <c r="AB9">
        <v>357</v>
      </c>
      <c r="AC9">
        <v>160</v>
      </c>
      <c r="AD9">
        <v>166</v>
      </c>
      <c r="AE9">
        <v>3158</v>
      </c>
      <c r="AF9">
        <v>14</v>
      </c>
      <c r="AG9">
        <v>18081</v>
      </c>
      <c r="AH9">
        <v>17641</v>
      </c>
      <c r="AI9">
        <v>104</v>
      </c>
      <c r="AJ9">
        <v>15</v>
      </c>
      <c r="AK9">
        <v>17232</v>
      </c>
      <c r="AL9">
        <v>12711</v>
      </c>
      <c r="AM9">
        <v>47</v>
      </c>
      <c r="AN9">
        <v>8536</v>
      </c>
      <c r="AO9">
        <v>4280</v>
      </c>
      <c r="AP9">
        <v>3552</v>
      </c>
      <c r="AQ9">
        <v>3064</v>
      </c>
      <c r="AR9">
        <v>2988</v>
      </c>
      <c r="AS9">
        <v>669</v>
      </c>
      <c r="AT9">
        <v>502</v>
      </c>
      <c r="AU9">
        <v>4126</v>
      </c>
      <c r="AV9">
        <v>165</v>
      </c>
      <c r="AW9">
        <v>136</v>
      </c>
      <c r="AX9">
        <v>3792</v>
      </c>
      <c r="AY9">
        <v>67</v>
      </c>
      <c r="AZ9">
        <v>3653</v>
      </c>
      <c r="BA9">
        <v>200</v>
      </c>
      <c r="BB9">
        <v>146</v>
      </c>
      <c r="BC9">
        <v>2</v>
      </c>
    </row>
    <row r="10" spans="1:55">
      <c r="A10" s="1">
        <v>1016</v>
      </c>
      <c r="B10" s="1" t="s">
        <v>29</v>
      </c>
      <c r="C10" t="s">
        <v>174</v>
      </c>
      <c r="D10">
        <v>68990</v>
      </c>
      <c r="E10">
        <v>66382</v>
      </c>
      <c r="F10">
        <v>62287</v>
      </c>
      <c r="G10">
        <v>24096</v>
      </c>
      <c r="H10">
        <v>2069</v>
      </c>
      <c r="I10">
        <v>2063</v>
      </c>
      <c r="J10">
        <v>2052</v>
      </c>
      <c r="K10">
        <v>2051</v>
      </c>
      <c r="L10">
        <v>2051</v>
      </c>
      <c r="M10">
        <v>1541</v>
      </c>
      <c r="N10">
        <v>330</v>
      </c>
      <c r="O10">
        <v>0</v>
      </c>
      <c r="P10">
        <v>3</v>
      </c>
      <c r="Q10">
        <v>9198</v>
      </c>
      <c r="R10">
        <v>1354</v>
      </c>
      <c r="S10">
        <v>7746</v>
      </c>
      <c r="T10">
        <v>485</v>
      </c>
      <c r="U10">
        <v>230</v>
      </c>
      <c r="V10">
        <v>662</v>
      </c>
      <c r="W10">
        <v>2203</v>
      </c>
      <c r="X10">
        <v>566</v>
      </c>
      <c r="Y10">
        <v>491</v>
      </c>
      <c r="Z10">
        <v>1667</v>
      </c>
      <c r="AA10">
        <v>720</v>
      </c>
      <c r="AB10">
        <v>660</v>
      </c>
      <c r="AC10">
        <v>262</v>
      </c>
      <c r="AD10">
        <v>369</v>
      </c>
      <c r="AE10">
        <v>3017</v>
      </c>
      <c r="AF10">
        <v>35</v>
      </c>
      <c r="AG10">
        <v>12328</v>
      </c>
      <c r="AH10">
        <v>11598</v>
      </c>
      <c r="AI10">
        <v>134</v>
      </c>
      <c r="AJ10">
        <v>524</v>
      </c>
      <c r="AK10">
        <v>10499</v>
      </c>
      <c r="AL10">
        <v>6185</v>
      </c>
      <c r="AM10">
        <v>10</v>
      </c>
      <c r="AN10">
        <v>4949</v>
      </c>
      <c r="AO10">
        <v>711</v>
      </c>
      <c r="AP10">
        <v>3833</v>
      </c>
      <c r="AQ10">
        <v>1000</v>
      </c>
      <c r="AR10">
        <v>984</v>
      </c>
      <c r="AS10">
        <v>741</v>
      </c>
      <c r="AT10">
        <v>395</v>
      </c>
      <c r="AU10">
        <v>3931</v>
      </c>
      <c r="AV10">
        <v>1005</v>
      </c>
      <c r="AW10">
        <v>184</v>
      </c>
      <c r="AX10">
        <v>594</v>
      </c>
      <c r="AY10">
        <v>386</v>
      </c>
      <c r="AZ10">
        <v>164</v>
      </c>
      <c r="BA10">
        <v>3159</v>
      </c>
      <c r="BB10">
        <v>2169</v>
      </c>
      <c r="BC10">
        <v>14</v>
      </c>
    </row>
    <row r="11" spans="1:55">
      <c r="A11" s="1">
        <v>1020</v>
      </c>
      <c r="B11" s="1" t="s">
        <v>29</v>
      </c>
      <c r="C11" t="s">
        <v>175</v>
      </c>
      <c r="D11">
        <v>120938</v>
      </c>
      <c r="E11">
        <v>118043</v>
      </c>
      <c r="F11">
        <v>117453</v>
      </c>
      <c r="G11">
        <v>95879</v>
      </c>
      <c r="H11">
        <v>1432</v>
      </c>
      <c r="I11">
        <v>1414</v>
      </c>
      <c r="J11">
        <v>1371</v>
      </c>
      <c r="K11">
        <v>1362</v>
      </c>
      <c r="L11">
        <v>1361</v>
      </c>
      <c r="M11">
        <v>806</v>
      </c>
      <c r="N11">
        <v>380</v>
      </c>
      <c r="O11">
        <v>26</v>
      </c>
      <c r="P11">
        <v>6</v>
      </c>
      <c r="Q11">
        <v>40720</v>
      </c>
      <c r="R11">
        <v>4743</v>
      </c>
      <c r="S11">
        <v>34778</v>
      </c>
      <c r="T11">
        <v>1331</v>
      </c>
      <c r="U11">
        <v>1857</v>
      </c>
      <c r="V11">
        <v>4280</v>
      </c>
      <c r="W11">
        <v>16106</v>
      </c>
      <c r="X11">
        <v>7580</v>
      </c>
      <c r="Y11">
        <v>7465</v>
      </c>
      <c r="Z11">
        <v>3794</v>
      </c>
      <c r="AA11">
        <v>601</v>
      </c>
      <c r="AB11">
        <v>2570</v>
      </c>
      <c r="AC11">
        <v>476</v>
      </c>
      <c r="AD11">
        <v>1879</v>
      </c>
      <c r="AE11">
        <v>12354</v>
      </c>
      <c r="AF11">
        <v>58</v>
      </c>
      <c r="AG11">
        <v>52416</v>
      </c>
      <c r="AH11">
        <v>50097</v>
      </c>
      <c r="AI11">
        <v>724</v>
      </c>
      <c r="AJ11">
        <v>513</v>
      </c>
      <c r="AK11">
        <v>46234</v>
      </c>
      <c r="AL11">
        <v>25558</v>
      </c>
      <c r="AM11">
        <v>655</v>
      </c>
      <c r="AN11">
        <v>14495</v>
      </c>
      <c r="AO11">
        <v>3917</v>
      </c>
      <c r="AP11">
        <v>9535</v>
      </c>
      <c r="AQ11">
        <v>9685</v>
      </c>
      <c r="AR11">
        <v>9643</v>
      </c>
      <c r="AS11">
        <v>2797</v>
      </c>
      <c r="AT11">
        <v>720</v>
      </c>
      <c r="AU11">
        <v>18289</v>
      </c>
      <c r="AV11">
        <v>4047</v>
      </c>
      <c r="AW11">
        <v>967</v>
      </c>
      <c r="AX11">
        <v>4293</v>
      </c>
      <c r="AY11">
        <v>1267</v>
      </c>
      <c r="AZ11">
        <v>2868</v>
      </c>
      <c r="BA11">
        <v>12911</v>
      </c>
      <c r="BB11">
        <v>8578</v>
      </c>
      <c r="BC11">
        <v>73</v>
      </c>
    </row>
    <row r="12" spans="1:55">
      <c r="A12" s="1">
        <v>1021</v>
      </c>
      <c r="B12" s="1" t="s">
        <v>29</v>
      </c>
      <c r="C12" t="s">
        <v>176</v>
      </c>
      <c r="D12">
        <v>36221</v>
      </c>
      <c r="E12">
        <v>34723</v>
      </c>
      <c r="F12">
        <v>34052</v>
      </c>
      <c r="G12">
        <v>25348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8936</v>
      </c>
      <c r="R12">
        <v>2132</v>
      </c>
      <c r="S12">
        <v>6627</v>
      </c>
      <c r="T12">
        <v>753</v>
      </c>
      <c r="U12">
        <v>2379</v>
      </c>
      <c r="V12">
        <v>3468</v>
      </c>
      <c r="W12">
        <v>552</v>
      </c>
      <c r="X12">
        <v>116</v>
      </c>
      <c r="Y12">
        <v>85</v>
      </c>
      <c r="Z12">
        <v>1790</v>
      </c>
      <c r="AA12">
        <v>25</v>
      </c>
      <c r="AB12">
        <v>263</v>
      </c>
      <c r="AC12">
        <v>83</v>
      </c>
      <c r="AD12">
        <v>154</v>
      </c>
      <c r="AE12">
        <v>3893</v>
      </c>
      <c r="AF12">
        <v>49</v>
      </c>
      <c r="AG12">
        <v>16346</v>
      </c>
      <c r="AH12">
        <v>14272</v>
      </c>
      <c r="AI12">
        <v>499</v>
      </c>
      <c r="AJ12">
        <v>99</v>
      </c>
      <c r="AK12">
        <v>12810</v>
      </c>
      <c r="AL12">
        <v>10079</v>
      </c>
      <c r="AM12">
        <v>45</v>
      </c>
      <c r="AN12">
        <v>4337</v>
      </c>
      <c r="AO12">
        <v>1711</v>
      </c>
      <c r="AP12">
        <v>2272</v>
      </c>
      <c r="AQ12">
        <v>4664</v>
      </c>
      <c r="AR12">
        <v>4636</v>
      </c>
      <c r="AS12">
        <v>835</v>
      </c>
      <c r="AT12">
        <v>582</v>
      </c>
      <c r="AU12">
        <v>2184</v>
      </c>
      <c r="AV12">
        <v>136</v>
      </c>
      <c r="AW12">
        <v>122</v>
      </c>
      <c r="AX12">
        <v>605</v>
      </c>
      <c r="AY12">
        <v>217</v>
      </c>
      <c r="AZ12">
        <v>365</v>
      </c>
      <c r="BA12">
        <v>1283</v>
      </c>
      <c r="BB12">
        <v>1030</v>
      </c>
      <c r="BC12">
        <v>15</v>
      </c>
    </row>
    <row r="13" spans="1:55">
      <c r="A13" s="1">
        <v>1022</v>
      </c>
      <c r="B13" s="1" t="s">
        <v>29</v>
      </c>
      <c r="C13" t="s">
        <v>177</v>
      </c>
      <c r="D13">
        <v>214901</v>
      </c>
      <c r="E13">
        <v>208043</v>
      </c>
      <c r="F13">
        <v>204524</v>
      </c>
      <c r="G13">
        <v>115766</v>
      </c>
      <c r="H13">
        <v>1203</v>
      </c>
      <c r="I13">
        <v>1147</v>
      </c>
      <c r="J13">
        <v>1114</v>
      </c>
      <c r="K13">
        <v>1106</v>
      </c>
      <c r="L13">
        <v>1103</v>
      </c>
      <c r="M13">
        <v>231</v>
      </c>
      <c r="N13">
        <v>777</v>
      </c>
      <c r="O13">
        <v>25</v>
      </c>
      <c r="P13">
        <v>12</v>
      </c>
      <c r="Q13">
        <v>69363</v>
      </c>
      <c r="R13">
        <v>26951</v>
      </c>
      <c r="S13">
        <v>35074</v>
      </c>
      <c r="T13">
        <v>2522</v>
      </c>
      <c r="U13">
        <v>2953</v>
      </c>
      <c r="V13">
        <v>3384</v>
      </c>
      <c r="W13">
        <v>13383</v>
      </c>
      <c r="X13">
        <v>3161</v>
      </c>
      <c r="Y13">
        <v>2853</v>
      </c>
      <c r="Z13">
        <v>8709</v>
      </c>
      <c r="AA13">
        <v>1677</v>
      </c>
      <c r="AB13">
        <v>5405</v>
      </c>
      <c r="AC13">
        <v>172</v>
      </c>
      <c r="AD13">
        <v>5126</v>
      </c>
      <c r="AE13">
        <v>10282</v>
      </c>
      <c r="AF13">
        <v>172</v>
      </c>
      <c r="AG13">
        <v>42430</v>
      </c>
      <c r="AH13">
        <v>40972</v>
      </c>
      <c r="AI13">
        <v>162</v>
      </c>
      <c r="AJ13">
        <v>339</v>
      </c>
      <c r="AK13">
        <v>39428</v>
      </c>
      <c r="AL13">
        <v>23898</v>
      </c>
      <c r="AM13">
        <v>55</v>
      </c>
      <c r="AN13">
        <v>17942</v>
      </c>
      <c r="AO13">
        <v>13786</v>
      </c>
      <c r="AP13">
        <v>3233</v>
      </c>
      <c r="AQ13">
        <v>4811</v>
      </c>
      <c r="AR13">
        <v>4592</v>
      </c>
      <c r="AS13">
        <v>1748</v>
      </c>
      <c r="AT13">
        <v>404</v>
      </c>
      <c r="AU13">
        <v>13083</v>
      </c>
      <c r="AV13">
        <v>3842</v>
      </c>
      <c r="AW13">
        <v>335</v>
      </c>
      <c r="AX13">
        <v>1852</v>
      </c>
      <c r="AY13">
        <v>421</v>
      </c>
      <c r="AZ13">
        <v>1377</v>
      </c>
      <c r="BA13">
        <v>10786</v>
      </c>
      <c r="BB13">
        <v>6785</v>
      </c>
      <c r="BC13">
        <v>26</v>
      </c>
    </row>
    <row r="14" spans="1:55">
      <c r="A14" s="1">
        <v>1023</v>
      </c>
      <c r="B14" s="1" t="s">
        <v>29</v>
      </c>
      <c r="C14" t="s">
        <v>178</v>
      </c>
      <c r="D14">
        <v>28053</v>
      </c>
      <c r="E14">
        <v>26751</v>
      </c>
      <c r="F14">
        <v>26457</v>
      </c>
      <c r="G14">
        <v>19753</v>
      </c>
      <c r="H14">
        <v>110</v>
      </c>
      <c r="I14">
        <v>109</v>
      </c>
      <c r="J14">
        <v>102</v>
      </c>
      <c r="K14">
        <v>102</v>
      </c>
      <c r="L14">
        <v>100</v>
      </c>
      <c r="M14">
        <v>13</v>
      </c>
      <c r="N14">
        <v>72</v>
      </c>
      <c r="O14">
        <v>0</v>
      </c>
      <c r="P14">
        <v>3</v>
      </c>
      <c r="Q14">
        <v>5381</v>
      </c>
      <c r="R14">
        <v>2032</v>
      </c>
      <c r="S14">
        <v>2813</v>
      </c>
      <c r="T14">
        <v>177</v>
      </c>
      <c r="U14">
        <v>127</v>
      </c>
      <c r="V14">
        <v>251</v>
      </c>
      <c r="W14">
        <v>1466</v>
      </c>
      <c r="X14">
        <v>634</v>
      </c>
      <c r="Y14">
        <v>581</v>
      </c>
      <c r="Z14">
        <v>219</v>
      </c>
      <c r="AA14">
        <v>30</v>
      </c>
      <c r="AB14">
        <v>147</v>
      </c>
      <c r="AC14">
        <v>40</v>
      </c>
      <c r="AD14">
        <v>92</v>
      </c>
      <c r="AE14">
        <v>950</v>
      </c>
      <c r="AF14">
        <v>16</v>
      </c>
      <c r="AG14">
        <v>14066</v>
      </c>
      <c r="AH14">
        <v>13023</v>
      </c>
      <c r="AI14">
        <v>169</v>
      </c>
      <c r="AJ14">
        <v>36</v>
      </c>
      <c r="AK14">
        <v>12502</v>
      </c>
      <c r="AL14">
        <v>9631</v>
      </c>
      <c r="AM14">
        <v>34</v>
      </c>
      <c r="AN14">
        <v>6550</v>
      </c>
      <c r="AO14">
        <v>1496</v>
      </c>
      <c r="AP14">
        <v>4677</v>
      </c>
      <c r="AQ14">
        <v>2236</v>
      </c>
      <c r="AR14">
        <v>2205</v>
      </c>
      <c r="AS14">
        <v>1214</v>
      </c>
      <c r="AT14">
        <v>880</v>
      </c>
      <c r="AU14">
        <v>2419</v>
      </c>
      <c r="AV14">
        <v>587</v>
      </c>
      <c r="AW14">
        <v>255</v>
      </c>
      <c r="AX14">
        <v>847</v>
      </c>
      <c r="AY14">
        <v>471</v>
      </c>
      <c r="AZ14">
        <v>342</v>
      </c>
      <c r="BA14">
        <v>1371</v>
      </c>
      <c r="BB14">
        <v>1113</v>
      </c>
      <c r="BC14">
        <v>44</v>
      </c>
    </row>
    <row r="15" spans="1:55">
      <c r="A15" s="1">
        <v>1026</v>
      </c>
      <c r="B15" s="1" t="s">
        <v>29</v>
      </c>
      <c r="C15" t="s">
        <v>179</v>
      </c>
      <c r="D15">
        <v>259455</v>
      </c>
      <c r="E15">
        <v>252631</v>
      </c>
      <c r="F15">
        <v>242041</v>
      </c>
      <c r="G15">
        <v>173053</v>
      </c>
      <c r="H15">
        <v>348</v>
      </c>
      <c r="I15">
        <v>337</v>
      </c>
      <c r="J15">
        <v>316</v>
      </c>
      <c r="K15">
        <v>313</v>
      </c>
      <c r="L15">
        <v>311</v>
      </c>
      <c r="M15">
        <v>145</v>
      </c>
      <c r="N15">
        <v>142</v>
      </c>
      <c r="O15">
        <v>16</v>
      </c>
      <c r="P15">
        <v>1</v>
      </c>
      <c r="Q15">
        <v>91092</v>
      </c>
      <c r="R15">
        <v>35108</v>
      </c>
      <c r="S15">
        <v>53897</v>
      </c>
      <c r="T15">
        <v>4116</v>
      </c>
      <c r="U15">
        <v>2535</v>
      </c>
      <c r="V15">
        <v>3082</v>
      </c>
      <c r="W15">
        <v>18819</v>
      </c>
      <c r="X15">
        <v>2263</v>
      </c>
      <c r="Y15">
        <v>2165</v>
      </c>
      <c r="Z15">
        <v>14814</v>
      </c>
      <c r="AA15">
        <v>2109</v>
      </c>
      <c r="AB15">
        <v>11865</v>
      </c>
      <c r="AC15">
        <v>800</v>
      </c>
      <c r="AD15">
        <v>10253</v>
      </c>
      <c r="AE15">
        <v>16059</v>
      </c>
      <c r="AF15">
        <v>180</v>
      </c>
      <c r="AG15">
        <v>80290</v>
      </c>
      <c r="AH15">
        <v>72422</v>
      </c>
      <c r="AI15">
        <v>658</v>
      </c>
      <c r="AJ15">
        <v>475</v>
      </c>
      <c r="AK15">
        <v>69674</v>
      </c>
      <c r="AL15">
        <v>47233</v>
      </c>
      <c r="AM15">
        <v>60</v>
      </c>
      <c r="AN15">
        <v>12537</v>
      </c>
      <c r="AO15">
        <v>1468</v>
      </c>
      <c r="AP15">
        <v>10548</v>
      </c>
      <c r="AQ15">
        <v>29598</v>
      </c>
      <c r="AR15">
        <v>29371</v>
      </c>
      <c r="AS15">
        <v>4043</v>
      </c>
      <c r="AT15">
        <v>788</v>
      </c>
      <c r="AU15">
        <v>19847</v>
      </c>
      <c r="AV15">
        <v>3939</v>
      </c>
      <c r="AW15">
        <v>434</v>
      </c>
      <c r="AX15">
        <v>2247</v>
      </c>
      <c r="AY15">
        <v>1386</v>
      </c>
      <c r="AZ15">
        <v>708</v>
      </c>
      <c r="BA15">
        <v>16317</v>
      </c>
      <c r="BB15">
        <v>12098</v>
      </c>
      <c r="BC15">
        <v>257</v>
      </c>
    </row>
    <row r="16" spans="1:55">
      <c r="A16" s="1">
        <v>1033</v>
      </c>
      <c r="B16" s="1" t="s">
        <v>29</v>
      </c>
      <c r="C16" t="s">
        <v>181</v>
      </c>
      <c r="D16">
        <v>128942</v>
      </c>
      <c r="E16">
        <v>125796</v>
      </c>
      <c r="F16">
        <v>122517</v>
      </c>
      <c r="G16">
        <v>55016</v>
      </c>
      <c r="H16">
        <v>301</v>
      </c>
      <c r="I16">
        <v>298</v>
      </c>
      <c r="J16">
        <v>283</v>
      </c>
      <c r="K16">
        <v>281</v>
      </c>
      <c r="L16">
        <v>280</v>
      </c>
      <c r="M16">
        <v>108</v>
      </c>
      <c r="N16">
        <v>26</v>
      </c>
      <c r="O16">
        <v>0</v>
      </c>
      <c r="P16">
        <v>0</v>
      </c>
      <c r="Q16">
        <v>39045</v>
      </c>
      <c r="R16">
        <v>4140</v>
      </c>
      <c r="S16">
        <v>33986</v>
      </c>
      <c r="T16">
        <v>1626</v>
      </c>
      <c r="U16">
        <v>2000</v>
      </c>
      <c r="V16">
        <v>4095</v>
      </c>
      <c r="W16">
        <v>14520</v>
      </c>
      <c r="X16">
        <v>1992</v>
      </c>
      <c r="Y16">
        <v>1773</v>
      </c>
      <c r="Z16">
        <v>6444</v>
      </c>
      <c r="AA16">
        <v>629</v>
      </c>
      <c r="AB16">
        <v>4481</v>
      </c>
      <c r="AC16">
        <v>135</v>
      </c>
      <c r="AD16">
        <v>4076</v>
      </c>
      <c r="AE16">
        <v>10491</v>
      </c>
      <c r="AF16">
        <v>85</v>
      </c>
      <c r="AG16">
        <v>15102</v>
      </c>
      <c r="AH16">
        <v>13977</v>
      </c>
      <c r="AI16">
        <v>190</v>
      </c>
      <c r="AJ16">
        <v>90</v>
      </c>
      <c r="AK16">
        <v>13318</v>
      </c>
      <c r="AL16">
        <v>7793</v>
      </c>
      <c r="AM16">
        <v>38</v>
      </c>
      <c r="AN16">
        <v>1699</v>
      </c>
      <c r="AO16">
        <v>286</v>
      </c>
      <c r="AP16">
        <v>1342</v>
      </c>
      <c r="AQ16">
        <v>5530</v>
      </c>
      <c r="AR16">
        <v>5493</v>
      </c>
      <c r="AS16">
        <v>1408</v>
      </c>
      <c r="AT16">
        <v>199</v>
      </c>
      <c r="AU16">
        <v>5054</v>
      </c>
      <c r="AV16">
        <v>2254</v>
      </c>
      <c r="AW16">
        <v>122</v>
      </c>
      <c r="AX16">
        <v>345</v>
      </c>
      <c r="AY16">
        <v>241</v>
      </c>
      <c r="AZ16">
        <v>81</v>
      </c>
      <c r="BA16">
        <v>4510</v>
      </c>
      <c r="BB16">
        <v>3052</v>
      </c>
      <c r="BC16">
        <v>68</v>
      </c>
    </row>
    <row r="17" spans="1:55">
      <c r="A17" s="1">
        <v>1040</v>
      </c>
      <c r="B17" s="1" t="s">
        <v>29</v>
      </c>
      <c r="C17" t="s">
        <v>183</v>
      </c>
      <c r="D17">
        <v>69173</v>
      </c>
      <c r="E17">
        <v>66483</v>
      </c>
      <c r="F17">
        <v>62058</v>
      </c>
      <c r="G17">
        <v>39796</v>
      </c>
      <c r="H17">
        <v>913</v>
      </c>
      <c r="I17">
        <v>890</v>
      </c>
      <c r="J17">
        <v>792</v>
      </c>
      <c r="K17">
        <v>791</v>
      </c>
      <c r="L17">
        <v>788</v>
      </c>
      <c r="M17">
        <v>157</v>
      </c>
      <c r="N17">
        <v>534</v>
      </c>
      <c r="O17">
        <v>53</v>
      </c>
      <c r="P17">
        <v>13</v>
      </c>
      <c r="Q17">
        <v>22630</v>
      </c>
      <c r="R17">
        <v>2121</v>
      </c>
      <c r="S17">
        <v>20291</v>
      </c>
      <c r="T17">
        <v>984</v>
      </c>
      <c r="U17">
        <v>1013</v>
      </c>
      <c r="V17">
        <v>999</v>
      </c>
      <c r="W17">
        <v>12056</v>
      </c>
      <c r="X17">
        <v>3069</v>
      </c>
      <c r="Y17">
        <v>3013</v>
      </c>
      <c r="Z17">
        <v>3179</v>
      </c>
      <c r="AA17">
        <v>436</v>
      </c>
      <c r="AB17">
        <v>2357</v>
      </c>
      <c r="AC17">
        <v>75</v>
      </c>
      <c r="AD17">
        <v>1955</v>
      </c>
      <c r="AE17">
        <v>3783</v>
      </c>
      <c r="AF17">
        <v>48</v>
      </c>
      <c r="AG17">
        <v>15299</v>
      </c>
      <c r="AH17">
        <v>14780</v>
      </c>
      <c r="AI17">
        <v>191</v>
      </c>
      <c r="AJ17">
        <v>288</v>
      </c>
      <c r="AK17">
        <v>13461</v>
      </c>
      <c r="AL17">
        <v>7442</v>
      </c>
      <c r="AM17">
        <v>36</v>
      </c>
      <c r="AN17">
        <v>4594</v>
      </c>
      <c r="AO17">
        <v>1297</v>
      </c>
      <c r="AP17">
        <v>2954</v>
      </c>
      <c r="AQ17">
        <v>2204</v>
      </c>
      <c r="AR17">
        <v>2186</v>
      </c>
      <c r="AS17">
        <v>664</v>
      </c>
      <c r="AT17">
        <v>205</v>
      </c>
      <c r="AU17">
        <v>5013</v>
      </c>
      <c r="AV17">
        <v>1756</v>
      </c>
      <c r="AW17">
        <v>119</v>
      </c>
      <c r="AX17">
        <v>1009</v>
      </c>
      <c r="AY17">
        <v>587</v>
      </c>
      <c r="AZ17">
        <v>351</v>
      </c>
      <c r="BA17">
        <v>3640</v>
      </c>
      <c r="BB17">
        <v>2576</v>
      </c>
      <c r="BC17">
        <v>7</v>
      </c>
    </row>
    <row r="18" spans="1:55">
      <c r="A18" s="1">
        <v>1047</v>
      </c>
      <c r="B18" s="1" t="s">
        <v>29</v>
      </c>
      <c r="C18" t="s">
        <v>185</v>
      </c>
      <c r="D18">
        <v>78807</v>
      </c>
      <c r="E18">
        <v>74432</v>
      </c>
      <c r="F18">
        <v>72740</v>
      </c>
      <c r="G18">
        <v>51195</v>
      </c>
      <c r="H18">
        <v>531</v>
      </c>
      <c r="I18">
        <v>515</v>
      </c>
      <c r="J18">
        <v>491</v>
      </c>
      <c r="K18">
        <v>488</v>
      </c>
      <c r="L18">
        <v>487</v>
      </c>
      <c r="M18">
        <v>167</v>
      </c>
      <c r="N18">
        <v>256</v>
      </c>
      <c r="O18">
        <v>11</v>
      </c>
      <c r="P18">
        <v>6</v>
      </c>
      <c r="Q18">
        <v>33201</v>
      </c>
      <c r="R18">
        <v>2892</v>
      </c>
      <c r="S18">
        <v>28840</v>
      </c>
      <c r="T18">
        <v>1075</v>
      </c>
      <c r="U18">
        <v>491</v>
      </c>
      <c r="V18">
        <v>4550</v>
      </c>
      <c r="W18">
        <v>13389</v>
      </c>
      <c r="X18">
        <v>4064</v>
      </c>
      <c r="Y18">
        <v>3859</v>
      </c>
      <c r="Z18">
        <v>5159</v>
      </c>
      <c r="AA18">
        <v>485</v>
      </c>
      <c r="AB18">
        <v>3925</v>
      </c>
      <c r="AC18">
        <v>111</v>
      </c>
      <c r="AD18">
        <v>3465</v>
      </c>
      <c r="AE18">
        <v>8058</v>
      </c>
      <c r="AF18">
        <v>81</v>
      </c>
      <c r="AG18">
        <v>16336</v>
      </c>
      <c r="AH18">
        <v>15513</v>
      </c>
      <c r="AI18">
        <v>199</v>
      </c>
      <c r="AJ18">
        <v>133</v>
      </c>
      <c r="AK18">
        <v>14466</v>
      </c>
      <c r="AL18">
        <v>7424</v>
      </c>
      <c r="AM18">
        <v>187</v>
      </c>
      <c r="AN18">
        <v>3483</v>
      </c>
      <c r="AO18">
        <v>714</v>
      </c>
      <c r="AP18">
        <v>2585</v>
      </c>
      <c r="AQ18">
        <v>3166</v>
      </c>
      <c r="AR18">
        <v>3130</v>
      </c>
      <c r="AS18">
        <v>690</v>
      </c>
      <c r="AT18">
        <v>136</v>
      </c>
      <c r="AU18">
        <v>5861</v>
      </c>
      <c r="AV18">
        <v>1647</v>
      </c>
      <c r="AW18">
        <v>146</v>
      </c>
      <c r="AX18">
        <v>1485</v>
      </c>
      <c r="AY18">
        <v>621</v>
      </c>
      <c r="AZ18">
        <v>786</v>
      </c>
      <c r="BA18">
        <v>3817</v>
      </c>
      <c r="BB18">
        <v>3168</v>
      </c>
      <c r="BC18">
        <v>16</v>
      </c>
    </row>
    <row r="19" spans="1:55">
      <c r="A19" s="1">
        <v>1048</v>
      </c>
      <c r="B19" s="1" t="s">
        <v>29</v>
      </c>
      <c r="C19" t="s">
        <v>186</v>
      </c>
      <c r="D19">
        <v>148761</v>
      </c>
      <c r="E19">
        <v>144702</v>
      </c>
      <c r="F19">
        <v>136700</v>
      </c>
      <c r="G19">
        <v>94801</v>
      </c>
      <c r="H19">
        <v>74</v>
      </c>
      <c r="I19">
        <v>67</v>
      </c>
      <c r="J19">
        <v>59</v>
      </c>
      <c r="K19">
        <v>59</v>
      </c>
      <c r="L19">
        <v>59</v>
      </c>
      <c r="M19">
        <v>12</v>
      </c>
      <c r="N19">
        <v>40</v>
      </c>
      <c r="O19">
        <v>0</v>
      </c>
      <c r="P19">
        <v>0</v>
      </c>
      <c r="Q19">
        <v>32910</v>
      </c>
      <c r="R19">
        <v>7765</v>
      </c>
      <c r="S19">
        <v>24615</v>
      </c>
      <c r="T19">
        <v>1384</v>
      </c>
      <c r="U19">
        <v>2647</v>
      </c>
      <c r="V19">
        <v>4320</v>
      </c>
      <c r="W19">
        <v>9659</v>
      </c>
      <c r="X19">
        <v>4074</v>
      </c>
      <c r="Y19">
        <v>3993</v>
      </c>
      <c r="Z19">
        <v>1735</v>
      </c>
      <c r="AA19">
        <v>365</v>
      </c>
      <c r="AB19">
        <v>1149</v>
      </c>
      <c r="AC19">
        <v>95</v>
      </c>
      <c r="AD19">
        <v>1023</v>
      </c>
      <c r="AE19">
        <v>12211</v>
      </c>
      <c r="AF19">
        <v>176</v>
      </c>
      <c r="AG19">
        <v>61337</v>
      </c>
      <c r="AH19">
        <v>55718</v>
      </c>
      <c r="AI19">
        <v>535</v>
      </c>
      <c r="AJ19">
        <v>373</v>
      </c>
      <c r="AK19">
        <v>53500</v>
      </c>
      <c r="AL19">
        <v>30299</v>
      </c>
      <c r="AM19">
        <v>64</v>
      </c>
      <c r="AN19">
        <v>19538</v>
      </c>
      <c r="AO19">
        <v>7660</v>
      </c>
      <c r="AP19">
        <v>10219</v>
      </c>
      <c r="AQ19">
        <v>8767</v>
      </c>
      <c r="AR19">
        <v>8712</v>
      </c>
      <c r="AS19">
        <v>2332</v>
      </c>
      <c r="AT19">
        <v>695</v>
      </c>
      <c r="AU19">
        <v>20453</v>
      </c>
      <c r="AV19">
        <v>3134</v>
      </c>
      <c r="AW19">
        <v>466</v>
      </c>
      <c r="AX19">
        <v>11251</v>
      </c>
      <c r="AY19">
        <v>1902</v>
      </c>
      <c r="AZ19">
        <v>8800</v>
      </c>
      <c r="BA19">
        <v>8324</v>
      </c>
      <c r="BB19">
        <v>6821</v>
      </c>
      <c r="BC19">
        <v>163</v>
      </c>
    </row>
    <row r="20" spans="1:55">
      <c r="A20" s="1">
        <v>1059</v>
      </c>
      <c r="B20" s="1" t="s">
        <v>29</v>
      </c>
      <c r="C20" t="s">
        <v>188</v>
      </c>
      <c r="D20">
        <v>175293</v>
      </c>
      <c r="E20">
        <v>171404</v>
      </c>
      <c r="F20">
        <v>153549</v>
      </c>
      <c r="G20">
        <v>81209</v>
      </c>
      <c r="H20">
        <v>561</v>
      </c>
      <c r="I20">
        <v>553</v>
      </c>
      <c r="J20">
        <v>533</v>
      </c>
      <c r="K20">
        <v>528</v>
      </c>
      <c r="L20">
        <v>524</v>
      </c>
      <c r="M20">
        <v>147</v>
      </c>
      <c r="N20">
        <v>326</v>
      </c>
      <c r="O20">
        <v>11</v>
      </c>
      <c r="P20">
        <v>5</v>
      </c>
      <c r="Q20">
        <v>40538</v>
      </c>
      <c r="R20">
        <v>6160</v>
      </c>
      <c r="S20">
        <v>33620</v>
      </c>
      <c r="T20">
        <v>385</v>
      </c>
      <c r="U20">
        <v>194</v>
      </c>
      <c r="V20">
        <v>2092</v>
      </c>
      <c r="W20">
        <v>14943</v>
      </c>
      <c r="X20">
        <v>2752</v>
      </c>
      <c r="Y20">
        <v>2657</v>
      </c>
      <c r="Z20">
        <v>8456</v>
      </c>
      <c r="AA20">
        <v>1474</v>
      </c>
      <c r="AB20">
        <v>6124</v>
      </c>
      <c r="AC20">
        <v>144</v>
      </c>
      <c r="AD20">
        <v>5295</v>
      </c>
      <c r="AE20">
        <v>7688</v>
      </c>
      <c r="AF20">
        <v>101</v>
      </c>
      <c r="AG20">
        <v>39051</v>
      </c>
      <c r="AH20">
        <v>36347</v>
      </c>
      <c r="AI20">
        <v>139</v>
      </c>
      <c r="AJ20">
        <v>66</v>
      </c>
      <c r="AK20">
        <v>35628</v>
      </c>
      <c r="AL20">
        <v>22138</v>
      </c>
      <c r="AM20">
        <v>58</v>
      </c>
      <c r="AN20">
        <v>9610</v>
      </c>
      <c r="AO20">
        <v>2984</v>
      </c>
      <c r="AP20">
        <v>5998</v>
      </c>
      <c r="AQ20">
        <v>10519</v>
      </c>
      <c r="AR20">
        <v>10321</v>
      </c>
      <c r="AS20">
        <v>2520</v>
      </c>
      <c r="AT20">
        <v>478</v>
      </c>
      <c r="AU20">
        <v>9728</v>
      </c>
      <c r="AV20">
        <v>2196</v>
      </c>
      <c r="AW20">
        <v>221</v>
      </c>
      <c r="AX20">
        <v>1990</v>
      </c>
      <c r="AY20">
        <v>844</v>
      </c>
      <c r="AZ20">
        <v>1027</v>
      </c>
      <c r="BA20">
        <v>7202</v>
      </c>
      <c r="BB20">
        <v>4229</v>
      </c>
      <c r="BC20">
        <v>53</v>
      </c>
    </row>
    <row r="21" spans="1:55">
      <c r="A21" s="1">
        <v>1061</v>
      </c>
      <c r="B21" s="1" t="s">
        <v>29</v>
      </c>
      <c r="C21" t="s">
        <v>189</v>
      </c>
      <c r="D21">
        <v>162753</v>
      </c>
      <c r="E21">
        <v>158102</v>
      </c>
      <c r="F21">
        <v>148260</v>
      </c>
      <c r="G21">
        <v>115634</v>
      </c>
      <c r="H21">
        <v>19</v>
      </c>
      <c r="I21">
        <v>14</v>
      </c>
      <c r="J21">
        <v>8</v>
      </c>
      <c r="K21">
        <v>8</v>
      </c>
      <c r="L21">
        <v>8</v>
      </c>
      <c r="M21">
        <v>1</v>
      </c>
      <c r="N21">
        <v>4</v>
      </c>
      <c r="O21">
        <v>0</v>
      </c>
      <c r="P21">
        <v>0</v>
      </c>
      <c r="Q21">
        <v>52874</v>
      </c>
      <c r="R21">
        <v>8851</v>
      </c>
      <c r="S21">
        <v>42896</v>
      </c>
      <c r="T21">
        <v>2120</v>
      </c>
      <c r="U21">
        <v>1631</v>
      </c>
      <c r="V21">
        <v>5222</v>
      </c>
      <c r="W21">
        <v>21757</v>
      </c>
      <c r="X21">
        <v>6837</v>
      </c>
      <c r="Y21">
        <v>6580</v>
      </c>
      <c r="Z21">
        <v>3329</v>
      </c>
      <c r="AA21">
        <v>565</v>
      </c>
      <c r="AB21">
        <v>2479</v>
      </c>
      <c r="AC21">
        <v>1039</v>
      </c>
      <c r="AD21">
        <v>1200</v>
      </c>
      <c r="AE21">
        <v>15814</v>
      </c>
      <c r="AF21">
        <v>55</v>
      </c>
      <c r="AG21">
        <v>62263</v>
      </c>
      <c r="AH21">
        <v>58436</v>
      </c>
      <c r="AI21">
        <v>350</v>
      </c>
      <c r="AJ21">
        <v>113</v>
      </c>
      <c r="AK21">
        <v>56784</v>
      </c>
      <c r="AL21">
        <v>41893</v>
      </c>
      <c r="AM21">
        <v>152</v>
      </c>
      <c r="AN21">
        <v>26441</v>
      </c>
      <c r="AO21">
        <v>4699</v>
      </c>
      <c r="AP21">
        <v>19581</v>
      </c>
      <c r="AQ21">
        <v>12611</v>
      </c>
      <c r="AR21">
        <v>12515</v>
      </c>
      <c r="AS21">
        <v>4606</v>
      </c>
      <c r="AT21">
        <v>2410</v>
      </c>
      <c r="AU21">
        <v>12805</v>
      </c>
      <c r="AV21">
        <v>1873</v>
      </c>
      <c r="AW21">
        <v>641</v>
      </c>
      <c r="AX21">
        <v>4880</v>
      </c>
      <c r="AY21">
        <v>1645</v>
      </c>
      <c r="AZ21">
        <v>2662</v>
      </c>
      <c r="BA21">
        <v>7300</v>
      </c>
      <c r="BB21">
        <v>5368</v>
      </c>
      <c r="BC21">
        <v>230</v>
      </c>
    </row>
    <row r="22" spans="1:55">
      <c r="A22" s="1">
        <v>1066</v>
      </c>
      <c r="B22" s="1" t="s">
        <v>29</v>
      </c>
      <c r="C22" t="s">
        <v>190</v>
      </c>
      <c r="D22">
        <v>137438</v>
      </c>
      <c r="E22">
        <v>134002</v>
      </c>
      <c r="F22">
        <v>128884</v>
      </c>
      <c r="G22">
        <v>106643</v>
      </c>
      <c r="H22">
        <v>61</v>
      </c>
      <c r="I22">
        <v>60</v>
      </c>
      <c r="J22">
        <v>57</v>
      </c>
      <c r="K22">
        <v>56</v>
      </c>
      <c r="L22">
        <v>53</v>
      </c>
      <c r="M22">
        <v>19</v>
      </c>
      <c r="N22">
        <v>28</v>
      </c>
      <c r="O22">
        <v>0</v>
      </c>
      <c r="P22">
        <v>1</v>
      </c>
      <c r="Q22">
        <v>45445</v>
      </c>
      <c r="R22">
        <v>10135</v>
      </c>
      <c r="S22">
        <v>34601</v>
      </c>
      <c r="T22">
        <v>614</v>
      </c>
      <c r="U22">
        <v>216</v>
      </c>
      <c r="V22">
        <v>2254</v>
      </c>
      <c r="W22">
        <v>24333</v>
      </c>
      <c r="X22">
        <v>13588</v>
      </c>
      <c r="Y22">
        <v>12140</v>
      </c>
      <c r="Z22">
        <v>2310</v>
      </c>
      <c r="AA22">
        <v>100</v>
      </c>
      <c r="AB22">
        <v>1349</v>
      </c>
      <c r="AC22">
        <v>19</v>
      </c>
      <c r="AD22">
        <v>1281</v>
      </c>
      <c r="AE22">
        <v>5553</v>
      </c>
      <c r="AF22">
        <v>239</v>
      </c>
      <c r="AG22">
        <v>60081</v>
      </c>
      <c r="AH22">
        <v>58737</v>
      </c>
      <c r="AI22">
        <v>3124</v>
      </c>
      <c r="AJ22">
        <v>425</v>
      </c>
      <c r="AK22">
        <v>47576</v>
      </c>
      <c r="AL22">
        <v>27536</v>
      </c>
      <c r="AM22">
        <v>307</v>
      </c>
      <c r="AN22">
        <v>8699</v>
      </c>
      <c r="AO22">
        <v>219</v>
      </c>
      <c r="AP22">
        <v>8348</v>
      </c>
      <c r="AQ22">
        <v>16660</v>
      </c>
      <c r="AR22">
        <v>16637</v>
      </c>
      <c r="AS22">
        <v>9363</v>
      </c>
      <c r="AT22">
        <v>6646</v>
      </c>
      <c r="AU22">
        <v>14814</v>
      </c>
      <c r="AV22">
        <v>8343</v>
      </c>
      <c r="AW22">
        <v>5066</v>
      </c>
      <c r="AX22">
        <v>3378</v>
      </c>
      <c r="AY22">
        <v>2715</v>
      </c>
      <c r="AZ22">
        <v>495</v>
      </c>
      <c r="BA22">
        <v>10383</v>
      </c>
      <c r="BB22">
        <v>10165</v>
      </c>
      <c r="BC22">
        <v>15</v>
      </c>
    </row>
    <row r="23" spans="1:55">
      <c r="A23" s="1">
        <v>1069</v>
      </c>
      <c r="B23" s="1" t="s">
        <v>29</v>
      </c>
      <c r="C23" t="s">
        <v>191</v>
      </c>
      <c r="D23">
        <v>195514</v>
      </c>
      <c r="E23">
        <v>191326</v>
      </c>
      <c r="F23">
        <v>189278</v>
      </c>
      <c r="G23">
        <v>151871</v>
      </c>
      <c r="H23">
        <v>4779</v>
      </c>
      <c r="I23">
        <v>4746</v>
      </c>
      <c r="J23">
        <v>4568</v>
      </c>
      <c r="K23">
        <v>4557</v>
      </c>
      <c r="L23">
        <v>4547</v>
      </c>
      <c r="M23">
        <v>1025</v>
      </c>
      <c r="N23">
        <v>3020</v>
      </c>
      <c r="O23">
        <v>4</v>
      </c>
      <c r="P23">
        <v>36</v>
      </c>
      <c r="Q23">
        <v>90157</v>
      </c>
      <c r="R23">
        <v>23770</v>
      </c>
      <c r="S23">
        <v>63914</v>
      </c>
      <c r="T23">
        <v>1166</v>
      </c>
      <c r="U23">
        <v>311</v>
      </c>
      <c r="V23">
        <v>1218</v>
      </c>
      <c r="W23">
        <v>31700</v>
      </c>
      <c r="X23">
        <v>7782</v>
      </c>
      <c r="Y23">
        <v>7581</v>
      </c>
      <c r="Z23">
        <v>18229</v>
      </c>
      <c r="AA23">
        <v>3851</v>
      </c>
      <c r="AB23">
        <v>11044</v>
      </c>
      <c r="AC23">
        <v>173</v>
      </c>
      <c r="AD23">
        <v>9862</v>
      </c>
      <c r="AE23">
        <v>7980</v>
      </c>
      <c r="AF23">
        <v>122</v>
      </c>
      <c r="AG23">
        <v>53447</v>
      </c>
      <c r="AH23">
        <v>50207</v>
      </c>
      <c r="AI23">
        <v>275</v>
      </c>
      <c r="AJ23">
        <v>290</v>
      </c>
      <c r="AK23">
        <v>48822</v>
      </c>
      <c r="AL23">
        <v>32990</v>
      </c>
      <c r="AM23">
        <v>108</v>
      </c>
      <c r="AN23">
        <v>26767</v>
      </c>
      <c r="AO23">
        <v>7187</v>
      </c>
      <c r="AP23">
        <v>16646</v>
      </c>
      <c r="AQ23">
        <v>5246</v>
      </c>
      <c r="AR23">
        <v>5064</v>
      </c>
      <c r="AS23">
        <v>3693</v>
      </c>
      <c r="AT23">
        <v>2360</v>
      </c>
      <c r="AU23">
        <v>14257</v>
      </c>
      <c r="AV23">
        <v>2877</v>
      </c>
      <c r="AW23">
        <v>733</v>
      </c>
      <c r="AX23">
        <v>8560</v>
      </c>
      <c r="AY23">
        <v>1374</v>
      </c>
      <c r="AZ23">
        <v>6395</v>
      </c>
      <c r="BA23">
        <v>5420</v>
      </c>
      <c r="BB23">
        <v>4024</v>
      </c>
      <c r="BC23">
        <v>204</v>
      </c>
    </row>
    <row r="24" spans="1:55">
      <c r="A24" s="1">
        <v>1073</v>
      </c>
      <c r="B24" s="1" t="s">
        <v>29</v>
      </c>
      <c r="C24" t="s">
        <v>192</v>
      </c>
      <c r="D24">
        <v>52549</v>
      </c>
      <c r="E24">
        <v>50413</v>
      </c>
      <c r="F24">
        <v>48624</v>
      </c>
      <c r="G24">
        <v>28018</v>
      </c>
      <c r="H24">
        <v>145</v>
      </c>
      <c r="I24">
        <v>143</v>
      </c>
      <c r="J24">
        <v>140</v>
      </c>
      <c r="K24">
        <v>140</v>
      </c>
      <c r="L24">
        <v>140</v>
      </c>
      <c r="M24">
        <v>47</v>
      </c>
      <c r="N24">
        <v>74</v>
      </c>
      <c r="O24">
        <v>6</v>
      </c>
      <c r="P24">
        <v>2</v>
      </c>
      <c r="Q24">
        <v>17963</v>
      </c>
      <c r="R24">
        <v>3239</v>
      </c>
      <c r="S24">
        <v>14171</v>
      </c>
      <c r="T24">
        <v>447</v>
      </c>
      <c r="U24">
        <v>784</v>
      </c>
      <c r="V24">
        <v>2288</v>
      </c>
      <c r="W24">
        <v>3058</v>
      </c>
      <c r="X24">
        <v>587</v>
      </c>
      <c r="Y24">
        <v>552</v>
      </c>
      <c r="Z24">
        <v>925</v>
      </c>
      <c r="AA24">
        <v>102</v>
      </c>
      <c r="AB24">
        <v>745</v>
      </c>
      <c r="AC24">
        <v>178</v>
      </c>
      <c r="AD24">
        <v>499</v>
      </c>
      <c r="AE24">
        <v>9782</v>
      </c>
      <c r="AF24">
        <v>25</v>
      </c>
      <c r="AG24">
        <v>9638</v>
      </c>
      <c r="AH24">
        <v>9360</v>
      </c>
      <c r="AI24">
        <v>74</v>
      </c>
      <c r="AJ24">
        <v>41</v>
      </c>
      <c r="AK24">
        <v>8801</v>
      </c>
      <c r="AL24">
        <v>4881</v>
      </c>
      <c r="AM24">
        <v>54</v>
      </c>
      <c r="AN24">
        <v>3368</v>
      </c>
      <c r="AO24">
        <v>509</v>
      </c>
      <c r="AP24">
        <v>2626</v>
      </c>
      <c r="AQ24">
        <v>1164</v>
      </c>
      <c r="AR24">
        <v>1155</v>
      </c>
      <c r="AS24">
        <v>492</v>
      </c>
      <c r="AT24">
        <v>181</v>
      </c>
      <c r="AU24">
        <v>3349</v>
      </c>
      <c r="AV24">
        <v>438</v>
      </c>
      <c r="AW24">
        <v>50</v>
      </c>
      <c r="AX24">
        <v>1048</v>
      </c>
      <c r="AY24">
        <v>657</v>
      </c>
      <c r="AZ24">
        <v>309</v>
      </c>
      <c r="BA24">
        <v>2031</v>
      </c>
      <c r="BB24">
        <v>1366</v>
      </c>
      <c r="BC24">
        <v>11</v>
      </c>
    </row>
    <row r="25" spans="1:55">
      <c r="A25" s="1">
        <v>1086</v>
      </c>
      <c r="B25" s="1" t="s">
        <v>29</v>
      </c>
      <c r="C25" t="s">
        <v>193</v>
      </c>
      <c r="D25">
        <v>141672</v>
      </c>
      <c r="E25">
        <v>138657</v>
      </c>
      <c r="F25">
        <v>125312</v>
      </c>
      <c r="G25">
        <v>78685</v>
      </c>
      <c r="H25">
        <v>595</v>
      </c>
      <c r="I25">
        <v>589</v>
      </c>
      <c r="J25">
        <v>548</v>
      </c>
      <c r="K25">
        <v>548</v>
      </c>
      <c r="L25">
        <v>546</v>
      </c>
      <c r="M25">
        <v>278</v>
      </c>
      <c r="N25">
        <v>174</v>
      </c>
      <c r="O25">
        <v>11</v>
      </c>
      <c r="P25">
        <v>6</v>
      </c>
      <c r="Q25">
        <v>37666</v>
      </c>
      <c r="R25">
        <v>5139</v>
      </c>
      <c r="S25">
        <v>31471</v>
      </c>
      <c r="T25">
        <v>2202</v>
      </c>
      <c r="U25">
        <v>1234</v>
      </c>
      <c r="V25">
        <v>3050</v>
      </c>
      <c r="W25">
        <v>10114</v>
      </c>
      <c r="X25">
        <v>4354</v>
      </c>
      <c r="Y25">
        <v>4324</v>
      </c>
      <c r="Z25">
        <v>3195</v>
      </c>
      <c r="AA25">
        <v>525</v>
      </c>
      <c r="AB25">
        <v>2041</v>
      </c>
      <c r="AC25">
        <v>427</v>
      </c>
      <c r="AD25">
        <v>1313</v>
      </c>
      <c r="AE25">
        <v>15723</v>
      </c>
      <c r="AF25">
        <v>103</v>
      </c>
      <c r="AG25">
        <v>39612</v>
      </c>
      <c r="AH25">
        <v>37410</v>
      </c>
      <c r="AI25">
        <v>102</v>
      </c>
      <c r="AJ25">
        <v>81</v>
      </c>
      <c r="AK25">
        <v>36835</v>
      </c>
      <c r="AL25">
        <v>27029</v>
      </c>
      <c r="AM25">
        <v>267</v>
      </c>
      <c r="AN25">
        <v>13443</v>
      </c>
      <c r="AO25">
        <v>6109</v>
      </c>
      <c r="AP25">
        <v>6532</v>
      </c>
      <c r="AQ25">
        <v>10474</v>
      </c>
      <c r="AR25">
        <v>10265</v>
      </c>
      <c r="AS25">
        <v>1376</v>
      </c>
      <c r="AT25">
        <v>327</v>
      </c>
      <c r="AU25">
        <v>8272</v>
      </c>
      <c r="AV25">
        <v>1367</v>
      </c>
      <c r="AW25">
        <v>142</v>
      </c>
      <c r="AX25">
        <v>2308</v>
      </c>
      <c r="AY25">
        <v>879</v>
      </c>
      <c r="AZ25">
        <v>1341</v>
      </c>
      <c r="BA25">
        <v>5192</v>
      </c>
      <c r="BB25">
        <v>4347</v>
      </c>
      <c r="BC25">
        <v>11</v>
      </c>
    </row>
    <row r="26" spans="1:55">
      <c r="A26" s="1">
        <v>1090</v>
      </c>
      <c r="B26" s="1" t="s">
        <v>29</v>
      </c>
      <c r="C26" t="s">
        <v>194</v>
      </c>
      <c r="D26">
        <v>41092</v>
      </c>
      <c r="E26">
        <v>39807</v>
      </c>
      <c r="F26">
        <v>35649</v>
      </c>
      <c r="G26">
        <v>19175</v>
      </c>
      <c r="H26">
        <v>41</v>
      </c>
      <c r="I26">
        <v>41</v>
      </c>
      <c r="J26">
        <v>38</v>
      </c>
      <c r="K26">
        <v>38</v>
      </c>
      <c r="L26">
        <v>38</v>
      </c>
      <c r="M26">
        <v>10</v>
      </c>
      <c r="N26">
        <v>21</v>
      </c>
      <c r="O26">
        <v>0</v>
      </c>
      <c r="P26">
        <v>0</v>
      </c>
      <c r="Q26">
        <v>7660</v>
      </c>
      <c r="R26">
        <v>1324</v>
      </c>
      <c r="S26">
        <v>5952</v>
      </c>
      <c r="T26">
        <v>440</v>
      </c>
      <c r="U26">
        <v>438</v>
      </c>
      <c r="V26">
        <v>1323</v>
      </c>
      <c r="W26">
        <v>1408</v>
      </c>
      <c r="X26">
        <v>181</v>
      </c>
      <c r="Y26">
        <v>164</v>
      </c>
      <c r="Z26">
        <v>498</v>
      </c>
      <c r="AA26">
        <v>64</v>
      </c>
      <c r="AB26">
        <v>354</v>
      </c>
      <c r="AC26">
        <v>26</v>
      </c>
      <c r="AD26">
        <v>323</v>
      </c>
      <c r="AE26">
        <v>3864</v>
      </c>
      <c r="AF26">
        <v>61</v>
      </c>
      <c r="AG26">
        <v>11359</v>
      </c>
      <c r="AH26">
        <v>10572</v>
      </c>
      <c r="AI26">
        <v>87</v>
      </c>
      <c r="AJ26">
        <v>33</v>
      </c>
      <c r="AK26">
        <v>10151</v>
      </c>
      <c r="AL26">
        <v>6357</v>
      </c>
      <c r="AM26">
        <v>11</v>
      </c>
      <c r="AN26">
        <v>3529</v>
      </c>
      <c r="AO26">
        <v>1224</v>
      </c>
      <c r="AP26">
        <v>1968</v>
      </c>
      <c r="AQ26">
        <v>2414</v>
      </c>
      <c r="AR26">
        <v>2321</v>
      </c>
      <c r="AS26">
        <v>627</v>
      </c>
      <c r="AT26">
        <v>252</v>
      </c>
      <c r="AU26">
        <v>3091</v>
      </c>
      <c r="AV26">
        <v>438</v>
      </c>
      <c r="AW26">
        <v>110</v>
      </c>
      <c r="AX26">
        <v>1389</v>
      </c>
      <c r="AY26">
        <v>296</v>
      </c>
      <c r="AZ26">
        <v>953</v>
      </c>
      <c r="BA26">
        <v>1594</v>
      </c>
      <c r="BB26">
        <v>1191</v>
      </c>
      <c r="BC26">
        <v>75</v>
      </c>
    </row>
    <row r="27" spans="1:55">
      <c r="A27" s="1">
        <v>1091</v>
      </c>
      <c r="B27" s="1" t="s">
        <v>29</v>
      </c>
      <c r="C27" t="s">
        <v>195</v>
      </c>
      <c r="D27">
        <v>219518</v>
      </c>
      <c r="E27">
        <v>216315</v>
      </c>
      <c r="F27">
        <v>196851</v>
      </c>
      <c r="G27">
        <v>93614</v>
      </c>
      <c r="H27">
        <v>353</v>
      </c>
      <c r="I27">
        <v>353</v>
      </c>
      <c r="J27">
        <v>336</v>
      </c>
      <c r="K27">
        <v>330</v>
      </c>
      <c r="L27">
        <v>328</v>
      </c>
      <c r="M27">
        <v>185</v>
      </c>
      <c r="N27">
        <v>19</v>
      </c>
      <c r="O27">
        <v>0</v>
      </c>
      <c r="P27">
        <v>0</v>
      </c>
      <c r="Q27">
        <v>34564</v>
      </c>
      <c r="R27">
        <v>4324</v>
      </c>
      <c r="S27">
        <v>29353</v>
      </c>
      <c r="T27">
        <v>683</v>
      </c>
      <c r="U27">
        <v>2649</v>
      </c>
      <c r="V27">
        <v>6757</v>
      </c>
      <c r="W27">
        <v>11811</v>
      </c>
      <c r="X27">
        <v>10308</v>
      </c>
      <c r="Y27">
        <v>10065</v>
      </c>
      <c r="Z27">
        <v>1695</v>
      </c>
      <c r="AA27">
        <v>250</v>
      </c>
      <c r="AB27">
        <v>1293</v>
      </c>
      <c r="AC27">
        <v>116</v>
      </c>
      <c r="AD27">
        <v>901</v>
      </c>
      <c r="AE27">
        <v>13136</v>
      </c>
      <c r="AF27">
        <v>123</v>
      </c>
      <c r="AG27">
        <v>57919</v>
      </c>
      <c r="AH27">
        <v>55364</v>
      </c>
      <c r="AI27">
        <v>253</v>
      </c>
      <c r="AJ27">
        <v>356</v>
      </c>
      <c r="AK27">
        <v>53436</v>
      </c>
      <c r="AL27">
        <v>38925</v>
      </c>
      <c r="AM27">
        <v>91</v>
      </c>
      <c r="AN27">
        <v>26088</v>
      </c>
      <c r="AO27">
        <v>5447</v>
      </c>
      <c r="AP27">
        <v>18128</v>
      </c>
      <c r="AQ27">
        <v>9765</v>
      </c>
      <c r="AR27">
        <v>9624</v>
      </c>
      <c r="AS27">
        <v>2212</v>
      </c>
      <c r="AT27">
        <v>829</v>
      </c>
      <c r="AU27">
        <v>12392</v>
      </c>
      <c r="AV27">
        <v>1112</v>
      </c>
      <c r="AW27">
        <v>170</v>
      </c>
      <c r="AX27">
        <v>3140</v>
      </c>
      <c r="AY27">
        <v>1220</v>
      </c>
      <c r="AZ27">
        <v>1625</v>
      </c>
      <c r="BA27">
        <v>8487</v>
      </c>
      <c r="BB27">
        <v>5886</v>
      </c>
      <c r="BC27">
        <v>123</v>
      </c>
    </row>
    <row r="28" spans="1:55">
      <c r="A28" s="1">
        <v>1096</v>
      </c>
      <c r="B28" s="1" t="s">
        <v>29</v>
      </c>
      <c r="C28" t="s">
        <v>196</v>
      </c>
      <c r="D28">
        <v>140014</v>
      </c>
      <c r="E28">
        <v>136628</v>
      </c>
      <c r="F28">
        <v>130636</v>
      </c>
      <c r="G28">
        <v>82533</v>
      </c>
      <c r="H28">
        <v>339</v>
      </c>
      <c r="I28">
        <v>329</v>
      </c>
      <c r="J28">
        <v>322</v>
      </c>
      <c r="K28">
        <v>322</v>
      </c>
      <c r="L28">
        <v>322</v>
      </c>
      <c r="M28">
        <v>73</v>
      </c>
      <c r="N28">
        <v>228</v>
      </c>
      <c r="O28">
        <v>0</v>
      </c>
      <c r="P28">
        <v>0</v>
      </c>
      <c r="Q28">
        <v>23516</v>
      </c>
      <c r="R28">
        <v>6520</v>
      </c>
      <c r="S28">
        <v>16266</v>
      </c>
      <c r="T28">
        <v>1973</v>
      </c>
      <c r="U28">
        <v>863</v>
      </c>
      <c r="V28">
        <v>977</v>
      </c>
      <c r="W28">
        <v>5758</v>
      </c>
      <c r="X28">
        <v>937</v>
      </c>
      <c r="Y28">
        <v>837</v>
      </c>
      <c r="Z28">
        <v>2712</v>
      </c>
      <c r="AA28">
        <v>509</v>
      </c>
      <c r="AB28">
        <v>1770</v>
      </c>
      <c r="AC28">
        <v>18</v>
      </c>
      <c r="AD28">
        <v>1740</v>
      </c>
      <c r="AE28">
        <v>6761</v>
      </c>
      <c r="AF28">
        <v>275</v>
      </c>
      <c r="AG28">
        <v>57683</v>
      </c>
      <c r="AH28">
        <v>52269</v>
      </c>
      <c r="AI28">
        <v>130</v>
      </c>
      <c r="AJ28">
        <v>1611</v>
      </c>
      <c r="AK28">
        <v>49046</v>
      </c>
      <c r="AL28">
        <v>12970</v>
      </c>
      <c r="AM28">
        <v>13</v>
      </c>
      <c r="AN28">
        <v>3871</v>
      </c>
      <c r="AO28">
        <v>1049</v>
      </c>
      <c r="AP28">
        <v>2647</v>
      </c>
      <c r="AQ28">
        <v>7888</v>
      </c>
      <c r="AR28">
        <v>7795</v>
      </c>
      <c r="AS28">
        <v>883</v>
      </c>
      <c r="AT28">
        <v>137</v>
      </c>
      <c r="AU28">
        <v>34269</v>
      </c>
      <c r="AV28">
        <v>3056</v>
      </c>
      <c r="AW28">
        <v>385</v>
      </c>
      <c r="AX28">
        <v>3845</v>
      </c>
      <c r="AY28">
        <v>1948</v>
      </c>
      <c r="AZ28">
        <v>1646</v>
      </c>
      <c r="BA28">
        <v>29139</v>
      </c>
      <c r="BB28">
        <v>18363</v>
      </c>
      <c r="BC28">
        <v>94</v>
      </c>
    </row>
    <row r="29" spans="1:55">
      <c r="A29" s="1">
        <v>1097</v>
      </c>
      <c r="B29" s="1" t="s">
        <v>29</v>
      </c>
      <c r="C29" t="s">
        <v>197</v>
      </c>
      <c r="D29">
        <v>241814</v>
      </c>
      <c r="E29">
        <v>235966</v>
      </c>
      <c r="F29">
        <v>231326</v>
      </c>
      <c r="G29">
        <v>203103</v>
      </c>
      <c r="H29">
        <v>561</v>
      </c>
      <c r="I29">
        <v>555</v>
      </c>
      <c r="J29">
        <v>519</v>
      </c>
      <c r="K29">
        <v>518</v>
      </c>
      <c r="L29">
        <v>518</v>
      </c>
      <c r="M29">
        <v>261</v>
      </c>
      <c r="N29">
        <v>207</v>
      </c>
      <c r="O29">
        <v>5</v>
      </c>
      <c r="P29">
        <v>4</v>
      </c>
      <c r="Q29">
        <v>61057</v>
      </c>
      <c r="R29">
        <v>15743</v>
      </c>
      <c r="S29">
        <v>43266</v>
      </c>
      <c r="T29">
        <v>2389</v>
      </c>
      <c r="U29">
        <v>2167</v>
      </c>
      <c r="V29">
        <v>8253</v>
      </c>
      <c r="W29">
        <v>15622</v>
      </c>
      <c r="X29">
        <v>7357</v>
      </c>
      <c r="Y29">
        <v>7000</v>
      </c>
      <c r="Z29">
        <v>4079</v>
      </c>
      <c r="AA29">
        <v>567</v>
      </c>
      <c r="AB29">
        <v>2803</v>
      </c>
      <c r="AC29">
        <v>110</v>
      </c>
      <c r="AD29">
        <v>2555</v>
      </c>
      <c r="AE29">
        <v>21514</v>
      </c>
      <c r="AF29">
        <v>188</v>
      </c>
      <c r="AG29">
        <v>140609</v>
      </c>
      <c r="AH29">
        <v>131588</v>
      </c>
      <c r="AI29">
        <v>435</v>
      </c>
      <c r="AJ29">
        <v>1690</v>
      </c>
      <c r="AK29">
        <v>125826</v>
      </c>
      <c r="AL29">
        <v>37448</v>
      </c>
      <c r="AM29">
        <v>439</v>
      </c>
      <c r="AN29">
        <v>18452</v>
      </c>
      <c r="AO29">
        <v>4486</v>
      </c>
      <c r="AP29">
        <v>12779</v>
      </c>
      <c r="AQ29">
        <v>15065</v>
      </c>
      <c r="AR29">
        <v>14964</v>
      </c>
      <c r="AS29">
        <v>5618</v>
      </c>
      <c r="AT29">
        <v>908</v>
      </c>
      <c r="AU29">
        <v>83703</v>
      </c>
      <c r="AV29">
        <v>13383</v>
      </c>
      <c r="AW29">
        <v>1164</v>
      </c>
      <c r="AX29">
        <v>5172</v>
      </c>
      <c r="AY29">
        <v>2123</v>
      </c>
      <c r="AZ29">
        <v>2777</v>
      </c>
      <c r="BA29">
        <v>76629</v>
      </c>
      <c r="BB29">
        <v>53362</v>
      </c>
      <c r="BC29">
        <v>1213</v>
      </c>
    </row>
    <row r="30" spans="1:55">
      <c r="A30" s="1">
        <v>1118</v>
      </c>
      <c r="B30" s="1" t="s">
        <v>29</v>
      </c>
      <c r="C30" t="s">
        <v>201</v>
      </c>
      <c r="D30">
        <v>122549</v>
      </c>
      <c r="E30">
        <v>120601</v>
      </c>
      <c r="F30">
        <v>112566</v>
      </c>
      <c r="G30">
        <v>82654</v>
      </c>
      <c r="H30">
        <v>337</v>
      </c>
      <c r="I30">
        <v>336</v>
      </c>
      <c r="J30">
        <v>313</v>
      </c>
      <c r="K30">
        <v>310</v>
      </c>
      <c r="L30">
        <v>310</v>
      </c>
      <c r="M30">
        <v>92</v>
      </c>
      <c r="N30">
        <v>146</v>
      </c>
      <c r="O30">
        <v>4</v>
      </c>
      <c r="P30">
        <v>1</v>
      </c>
      <c r="Q30">
        <v>24810</v>
      </c>
      <c r="R30">
        <v>4293</v>
      </c>
      <c r="S30">
        <v>19820</v>
      </c>
      <c r="T30">
        <v>700</v>
      </c>
      <c r="U30">
        <v>529</v>
      </c>
      <c r="V30">
        <v>2170</v>
      </c>
      <c r="W30">
        <v>6115</v>
      </c>
      <c r="X30">
        <v>1966</v>
      </c>
      <c r="Y30">
        <v>1867</v>
      </c>
      <c r="Z30">
        <v>3728</v>
      </c>
      <c r="AA30">
        <v>572</v>
      </c>
      <c r="AB30">
        <v>2838</v>
      </c>
      <c r="AC30">
        <v>278</v>
      </c>
      <c r="AD30">
        <v>2252</v>
      </c>
      <c r="AE30">
        <v>8684</v>
      </c>
      <c r="AF30">
        <v>441</v>
      </c>
      <c r="AG30">
        <v>56435</v>
      </c>
      <c r="AH30">
        <v>53241</v>
      </c>
      <c r="AI30">
        <v>104</v>
      </c>
      <c r="AJ30">
        <v>56</v>
      </c>
      <c r="AK30">
        <v>52619</v>
      </c>
      <c r="AL30">
        <v>32913</v>
      </c>
      <c r="AM30">
        <v>163</v>
      </c>
      <c r="AN30">
        <v>15351</v>
      </c>
      <c r="AO30">
        <v>6801</v>
      </c>
      <c r="AP30">
        <v>7526</v>
      </c>
      <c r="AQ30">
        <v>14811</v>
      </c>
      <c r="AR30">
        <v>14556</v>
      </c>
      <c r="AS30">
        <v>1260</v>
      </c>
      <c r="AT30">
        <v>391</v>
      </c>
      <c r="AU30">
        <v>15668</v>
      </c>
      <c r="AV30">
        <v>1850</v>
      </c>
      <c r="AW30">
        <v>254</v>
      </c>
      <c r="AX30">
        <v>8198</v>
      </c>
      <c r="AY30">
        <v>934</v>
      </c>
      <c r="AZ30">
        <v>6844</v>
      </c>
      <c r="BA30">
        <v>6524</v>
      </c>
      <c r="BB30">
        <v>5663</v>
      </c>
      <c r="BC30">
        <v>35</v>
      </c>
    </row>
    <row r="31" spans="1:55">
      <c r="A31" s="1">
        <v>1145</v>
      </c>
      <c r="B31" s="1" t="s">
        <v>29</v>
      </c>
      <c r="C31" t="s">
        <v>203</v>
      </c>
      <c r="D31">
        <v>90582</v>
      </c>
      <c r="E31">
        <v>82483</v>
      </c>
      <c r="F31">
        <v>79796</v>
      </c>
      <c r="G31">
        <v>41808</v>
      </c>
      <c r="H31">
        <v>360</v>
      </c>
      <c r="I31">
        <v>356</v>
      </c>
      <c r="J31">
        <v>327</v>
      </c>
      <c r="K31">
        <v>325</v>
      </c>
      <c r="L31">
        <v>324</v>
      </c>
      <c r="M31">
        <v>105</v>
      </c>
      <c r="N31">
        <v>168</v>
      </c>
      <c r="O31">
        <v>7</v>
      </c>
      <c r="P31">
        <v>5</v>
      </c>
      <c r="Q31">
        <v>21382</v>
      </c>
      <c r="R31">
        <v>655</v>
      </c>
      <c r="S31">
        <v>20282</v>
      </c>
      <c r="T31">
        <v>1243</v>
      </c>
      <c r="U31">
        <v>1850</v>
      </c>
      <c r="V31">
        <v>2233</v>
      </c>
      <c r="W31">
        <v>8801</v>
      </c>
      <c r="X31">
        <v>2020</v>
      </c>
      <c r="Y31">
        <v>1965</v>
      </c>
      <c r="Z31">
        <v>3350</v>
      </c>
      <c r="AA31">
        <v>368</v>
      </c>
      <c r="AB31">
        <v>2141</v>
      </c>
      <c r="AC31">
        <v>184</v>
      </c>
      <c r="AD31">
        <v>1796</v>
      </c>
      <c r="AE31">
        <v>6732</v>
      </c>
      <c r="AF31">
        <v>25</v>
      </c>
      <c r="AG31">
        <v>19550</v>
      </c>
      <c r="AH31">
        <v>18764</v>
      </c>
      <c r="AI31">
        <v>2169</v>
      </c>
      <c r="AJ31">
        <v>1103</v>
      </c>
      <c r="AK31">
        <v>13674</v>
      </c>
      <c r="AL31">
        <v>7822</v>
      </c>
      <c r="AM31">
        <v>40</v>
      </c>
      <c r="AN31">
        <v>1092</v>
      </c>
      <c r="AO31">
        <v>282</v>
      </c>
      <c r="AP31">
        <v>732</v>
      </c>
      <c r="AQ31">
        <v>6469</v>
      </c>
      <c r="AR31">
        <v>6263</v>
      </c>
      <c r="AS31">
        <v>1062</v>
      </c>
      <c r="AT31">
        <v>89</v>
      </c>
      <c r="AU31">
        <v>4874</v>
      </c>
      <c r="AV31">
        <v>926</v>
      </c>
      <c r="AW31">
        <v>59</v>
      </c>
      <c r="AX31">
        <v>190</v>
      </c>
      <c r="AY31">
        <v>112</v>
      </c>
      <c r="AZ31">
        <v>68</v>
      </c>
      <c r="BA31">
        <v>4603</v>
      </c>
      <c r="BB31">
        <v>3288</v>
      </c>
      <c r="BC31">
        <v>35</v>
      </c>
    </row>
    <row r="32" spans="1:55">
      <c r="A32" s="1">
        <v>1146</v>
      </c>
      <c r="B32" s="1" t="s">
        <v>29</v>
      </c>
      <c r="C32" t="s">
        <v>204</v>
      </c>
      <c r="D32">
        <v>120485</v>
      </c>
      <c r="E32">
        <v>116000</v>
      </c>
      <c r="F32">
        <v>110462</v>
      </c>
      <c r="G32">
        <v>69007</v>
      </c>
      <c r="H32">
        <v>161</v>
      </c>
      <c r="I32">
        <v>157</v>
      </c>
      <c r="J32">
        <v>153</v>
      </c>
      <c r="K32">
        <v>153</v>
      </c>
      <c r="L32">
        <v>153</v>
      </c>
      <c r="M32">
        <v>100</v>
      </c>
      <c r="N32">
        <v>31</v>
      </c>
      <c r="O32">
        <v>1</v>
      </c>
      <c r="P32">
        <v>0</v>
      </c>
      <c r="Q32">
        <v>46114</v>
      </c>
      <c r="R32">
        <v>2769</v>
      </c>
      <c r="S32">
        <v>42546</v>
      </c>
      <c r="T32">
        <v>1737</v>
      </c>
      <c r="U32">
        <v>1542</v>
      </c>
      <c r="V32">
        <v>1563</v>
      </c>
      <c r="W32">
        <v>24230</v>
      </c>
      <c r="X32">
        <v>10455</v>
      </c>
      <c r="Y32">
        <v>10315</v>
      </c>
      <c r="Z32">
        <v>6220</v>
      </c>
      <c r="AA32">
        <v>624</v>
      </c>
      <c r="AB32">
        <v>4547</v>
      </c>
      <c r="AC32">
        <v>149</v>
      </c>
      <c r="AD32">
        <v>3881</v>
      </c>
      <c r="AE32">
        <v>7841</v>
      </c>
      <c r="AF32">
        <v>82</v>
      </c>
      <c r="AG32">
        <v>21952</v>
      </c>
      <c r="AH32">
        <v>20127</v>
      </c>
      <c r="AI32">
        <v>261</v>
      </c>
      <c r="AJ32">
        <v>212</v>
      </c>
      <c r="AK32">
        <v>18773</v>
      </c>
      <c r="AL32">
        <v>6943</v>
      </c>
      <c r="AM32">
        <v>38</v>
      </c>
      <c r="AN32">
        <v>3631</v>
      </c>
      <c r="AO32">
        <v>1288</v>
      </c>
      <c r="AP32">
        <v>2093</v>
      </c>
      <c r="AQ32">
        <v>2953</v>
      </c>
      <c r="AR32">
        <v>2895</v>
      </c>
      <c r="AS32">
        <v>1085</v>
      </c>
      <c r="AT32">
        <v>517</v>
      </c>
      <c r="AU32">
        <v>10899</v>
      </c>
      <c r="AV32">
        <v>2622</v>
      </c>
      <c r="AW32">
        <v>550</v>
      </c>
      <c r="AX32">
        <v>3334</v>
      </c>
      <c r="AY32">
        <v>1048</v>
      </c>
      <c r="AZ32">
        <v>2115</v>
      </c>
      <c r="BA32">
        <v>7092</v>
      </c>
      <c r="BB32">
        <v>3758</v>
      </c>
      <c r="BC32">
        <v>29</v>
      </c>
    </row>
    <row r="33" spans="1:55">
      <c r="A33" s="1">
        <v>1149</v>
      </c>
      <c r="B33" s="1" t="s">
        <v>29</v>
      </c>
      <c r="C33" t="s">
        <v>205</v>
      </c>
      <c r="D33">
        <v>26524</v>
      </c>
      <c r="E33">
        <v>24333</v>
      </c>
      <c r="F33">
        <v>22879</v>
      </c>
      <c r="G33">
        <v>15586</v>
      </c>
      <c r="H33">
        <v>55</v>
      </c>
      <c r="I33">
        <v>55</v>
      </c>
      <c r="J33">
        <v>55</v>
      </c>
      <c r="K33">
        <v>55</v>
      </c>
      <c r="L33">
        <v>55</v>
      </c>
      <c r="M33">
        <v>30</v>
      </c>
      <c r="N33">
        <v>22</v>
      </c>
      <c r="O33">
        <v>0</v>
      </c>
      <c r="P33">
        <v>0</v>
      </c>
      <c r="Q33">
        <v>7863</v>
      </c>
      <c r="R33">
        <v>1231</v>
      </c>
      <c r="S33">
        <v>6394</v>
      </c>
      <c r="T33">
        <v>531</v>
      </c>
      <c r="U33">
        <v>432</v>
      </c>
      <c r="V33">
        <v>725</v>
      </c>
      <c r="W33">
        <v>2361</v>
      </c>
      <c r="X33">
        <v>281</v>
      </c>
      <c r="Y33">
        <v>264</v>
      </c>
      <c r="Z33">
        <v>554</v>
      </c>
      <c r="AA33">
        <v>69</v>
      </c>
      <c r="AB33">
        <v>412</v>
      </c>
      <c r="AC33">
        <v>81</v>
      </c>
      <c r="AD33">
        <v>287</v>
      </c>
      <c r="AE33">
        <v>3249</v>
      </c>
      <c r="AF33">
        <v>3</v>
      </c>
      <c r="AG33">
        <v>7567</v>
      </c>
      <c r="AH33">
        <v>6038</v>
      </c>
      <c r="AI33">
        <v>168</v>
      </c>
      <c r="AJ33">
        <v>114</v>
      </c>
      <c r="AK33">
        <v>5395</v>
      </c>
      <c r="AL33">
        <v>3229</v>
      </c>
      <c r="AM33">
        <v>44</v>
      </c>
      <c r="AN33">
        <v>1796</v>
      </c>
      <c r="AO33">
        <v>649</v>
      </c>
      <c r="AP33">
        <v>999</v>
      </c>
      <c r="AQ33">
        <v>1253</v>
      </c>
      <c r="AR33">
        <v>1228</v>
      </c>
      <c r="AS33">
        <v>427</v>
      </c>
      <c r="AT33">
        <v>125</v>
      </c>
      <c r="AU33">
        <v>1459</v>
      </c>
      <c r="AV33">
        <v>301</v>
      </c>
      <c r="AW33">
        <v>19</v>
      </c>
      <c r="AX33">
        <v>101</v>
      </c>
      <c r="AY33">
        <v>61</v>
      </c>
      <c r="AZ33">
        <v>33</v>
      </c>
      <c r="BA33">
        <v>1321</v>
      </c>
      <c r="BB33">
        <v>906</v>
      </c>
      <c r="BC33">
        <v>55</v>
      </c>
    </row>
    <row r="34" spans="1:55">
      <c r="A34" s="1">
        <v>1150</v>
      </c>
      <c r="B34" s="1" t="s">
        <v>29</v>
      </c>
      <c r="C34" t="s">
        <v>206</v>
      </c>
      <c r="D34">
        <v>130632</v>
      </c>
      <c r="E34">
        <v>125538</v>
      </c>
      <c r="F34">
        <v>119786</v>
      </c>
      <c r="G34">
        <v>67058</v>
      </c>
      <c r="H34">
        <v>444</v>
      </c>
      <c r="I34">
        <v>436</v>
      </c>
      <c r="J34">
        <v>400</v>
      </c>
      <c r="K34">
        <v>400</v>
      </c>
      <c r="L34">
        <v>397</v>
      </c>
      <c r="M34">
        <v>117</v>
      </c>
      <c r="N34">
        <v>235</v>
      </c>
      <c r="O34">
        <v>2</v>
      </c>
      <c r="P34">
        <v>1</v>
      </c>
      <c r="Q34">
        <v>27755</v>
      </c>
      <c r="R34">
        <v>5300</v>
      </c>
      <c r="S34">
        <v>21427</v>
      </c>
      <c r="T34">
        <v>903</v>
      </c>
      <c r="U34">
        <v>359</v>
      </c>
      <c r="V34">
        <v>1536</v>
      </c>
      <c r="W34">
        <v>8195</v>
      </c>
      <c r="X34">
        <v>2074</v>
      </c>
      <c r="Y34">
        <v>1931</v>
      </c>
      <c r="Z34">
        <v>5302</v>
      </c>
      <c r="AA34">
        <v>1282</v>
      </c>
      <c r="AB34">
        <v>3578</v>
      </c>
      <c r="AC34">
        <v>250</v>
      </c>
      <c r="AD34">
        <v>3218</v>
      </c>
      <c r="AE34">
        <v>5927</v>
      </c>
      <c r="AF34">
        <v>131</v>
      </c>
      <c r="AG34">
        <v>38262</v>
      </c>
      <c r="AH34">
        <v>34611</v>
      </c>
      <c r="AI34">
        <v>180</v>
      </c>
      <c r="AJ34">
        <v>201</v>
      </c>
      <c r="AK34">
        <v>33556</v>
      </c>
      <c r="AL34">
        <v>14283</v>
      </c>
      <c r="AM34">
        <v>29</v>
      </c>
      <c r="AN34">
        <v>7126</v>
      </c>
      <c r="AO34">
        <v>1839</v>
      </c>
      <c r="AP34">
        <v>4598</v>
      </c>
      <c r="AQ34">
        <v>6251</v>
      </c>
      <c r="AR34">
        <v>6194</v>
      </c>
      <c r="AS34">
        <v>1508</v>
      </c>
      <c r="AT34">
        <v>332</v>
      </c>
      <c r="AU34">
        <v>17581</v>
      </c>
      <c r="AV34">
        <v>5750</v>
      </c>
      <c r="AW34">
        <v>620</v>
      </c>
      <c r="AX34">
        <v>3818</v>
      </c>
      <c r="AY34">
        <v>1237</v>
      </c>
      <c r="AZ34">
        <v>2244</v>
      </c>
      <c r="BA34">
        <v>13307</v>
      </c>
      <c r="BB34">
        <v>11097</v>
      </c>
      <c r="BC34">
        <v>74</v>
      </c>
    </row>
    <row r="35" spans="1:55">
      <c r="A35" s="1">
        <v>1153</v>
      </c>
      <c r="B35" s="1" t="s">
        <v>29</v>
      </c>
      <c r="C35" t="s">
        <v>207</v>
      </c>
      <c r="D35">
        <v>319599</v>
      </c>
      <c r="E35">
        <v>283483</v>
      </c>
      <c r="F35">
        <v>263446</v>
      </c>
      <c r="G35">
        <v>169300</v>
      </c>
      <c r="H35">
        <v>388</v>
      </c>
      <c r="I35">
        <v>384</v>
      </c>
      <c r="J35">
        <v>361</v>
      </c>
      <c r="K35">
        <v>359</v>
      </c>
      <c r="L35">
        <v>359</v>
      </c>
      <c r="M35">
        <v>61</v>
      </c>
      <c r="N35">
        <v>262</v>
      </c>
      <c r="O35">
        <v>0</v>
      </c>
      <c r="P35">
        <v>5</v>
      </c>
      <c r="Q35">
        <v>101651</v>
      </c>
      <c r="R35">
        <v>11487</v>
      </c>
      <c r="S35">
        <v>88685</v>
      </c>
      <c r="T35">
        <v>3190</v>
      </c>
      <c r="U35">
        <v>2765</v>
      </c>
      <c r="V35">
        <v>9840</v>
      </c>
      <c r="W35">
        <v>50866</v>
      </c>
      <c r="X35">
        <v>6935</v>
      </c>
      <c r="Y35">
        <v>6671</v>
      </c>
      <c r="Z35">
        <v>10404</v>
      </c>
      <c r="AA35">
        <v>1442</v>
      </c>
      <c r="AB35">
        <v>7556</v>
      </c>
      <c r="AC35">
        <v>2135</v>
      </c>
      <c r="AD35">
        <v>4258</v>
      </c>
      <c r="AE35">
        <v>22143</v>
      </c>
      <c r="AF35">
        <v>199</v>
      </c>
      <c r="AG35">
        <v>66499</v>
      </c>
      <c r="AH35">
        <v>62739</v>
      </c>
      <c r="AI35">
        <v>470</v>
      </c>
      <c r="AJ35">
        <v>78</v>
      </c>
      <c r="AK35">
        <v>60766</v>
      </c>
      <c r="AL35">
        <v>48237</v>
      </c>
      <c r="AM35">
        <v>381</v>
      </c>
      <c r="AN35">
        <v>17704</v>
      </c>
      <c r="AO35">
        <v>1858</v>
      </c>
      <c r="AP35">
        <v>15239</v>
      </c>
      <c r="AQ35">
        <v>25497</v>
      </c>
      <c r="AR35">
        <v>25441</v>
      </c>
      <c r="AS35">
        <v>2829</v>
      </c>
      <c r="AT35">
        <v>896</v>
      </c>
      <c r="AU35">
        <v>11119</v>
      </c>
      <c r="AV35">
        <v>1544</v>
      </c>
      <c r="AW35">
        <v>210</v>
      </c>
      <c r="AX35">
        <v>2155</v>
      </c>
      <c r="AY35">
        <v>1642</v>
      </c>
      <c r="AZ35">
        <v>393</v>
      </c>
      <c r="BA35">
        <v>7779</v>
      </c>
      <c r="BB35">
        <v>6462</v>
      </c>
      <c r="BC35">
        <v>51</v>
      </c>
    </row>
    <row r="36" spans="1:55">
      <c r="A36" s="1">
        <v>1154</v>
      </c>
      <c r="B36" s="1" t="s">
        <v>29</v>
      </c>
      <c r="C36" t="s">
        <v>208</v>
      </c>
      <c r="D36">
        <v>105939</v>
      </c>
      <c r="E36">
        <v>97892</v>
      </c>
      <c r="F36">
        <v>91684</v>
      </c>
      <c r="G36">
        <v>60528</v>
      </c>
      <c r="H36">
        <v>335</v>
      </c>
      <c r="I36">
        <v>321</v>
      </c>
      <c r="J36">
        <v>308</v>
      </c>
      <c r="K36">
        <v>303</v>
      </c>
      <c r="L36">
        <v>302</v>
      </c>
      <c r="M36">
        <v>106</v>
      </c>
      <c r="N36">
        <v>134</v>
      </c>
      <c r="O36">
        <v>2</v>
      </c>
      <c r="P36">
        <v>3</v>
      </c>
      <c r="Q36">
        <v>32196</v>
      </c>
      <c r="R36">
        <v>7484</v>
      </c>
      <c r="S36">
        <v>23914</v>
      </c>
      <c r="T36">
        <v>1421</v>
      </c>
      <c r="U36">
        <v>1744</v>
      </c>
      <c r="V36">
        <v>3775</v>
      </c>
      <c r="W36">
        <v>8938</v>
      </c>
      <c r="X36">
        <v>1834</v>
      </c>
      <c r="Y36">
        <v>1801</v>
      </c>
      <c r="Z36">
        <v>4384</v>
      </c>
      <c r="AA36">
        <v>399</v>
      </c>
      <c r="AB36">
        <v>2854</v>
      </c>
      <c r="AC36">
        <v>568</v>
      </c>
      <c r="AD36">
        <v>1902</v>
      </c>
      <c r="AE36">
        <v>8792</v>
      </c>
      <c r="AF36">
        <v>45</v>
      </c>
      <c r="AG36">
        <v>27484</v>
      </c>
      <c r="AH36">
        <v>25403</v>
      </c>
      <c r="AI36">
        <v>396</v>
      </c>
      <c r="AJ36">
        <v>217</v>
      </c>
      <c r="AK36">
        <v>23782</v>
      </c>
      <c r="AL36">
        <v>16705</v>
      </c>
      <c r="AM36">
        <v>228</v>
      </c>
      <c r="AN36">
        <v>6381</v>
      </c>
      <c r="AO36">
        <v>1479</v>
      </c>
      <c r="AP36">
        <v>4704</v>
      </c>
      <c r="AQ36">
        <v>9085</v>
      </c>
      <c r="AR36">
        <v>8302</v>
      </c>
      <c r="AS36">
        <v>3522</v>
      </c>
      <c r="AT36">
        <v>1031</v>
      </c>
      <c r="AU36">
        <v>6384</v>
      </c>
      <c r="AV36">
        <v>1591</v>
      </c>
      <c r="AW36">
        <v>223</v>
      </c>
      <c r="AX36">
        <v>1200</v>
      </c>
      <c r="AY36">
        <v>419</v>
      </c>
      <c r="AZ36">
        <v>718</v>
      </c>
      <c r="BA36">
        <v>4897</v>
      </c>
      <c r="BB36">
        <v>2190</v>
      </c>
      <c r="BC36">
        <v>87</v>
      </c>
    </row>
    <row r="37" spans="1:55">
      <c r="A37" s="1">
        <v>1156</v>
      </c>
      <c r="B37" s="1" t="s">
        <v>29</v>
      </c>
      <c r="C37" t="s">
        <v>210</v>
      </c>
      <c r="D37">
        <v>94953</v>
      </c>
      <c r="E37">
        <v>87185</v>
      </c>
      <c r="F37">
        <v>85970</v>
      </c>
      <c r="G37">
        <v>55444</v>
      </c>
      <c r="H37">
        <v>641</v>
      </c>
      <c r="I37">
        <v>615</v>
      </c>
      <c r="J37">
        <v>564</v>
      </c>
      <c r="K37">
        <v>557</v>
      </c>
      <c r="L37">
        <v>549</v>
      </c>
      <c r="M37">
        <v>152</v>
      </c>
      <c r="N37">
        <v>334</v>
      </c>
      <c r="O37">
        <v>64</v>
      </c>
      <c r="P37">
        <v>12</v>
      </c>
      <c r="Q37">
        <v>26662</v>
      </c>
      <c r="R37">
        <v>6097</v>
      </c>
      <c r="S37">
        <v>19150</v>
      </c>
      <c r="T37">
        <v>1374</v>
      </c>
      <c r="U37">
        <v>2846</v>
      </c>
      <c r="V37">
        <v>2831</v>
      </c>
      <c r="W37">
        <v>9192</v>
      </c>
      <c r="X37">
        <v>4548</v>
      </c>
      <c r="Y37">
        <v>4358</v>
      </c>
      <c r="Z37">
        <v>2090</v>
      </c>
      <c r="AA37">
        <v>269</v>
      </c>
      <c r="AB37">
        <v>1412</v>
      </c>
      <c r="AC37">
        <v>172</v>
      </c>
      <c r="AD37">
        <v>1162</v>
      </c>
      <c r="AE37">
        <v>6759</v>
      </c>
      <c r="AF37">
        <v>72</v>
      </c>
      <c r="AG37">
        <v>26319</v>
      </c>
      <c r="AH37">
        <v>24480</v>
      </c>
      <c r="AI37">
        <v>319</v>
      </c>
      <c r="AJ37">
        <v>271</v>
      </c>
      <c r="AK37">
        <v>22811</v>
      </c>
      <c r="AL37">
        <v>18172</v>
      </c>
      <c r="AM37">
        <v>338</v>
      </c>
      <c r="AN37">
        <v>8746</v>
      </c>
      <c r="AO37">
        <v>4190</v>
      </c>
      <c r="AP37">
        <v>3967</v>
      </c>
      <c r="AQ37">
        <v>7403</v>
      </c>
      <c r="AR37">
        <v>7256</v>
      </c>
      <c r="AS37">
        <v>4061</v>
      </c>
      <c r="AT37">
        <v>2269</v>
      </c>
      <c r="AU37">
        <v>3721</v>
      </c>
      <c r="AV37">
        <v>2150</v>
      </c>
      <c r="AW37">
        <v>963</v>
      </c>
      <c r="AX37">
        <v>766</v>
      </c>
      <c r="AY37">
        <v>226</v>
      </c>
      <c r="AZ37">
        <v>519</v>
      </c>
      <c r="BA37">
        <v>2396</v>
      </c>
      <c r="BB37">
        <v>1824</v>
      </c>
      <c r="BC37">
        <v>15</v>
      </c>
    </row>
    <row r="38" spans="1:55">
      <c r="A38" s="1">
        <v>1157</v>
      </c>
      <c r="B38" s="1" t="s">
        <v>29</v>
      </c>
      <c r="C38" t="s">
        <v>211</v>
      </c>
      <c r="D38">
        <v>137475</v>
      </c>
      <c r="E38">
        <v>125596</v>
      </c>
      <c r="F38">
        <v>123468</v>
      </c>
      <c r="G38">
        <v>89313</v>
      </c>
      <c r="H38">
        <v>297</v>
      </c>
      <c r="I38">
        <v>281</v>
      </c>
      <c r="J38">
        <v>246</v>
      </c>
      <c r="K38">
        <v>242</v>
      </c>
      <c r="L38">
        <v>236</v>
      </c>
      <c r="M38">
        <v>30</v>
      </c>
      <c r="N38">
        <v>155</v>
      </c>
      <c r="O38">
        <v>5</v>
      </c>
      <c r="P38">
        <v>4</v>
      </c>
      <c r="Q38">
        <v>31267</v>
      </c>
      <c r="R38">
        <v>6869</v>
      </c>
      <c r="S38">
        <v>23464</v>
      </c>
      <c r="T38">
        <v>970</v>
      </c>
      <c r="U38">
        <v>1505</v>
      </c>
      <c r="V38">
        <v>2763</v>
      </c>
      <c r="W38">
        <v>12545</v>
      </c>
      <c r="X38">
        <v>4416</v>
      </c>
      <c r="Y38">
        <v>4372</v>
      </c>
      <c r="Z38">
        <v>2588</v>
      </c>
      <c r="AA38">
        <v>321</v>
      </c>
      <c r="AB38">
        <v>1881</v>
      </c>
      <c r="AC38">
        <v>402</v>
      </c>
      <c r="AD38">
        <v>1373</v>
      </c>
      <c r="AE38">
        <v>6866</v>
      </c>
      <c r="AF38">
        <v>74</v>
      </c>
      <c r="AG38">
        <v>54964</v>
      </c>
      <c r="AH38">
        <v>50396</v>
      </c>
      <c r="AI38">
        <v>700</v>
      </c>
      <c r="AJ38">
        <v>391</v>
      </c>
      <c r="AK38">
        <v>47115</v>
      </c>
      <c r="AL38">
        <v>35712</v>
      </c>
      <c r="AM38">
        <v>349</v>
      </c>
      <c r="AN38">
        <v>20614</v>
      </c>
      <c r="AO38">
        <v>11006</v>
      </c>
      <c r="AP38">
        <v>8241</v>
      </c>
      <c r="AQ38">
        <v>11938</v>
      </c>
      <c r="AR38">
        <v>10811</v>
      </c>
      <c r="AS38">
        <v>8018</v>
      </c>
      <c r="AT38">
        <v>4409</v>
      </c>
      <c r="AU38">
        <v>9125</v>
      </c>
      <c r="AV38">
        <v>3865</v>
      </c>
      <c r="AW38">
        <v>2103</v>
      </c>
      <c r="AX38">
        <v>2077</v>
      </c>
      <c r="AY38">
        <v>592</v>
      </c>
      <c r="AZ38">
        <v>1425</v>
      </c>
      <c r="BA38">
        <v>6019</v>
      </c>
      <c r="BB38">
        <v>3844</v>
      </c>
      <c r="BC38">
        <v>66</v>
      </c>
    </row>
    <row r="39" spans="1:55">
      <c r="A39" s="1">
        <v>1158</v>
      </c>
      <c r="B39" s="1" t="s">
        <v>29</v>
      </c>
      <c r="C39" t="s">
        <v>212</v>
      </c>
      <c r="D39">
        <v>214097</v>
      </c>
      <c r="E39">
        <v>190556</v>
      </c>
      <c r="F39">
        <v>189560</v>
      </c>
      <c r="G39">
        <v>124663</v>
      </c>
      <c r="H39">
        <v>241</v>
      </c>
      <c r="I39">
        <v>235</v>
      </c>
      <c r="J39">
        <v>222</v>
      </c>
      <c r="K39">
        <v>217</v>
      </c>
      <c r="L39">
        <v>208</v>
      </c>
      <c r="M39">
        <v>56</v>
      </c>
      <c r="N39">
        <v>76</v>
      </c>
      <c r="O39">
        <v>1</v>
      </c>
      <c r="P39">
        <v>1</v>
      </c>
      <c r="Q39">
        <v>48445</v>
      </c>
      <c r="R39">
        <v>6964</v>
      </c>
      <c r="S39">
        <v>40514</v>
      </c>
      <c r="T39">
        <v>2326</v>
      </c>
      <c r="U39">
        <v>2358</v>
      </c>
      <c r="V39">
        <v>3722</v>
      </c>
      <c r="W39">
        <v>15650</v>
      </c>
      <c r="X39">
        <v>4558</v>
      </c>
      <c r="Y39">
        <v>4266</v>
      </c>
      <c r="Z39">
        <v>4097</v>
      </c>
      <c r="AA39">
        <v>609</v>
      </c>
      <c r="AB39">
        <v>3187</v>
      </c>
      <c r="AC39">
        <v>236</v>
      </c>
      <c r="AD39">
        <v>2702</v>
      </c>
      <c r="AE39">
        <v>17033</v>
      </c>
      <c r="AF39">
        <v>175</v>
      </c>
      <c r="AG39">
        <v>72912</v>
      </c>
      <c r="AH39">
        <v>66004</v>
      </c>
      <c r="AI39">
        <v>1116</v>
      </c>
      <c r="AJ39">
        <v>2749</v>
      </c>
      <c r="AK39">
        <v>57409</v>
      </c>
      <c r="AL39">
        <v>36438</v>
      </c>
      <c r="AM39">
        <v>283</v>
      </c>
      <c r="AN39">
        <v>24524</v>
      </c>
      <c r="AO39">
        <v>11148</v>
      </c>
      <c r="AP39">
        <v>12017</v>
      </c>
      <c r="AQ39">
        <v>8734</v>
      </c>
      <c r="AR39">
        <v>8574</v>
      </c>
      <c r="AS39">
        <v>8198</v>
      </c>
      <c r="AT39">
        <v>5403</v>
      </c>
      <c r="AU39">
        <v>17653</v>
      </c>
      <c r="AV39">
        <v>5720</v>
      </c>
      <c r="AW39">
        <v>3767</v>
      </c>
      <c r="AX39">
        <v>12292</v>
      </c>
      <c r="AY39">
        <v>1419</v>
      </c>
      <c r="AZ39">
        <v>10653</v>
      </c>
      <c r="BA39">
        <v>4037</v>
      </c>
      <c r="BB39">
        <v>3143</v>
      </c>
      <c r="BC39">
        <v>48</v>
      </c>
    </row>
    <row r="40" spans="1:55">
      <c r="A40" s="1">
        <v>1159</v>
      </c>
      <c r="B40" s="1" t="s">
        <v>29</v>
      </c>
      <c r="C40" t="s">
        <v>213</v>
      </c>
      <c r="D40">
        <v>152950</v>
      </c>
      <c r="E40">
        <v>139335</v>
      </c>
      <c r="F40">
        <v>134934</v>
      </c>
      <c r="G40">
        <v>86737</v>
      </c>
      <c r="H40">
        <v>781</v>
      </c>
      <c r="I40">
        <v>765</v>
      </c>
      <c r="J40">
        <v>725</v>
      </c>
      <c r="K40">
        <v>717</v>
      </c>
      <c r="L40">
        <v>714</v>
      </c>
      <c r="M40">
        <v>115</v>
      </c>
      <c r="N40">
        <v>490</v>
      </c>
      <c r="O40">
        <v>14</v>
      </c>
      <c r="P40">
        <v>10</v>
      </c>
      <c r="Q40">
        <v>38718</v>
      </c>
      <c r="R40">
        <v>8069</v>
      </c>
      <c r="S40">
        <v>29938</v>
      </c>
      <c r="T40">
        <v>850</v>
      </c>
      <c r="U40">
        <v>875</v>
      </c>
      <c r="V40">
        <v>3349</v>
      </c>
      <c r="W40">
        <v>13222</v>
      </c>
      <c r="X40">
        <v>1737</v>
      </c>
      <c r="Y40">
        <v>738</v>
      </c>
      <c r="Z40">
        <v>5667</v>
      </c>
      <c r="AA40">
        <v>932</v>
      </c>
      <c r="AB40">
        <v>3188</v>
      </c>
      <c r="AC40">
        <v>39</v>
      </c>
      <c r="AD40">
        <v>3071</v>
      </c>
      <c r="AE40">
        <v>9911</v>
      </c>
      <c r="AF40">
        <v>107</v>
      </c>
      <c r="AG40">
        <v>46362</v>
      </c>
      <c r="AH40">
        <v>43958</v>
      </c>
      <c r="AI40">
        <v>244</v>
      </c>
      <c r="AJ40">
        <v>814</v>
      </c>
      <c r="AK40">
        <v>41117</v>
      </c>
      <c r="AL40">
        <v>23748</v>
      </c>
      <c r="AM40">
        <v>247</v>
      </c>
      <c r="AN40">
        <v>9778</v>
      </c>
      <c r="AO40">
        <v>2655</v>
      </c>
      <c r="AP40">
        <v>6816</v>
      </c>
      <c r="AQ40">
        <v>10709</v>
      </c>
      <c r="AR40">
        <v>10638</v>
      </c>
      <c r="AS40">
        <v>2148</v>
      </c>
      <c r="AT40">
        <v>305</v>
      </c>
      <c r="AU40">
        <v>13853</v>
      </c>
      <c r="AV40">
        <v>3698</v>
      </c>
      <c r="AW40">
        <v>162</v>
      </c>
      <c r="AX40">
        <v>1581</v>
      </c>
      <c r="AY40">
        <v>688</v>
      </c>
      <c r="AZ40">
        <v>845</v>
      </c>
      <c r="BA40">
        <v>11634</v>
      </c>
      <c r="BB40">
        <v>8984</v>
      </c>
      <c r="BC40">
        <v>59</v>
      </c>
    </row>
    <row r="41" spans="1:55">
      <c r="A41" s="1">
        <v>1160</v>
      </c>
      <c r="B41" s="1" t="s">
        <v>29</v>
      </c>
      <c r="C41" t="s">
        <v>214</v>
      </c>
      <c r="D41">
        <v>99510</v>
      </c>
      <c r="E41">
        <v>93685</v>
      </c>
      <c r="F41">
        <v>90392</v>
      </c>
      <c r="G41">
        <v>55396</v>
      </c>
      <c r="H41">
        <v>282</v>
      </c>
      <c r="I41">
        <v>277</v>
      </c>
      <c r="J41">
        <v>271</v>
      </c>
      <c r="K41">
        <v>271</v>
      </c>
      <c r="L41">
        <v>271</v>
      </c>
      <c r="M41">
        <v>142</v>
      </c>
      <c r="N41">
        <v>109</v>
      </c>
      <c r="O41">
        <v>0</v>
      </c>
      <c r="P41">
        <v>2</v>
      </c>
      <c r="Q41">
        <v>32289</v>
      </c>
      <c r="R41">
        <v>3261</v>
      </c>
      <c r="S41">
        <v>28515</v>
      </c>
      <c r="T41">
        <v>2174</v>
      </c>
      <c r="U41">
        <v>6082</v>
      </c>
      <c r="V41">
        <v>5683</v>
      </c>
      <c r="W41">
        <v>8971</v>
      </c>
      <c r="X41">
        <v>2751</v>
      </c>
      <c r="Y41">
        <v>2632</v>
      </c>
      <c r="Z41">
        <v>3263</v>
      </c>
      <c r="AA41">
        <v>275</v>
      </c>
      <c r="AB41">
        <v>2653</v>
      </c>
      <c r="AC41">
        <v>422</v>
      </c>
      <c r="AD41">
        <v>2028</v>
      </c>
      <c r="AE41">
        <v>14793</v>
      </c>
      <c r="AF41">
        <v>69</v>
      </c>
      <c r="AG41">
        <v>22349</v>
      </c>
      <c r="AH41">
        <v>20906</v>
      </c>
      <c r="AI41">
        <v>259</v>
      </c>
      <c r="AJ41">
        <v>255</v>
      </c>
      <c r="AK41">
        <v>19213</v>
      </c>
      <c r="AL41">
        <v>11320</v>
      </c>
      <c r="AM41">
        <v>131</v>
      </c>
      <c r="AN41">
        <v>5266</v>
      </c>
      <c r="AO41">
        <v>2098</v>
      </c>
      <c r="AP41">
        <v>2784</v>
      </c>
      <c r="AQ41">
        <v>5161</v>
      </c>
      <c r="AR41">
        <v>5052</v>
      </c>
      <c r="AS41">
        <v>1286</v>
      </c>
      <c r="AT41">
        <v>290</v>
      </c>
      <c r="AU41">
        <v>6666</v>
      </c>
      <c r="AV41">
        <v>1860</v>
      </c>
      <c r="AW41">
        <v>163</v>
      </c>
      <c r="AX41">
        <v>1839</v>
      </c>
      <c r="AY41">
        <v>332</v>
      </c>
      <c r="AZ41">
        <v>1471</v>
      </c>
      <c r="BA41">
        <v>4636</v>
      </c>
      <c r="BB41">
        <v>3976</v>
      </c>
      <c r="BC41">
        <v>8</v>
      </c>
    </row>
    <row r="42" spans="1:55">
      <c r="A42" s="1">
        <v>1162</v>
      </c>
      <c r="B42" s="1" t="s">
        <v>29</v>
      </c>
      <c r="C42" t="s">
        <v>215</v>
      </c>
      <c r="D42">
        <v>135286</v>
      </c>
      <c r="E42">
        <v>129503</v>
      </c>
      <c r="F42">
        <v>117499</v>
      </c>
      <c r="G42">
        <v>71413</v>
      </c>
      <c r="H42">
        <v>640</v>
      </c>
      <c r="I42">
        <v>632</v>
      </c>
      <c r="J42">
        <v>601</v>
      </c>
      <c r="K42">
        <v>600</v>
      </c>
      <c r="L42">
        <v>599</v>
      </c>
      <c r="M42">
        <v>260</v>
      </c>
      <c r="N42">
        <v>255</v>
      </c>
      <c r="O42">
        <v>5</v>
      </c>
      <c r="P42">
        <v>2</v>
      </c>
      <c r="Q42">
        <v>42949</v>
      </c>
      <c r="R42">
        <v>5080</v>
      </c>
      <c r="S42">
        <v>36468</v>
      </c>
      <c r="T42">
        <v>982</v>
      </c>
      <c r="U42">
        <v>871</v>
      </c>
      <c r="V42">
        <v>2221</v>
      </c>
      <c r="W42">
        <v>16155</v>
      </c>
      <c r="X42">
        <v>6379</v>
      </c>
      <c r="Y42">
        <v>6188</v>
      </c>
      <c r="Z42">
        <v>6344</v>
      </c>
      <c r="AA42">
        <v>829</v>
      </c>
      <c r="AB42">
        <v>4552</v>
      </c>
      <c r="AC42">
        <v>20</v>
      </c>
      <c r="AD42">
        <v>4315</v>
      </c>
      <c r="AE42">
        <v>11021</v>
      </c>
      <c r="AF42">
        <v>148</v>
      </c>
      <c r="AG42">
        <v>26899</v>
      </c>
      <c r="AH42">
        <v>24696</v>
      </c>
      <c r="AI42">
        <v>424</v>
      </c>
      <c r="AJ42">
        <v>141</v>
      </c>
      <c r="AK42">
        <v>22934</v>
      </c>
      <c r="AL42">
        <v>11778</v>
      </c>
      <c r="AM42">
        <v>115</v>
      </c>
      <c r="AN42">
        <v>5611</v>
      </c>
      <c r="AO42">
        <v>1616</v>
      </c>
      <c r="AP42">
        <v>3757</v>
      </c>
      <c r="AQ42">
        <v>5308</v>
      </c>
      <c r="AR42">
        <v>5280</v>
      </c>
      <c r="AS42">
        <v>1356</v>
      </c>
      <c r="AT42">
        <v>692</v>
      </c>
      <c r="AU42">
        <v>9307</v>
      </c>
      <c r="AV42">
        <v>3025</v>
      </c>
      <c r="AW42">
        <v>406</v>
      </c>
      <c r="AX42">
        <v>2138</v>
      </c>
      <c r="AY42">
        <v>799</v>
      </c>
      <c r="AZ42">
        <v>1300</v>
      </c>
      <c r="BA42">
        <v>6817</v>
      </c>
      <c r="BB42">
        <v>5862</v>
      </c>
      <c r="BC42">
        <v>20</v>
      </c>
    </row>
    <row r="43" spans="1:55">
      <c r="A43" s="1">
        <v>1164</v>
      </c>
      <c r="B43" s="1" t="s">
        <v>29</v>
      </c>
      <c r="C43" t="s">
        <v>216</v>
      </c>
      <c r="D43">
        <v>62413</v>
      </c>
      <c r="E43">
        <v>59157</v>
      </c>
      <c r="F43">
        <v>55171</v>
      </c>
      <c r="G43">
        <v>21132</v>
      </c>
      <c r="H43">
        <v>165</v>
      </c>
      <c r="I43">
        <v>162</v>
      </c>
      <c r="J43">
        <v>149</v>
      </c>
      <c r="K43">
        <v>149</v>
      </c>
      <c r="L43">
        <v>149</v>
      </c>
      <c r="M43">
        <v>52</v>
      </c>
      <c r="N43">
        <v>84</v>
      </c>
      <c r="O43">
        <v>1</v>
      </c>
      <c r="P43">
        <v>0</v>
      </c>
      <c r="Q43">
        <v>8185</v>
      </c>
      <c r="R43">
        <v>1962</v>
      </c>
      <c r="S43">
        <v>6031</v>
      </c>
      <c r="T43">
        <v>339</v>
      </c>
      <c r="U43">
        <v>614</v>
      </c>
      <c r="V43">
        <v>816</v>
      </c>
      <c r="W43">
        <v>1652</v>
      </c>
      <c r="X43">
        <v>942</v>
      </c>
      <c r="Y43">
        <v>880</v>
      </c>
      <c r="Z43">
        <v>1111</v>
      </c>
      <c r="AA43">
        <v>49</v>
      </c>
      <c r="AB43">
        <v>759</v>
      </c>
      <c r="AC43">
        <v>15</v>
      </c>
      <c r="AD43">
        <v>705</v>
      </c>
      <c r="AE43">
        <v>2674</v>
      </c>
      <c r="AF43">
        <v>14</v>
      </c>
      <c r="AG43">
        <v>12549</v>
      </c>
      <c r="AH43">
        <v>11822</v>
      </c>
      <c r="AI43">
        <v>152</v>
      </c>
      <c r="AJ43">
        <v>58</v>
      </c>
      <c r="AK43">
        <v>11145</v>
      </c>
      <c r="AL43">
        <v>6993</v>
      </c>
      <c r="AM43">
        <v>94</v>
      </c>
      <c r="AN43">
        <v>5031</v>
      </c>
      <c r="AO43">
        <v>1372</v>
      </c>
      <c r="AP43">
        <v>3146</v>
      </c>
      <c r="AQ43">
        <v>1598</v>
      </c>
      <c r="AR43">
        <v>1572</v>
      </c>
      <c r="AS43">
        <v>560</v>
      </c>
      <c r="AT43">
        <v>297</v>
      </c>
      <c r="AU43">
        <v>3815</v>
      </c>
      <c r="AV43">
        <v>657</v>
      </c>
      <c r="AW43">
        <v>94</v>
      </c>
      <c r="AX43">
        <v>934</v>
      </c>
      <c r="AY43">
        <v>302</v>
      </c>
      <c r="AZ43">
        <v>568</v>
      </c>
      <c r="BA43">
        <v>2737</v>
      </c>
      <c r="BB43">
        <v>2549</v>
      </c>
      <c r="BC43">
        <v>4</v>
      </c>
    </row>
    <row r="44" spans="1:55">
      <c r="A44" s="1">
        <v>1165</v>
      </c>
      <c r="B44" s="1" t="s">
        <v>29</v>
      </c>
      <c r="C44" t="s">
        <v>217</v>
      </c>
      <c r="D44">
        <v>232949</v>
      </c>
      <c r="E44">
        <v>206715</v>
      </c>
      <c r="F44">
        <v>194926</v>
      </c>
      <c r="G44">
        <v>110284</v>
      </c>
      <c r="H44">
        <v>166</v>
      </c>
      <c r="I44">
        <v>160</v>
      </c>
      <c r="J44">
        <v>142</v>
      </c>
      <c r="K44">
        <v>142</v>
      </c>
      <c r="L44">
        <v>141</v>
      </c>
      <c r="M44">
        <v>48</v>
      </c>
      <c r="N44">
        <v>79</v>
      </c>
      <c r="O44">
        <v>0</v>
      </c>
      <c r="P44">
        <v>3</v>
      </c>
      <c r="Q44">
        <v>53013</v>
      </c>
      <c r="R44">
        <v>5540</v>
      </c>
      <c r="S44">
        <v>47119</v>
      </c>
      <c r="T44">
        <v>1474</v>
      </c>
      <c r="U44">
        <v>2304</v>
      </c>
      <c r="V44">
        <v>7043</v>
      </c>
      <c r="W44">
        <v>28715</v>
      </c>
      <c r="X44">
        <v>3147</v>
      </c>
      <c r="Y44">
        <v>3091</v>
      </c>
      <c r="Z44">
        <v>3650</v>
      </c>
      <c r="AA44">
        <v>506</v>
      </c>
      <c r="AB44">
        <v>2323</v>
      </c>
      <c r="AC44">
        <v>405</v>
      </c>
      <c r="AD44">
        <v>1640</v>
      </c>
      <c r="AE44">
        <v>13226</v>
      </c>
      <c r="AF44">
        <v>157</v>
      </c>
      <c r="AG44">
        <v>56573</v>
      </c>
      <c r="AH44">
        <v>54079</v>
      </c>
      <c r="AI44">
        <v>111</v>
      </c>
      <c r="AJ44">
        <v>237</v>
      </c>
      <c r="AK44">
        <v>52511</v>
      </c>
      <c r="AL44">
        <v>26321</v>
      </c>
      <c r="AM44">
        <v>158</v>
      </c>
      <c r="AN44">
        <v>10207</v>
      </c>
      <c r="AO44">
        <v>2443</v>
      </c>
      <c r="AP44">
        <v>7267</v>
      </c>
      <c r="AQ44">
        <v>13234</v>
      </c>
      <c r="AR44">
        <v>13181</v>
      </c>
      <c r="AS44">
        <v>1739</v>
      </c>
      <c r="AT44">
        <v>374</v>
      </c>
      <c r="AU44">
        <v>22946</v>
      </c>
      <c r="AV44">
        <v>2649</v>
      </c>
      <c r="AW44">
        <v>288</v>
      </c>
      <c r="AX44">
        <v>4297</v>
      </c>
      <c r="AY44">
        <v>2348</v>
      </c>
      <c r="AZ44">
        <v>1810</v>
      </c>
      <c r="BA44">
        <v>16832</v>
      </c>
      <c r="BB44">
        <v>6730</v>
      </c>
      <c r="BC44">
        <v>49</v>
      </c>
    </row>
    <row r="45" spans="1:55">
      <c r="A45" s="1">
        <v>1166</v>
      </c>
      <c r="B45" s="1" t="s">
        <v>29</v>
      </c>
      <c r="C45" t="s">
        <v>218</v>
      </c>
      <c r="D45">
        <v>86919</v>
      </c>
      <c r="E45">
        <v>81185</v>
      </c>
      <c r="F45">
        <v>78665</v>
      </c>
      <c r="G45">
        <v>49508</v>
      </c>
      <c r="H45">
        <v>92</v>
      </c>
      <c r="I45">
        <v>90</v>
      </c>
      <c r="J45">
        <v>86</v>
      </c>
      <c r="K45">
        <v>84</v>
      </c>
      <c r="L45">
        <v>84</v>
      </c>
      <c r="M45">
        <v>17</v>
      </c>
      <c r="N45">
        <v>58</v>
      </c>
      <c r="O45">
        <v>1</v>
      </c>
      <c r="P45">
        <v>1</v>
      </c>
      <c r="Q45">
        <v>24820</v>
      </c>
      <c r="R45">
        <v>3921</v>
      </c>
      <c r="S45">
        <v>20293</v>
      </c>
      <c r="T45">
        <v>717</v>
      </c>
      <c r="U45">
        <v>1560</v>
      </c>
      <c r="V45">
        <v>2990</v>
      </c>
      <c r="W45">
        <v>8315</v>
      </c>
      <c r="X45">
        <v>1019</v>
      </c>
      <c r="Y45">
        <v>1007</v>
      </c>
      <c r="Z45">
        <v>3475</v>
      </c>
      <c r="AA45">
        <v>534</v>
      </c>
      <c r="AB45">
        <v>2727</v>
      </c>
      <c r="AC45">
        <v>357</v>
      </c>
      <c r="AD45">
        <v>2123</v>
      </c>
      <c r="AE45">
        <v>7120</v>
      </c>
      <c r="AF45">
        <v>31</v>
      </c>
      <c r="AG45">
        <v>24379</v>
      </c>
      <c r="AH45">
        <v>21837</v>
      </c>
      <c r="AI45">
        <v>93</v>
      </c>
      <c r="AJ45">
        <v>251</v>
      </c>
      <c r="AK45">
        <v>20954</v>
      </c>
      <c r="AL45">
        <v>11790</v>
      </c>
      <c r="AM45">
        <v>55</v>
      </c>
      <c r="AN45">
        <v>6357</v>
      </c>
      <c r="AO45">
        <v>1930</v>
      </c>
      <c r="AP45">
        <v>3879</v>
      </c>
      <c r="AQ45">
        <v>4362</v>
      </c>
      <c r="AR45">
        <v>4285</v>
      </c>
      <c r="AS45">
        <v>637</v>
      </c>
      <c r="AT45">
        <v>191</v>
      </c>
      <c r="AU45">
        <v>7680</v>
      </c>
      <c r="AV45">
        <v>432</v>
      </c>
      <c r="AW45">
        <v>103</v>
      </c>
      <c r="AX45">
        <v>2100</v>
      </c>
      <c r="AY45">
        <v>475</v>
      </c>
      <c r="AZ45">
        <v>1487</v>
      </c>
      <c r="BA45">
        <v>5215</v>
      </c>
      <c r="BB45">
        <v>2100</v>
      </c>
      <c r="BC45">
        <v>283</v>
      </c>
    </row>
    <row r="46" spans="1:55">
      <c r="A46" s="1">
        <v>1172</v>
      </c>
      <c r="B46" s="1" t="s">
        <v>29</v>
      </c>
      <c r="C46" t="s">
        <v>221</v>
      </c>
      <c r="D46">
        <v>166329</v>
      </c>
      <c r="E46">
        <v>161188</v>
      </c>
      <c r="F46">
        <v>150664</v>
      </c>
      <c r="G46">
        <v>61303</v>
      </c>
      <c r="H46">
        <v>29</v>
      </c>
      <c r="I46">
        <v>28</v>
      </c>
      <c r="J46">
        <v>26</v>
      </c>
      <c r="K46">
        <v>24</v>
      </c>
      <c r="L46">
        <v>24</v>
      </c>
      <c r="M46">
        <v>8</v>
      </c>
      <c r="N46">
        <v>13</v>
      </c>
      <c r="O46">
        <v>0</v>
      </c>
      <c r="P46">
        <v>0</v>
      </c>
      <c r="Q46">
        <v>29370</v>
      </c>
      <c r="R46">
        <v>4066</v>
      </c>
      <c r="S46">
        <v>24675</v>
      </c>
      <c r="T46">
        <v>1320</v>
      </c>
      <c r="U46">
        <v>1519</v>
      </c>
      <c r="V46">
        <v>2573</v>
      </c>
      <c r="W46">
        <v>12678</v>
      </c>
      <c r="X46">
        <v>8608</v>
      </c>
      <c r="Y46">
        <v>8014</v>
      </c>
      <c r="Z46">
        <v>1402</v>
      </c>
      <c r="AA46">
        <v>204</v>
      </c>
      <c r="AB46">
        <v>1031</v>
      </c>
      <c r="AC46">
        <v>28</v>
      </c>
      <c r="AD46">
        <v>957</v>
      </c>
      <c r="AE46">
        <v>9328</v>
      </c>
      <c r="AF46">
        <v>79</v>
      </c>
      <c r="AG46">
        <v>31580</v>
      </c>
      <c r="AH46">
        <v>29260</v>
      </c>
      <c r="AI46">
        <v>479</v>
      </c>
      <c r="AJ46">
        <v>322</v>
      </c>
      <c r="AK46">
        <v>26675</v>
      </c>
      <c r="AL46">
        <v>11069</v>
      </c>
      <c r="AM46">
        <v>78</v>
      </c>
      <c r="AN46">
        <v>5582</v>
      </c>
      <c r="AO46">
        <v>423</v>
      </c>
      <c r="AP46">
        <v>4908</v>
      </c>
      <c r="AQ46">
        <v>4501</v>
      </c>
      <c r="AR46">
        <v>4463</v>
      </c>
      <c r="AS46">
        <v>1306</v>
      </c>
      <c r="AT46">
        <v>643</v>
      </c>
      <c r="AU46">
        <v>13901</v>
      </c>
      <c r="AV46">
        <v>4019</v>
      </c>
      <c r="AW46">
        <v>715</v>
      </c>
      <c r="AX46">
        <v>2180</v>
      </c>
      <c r="AY46">
        <v>1686</v>
      </c>
      <c r="AZ46">
        <v>368</v>
      </c>
      <c r="BA46">
        <v>11102</v>
      </c>
      <c r="BB46">
        <v>9531</v>
      </c>
      <c r="BC46">
        <v>28</v>
      </c>
    </row>
    <row r="47" spans="1:55">
      <c r="A47" s="1">
        <v>1178</v>
      </c>
      <c r="B47" s="1" t="s">
        <v>29</v>
      </c>
      <c r="C47" t="s">
        <v>222</v>
      </c>
      <c r="D47">
        <v>89352</v>
      </c>
      <c r="E47">
        <v>81651</v>
      </c>
      <c r="F47">
        <v>80568</v>
      </c>
      <c r="G47">
        <v>40335</v>
      </c>
      <c r="H47">
        <v>930</v>
      </c>
      <c r="I47">
        <v>863</v>
      </c>
      <c r="J47">
        <v>819</v>
      </c>
      <c r="K47">
        <v>814</v>
      </c>
      <c r="L47">
        <v>790</v>
      </c>
      <c r="M47">
        <v>200</v>
      </c>
      <c r="N47">
        <v>413</v>
      </c>
      <c r="O47">
        <v>14</v>
      </c>
      <c r="P47">
        <v>12</v>
      </c>
      <c r="Q47">
        <v>15803</v>
      </c>
      <c r="R47">
        <v>2012</v>
      </c>
      <c r="S47">
        <v>12928</v>
      </c>
      <c r="T47">
        <v>769</v>
      </c>
      <c r="U47">
        <v>1030</v>
      </c>
      <c r="V47">
        <v>1560</v>
      </c>
      <c r="W47">
        <v>3481</v>
      </c>
      <c r="X47">
        <v>584</v>
      </c>
      <c r="Y47">
        <v>562</v>
      </c>
      <c r="Z47">
        <v>4304</v>
      </c>
      <c r="AA47">
        <v>850</v>
      </c>
      <c r="AB47">
        <v>2970</v>
      </c>
      <c r="AC47">
        <v>394</v>
      </c>
      <c r="AD47">
        <v>2363</v>
      </c>
      <c r="AE47">
        <v>4196</v>
      </c>
      <c r="AF47">
        <v>71</v>
      </c>
      <c r="AG47">
        <v>20951</v>
      </c>
      <c r="AH47">
        <v>18832</v>
      </c>
      <c r="AI47">
        <v>356</v>
      </c>
      <c r="AJ47">
        <v>609</v>
      </c>
      <c r="AK47">
        <v>16515</v>
      </c>
      <c r="AL47">
        <v>8015</v>
      </c>
      <c r="AM47">
        <v>99</v>
      </c>
      <c r="AN47">
        <v>3782</v>
      </c>
      <c r="AO47">
        <v>1934</v>
      </c>
      <c r="AP47">
        <v>1628</v>
      </c>
      <c r="AQ47">
        <v>3432</v>
      </c>
      <c r="AR47">
        <v>3057</v>
      </c>
      <c r="AS47">
        <v>2207</v>
      </c>
      <c r="AT47">
        <v>1637</v>
      </c>
      <c r="AU47">
        <v>7909</v>
      </c>
      <c r="AV47">
        <v>2726</v>
      </c>
      <c r="AW47">
        <v>2073</v>
      </c>
      <c r="AX47">
        <v>688</v>
      </c>
      <c r="AY47">
        <v>211</v>
      </c>
      <c r="AZ47">
        <v>447</v>
      </c>
      <c r="BA47">
        <v>6305</v>
      </c>
      <c r="BB47">
        <v>2068</v>
      </c>
      <c r="BC47">
        <v>25</v>
      </c>
    </row>
    <row r="48" spans="1:55">
      <c r="A48" s="1">
        <v>1181</v>
      </c>
      <c r="B48" s="1" t="s">
        <v>29</v>
      </c>
      <c r="C48" t="s">
        <v>223</v>
      </c>
      <c r="D48">
        <v>103950</v>
      </c>
      <c r="E48">
        <v>100965</v>
      </c>
      <c r="F48">
        <v>93340</v>
      </c>
      <c r="G48">
        <v>40289</v>
      </c>
      <c r="H48">
        <v>16</v>
      </c>
      <c r="I48">
        <v>15</v>
      </c>
      <c r="J48">
        <v>15</v>
      </c>
      <c r="K48">
        <v>13</v>
      </c>
      <c r="L48">
        <v>13</v>
      </c>
      <c r="M48">
        <v>8</v>
      </c>
      <c r="N48">
        <v>3</v>
      </c>
      <c r="O48">
        <v>0</v>
      </c>
      <c r="P48">
        <v>0</v>
      </c>
      <c r="Q48">
        <v>23423</v>
      </c>
      <c r="R48">
        <v>1579</v>
      </c>
      <c r="S48">
        <v>21529</v>
      </c>
      <c r="T48">
        <v>295</v>
      </c>
      <c r="U48">
        <v>274</v>
      </c>
      <c r="V48">
        <v>6737</v>
      </c>
      <c r="W48">
        <v>1640</v>
      </c>
      <c r="X48">
        <v>613</v>
      </c>
      <c r="Y48">
        <v>579</v>
      </c>
      <c r="Z48">
        <v>4511</v>
      </c>
      <c r="AA48">
        <v>65</v>
      </c>
      <c r="AB48">
        <v>4031</v>
      </c>
      <c r="AC48">
        <v>1679</v>
      </c>
      <c r="AD48">
        <v>592</v>
      </c>
      <c r="AE48">
        <v>10063</v>
      </c>
      <c r="AF48">
        <v>32</v>
      </c>
      <c r="AG48">
        <v>16268</v>
      </c>
      <c r="AH48">
        <v>9103</v>
      </c>
      <c r="AI48">
        <v>4</v>
      </c>
      <c r="AJ48">
        <v>11</v>
      </c>
      <c r="AK48">
        <v>9059</v>
      </c>
      <c r="AL48">
        <v>5271</v>
      </c>
      <c r="AM48">
        <v>6</v>
      </c>
      <c r="AN48">
        <v>1563</v>
      </c>
      <c r="AO48">
        <v>240</v>
      </c>
      <c r="AP48">
        <v>1229</v>
      </c>
      <c r="AQ48">
        <v>3292</v>
      </c>
      <c r="AR48">
        <v>3279</v>
      </c>
      <c r="AS48">
        <v>61</v>
      </c>
      <c r="AT48">
        <v>5</v>
      </c>
      <c r="AU48">
        <v>2779</v>
      </c>
      <c r="AV48">
        <v>63</v>
      </c>
      <c r="AW48">
        <v>2</v>
      </c>
      <c r="AX48">
        <v>505</v>
      </c>
      <c r="AY48">
        <v>291</v>
      </c>
      <c r="AZ48">
        <v>169</v>
      </c>
      <c r="BA48">
        <v>2077</v>
      </c>
      <c r="BB48">
        <v>1993</v>
      </c>
      <c r="BC48">
        <v>9</v>
      </c>
    </row>
    <row r="49" spans="1:55">
      <c r="A49" s="1">
        <v>1186</v>
      </c>
      <c r="B49" s="1" t="s">
        <v>29</v>
      </c>
      <c r="C49" t="s">
        <v>224</v>
      </c>
      <c r="D49">
        <v>130376</v>
      </c>
      <c r="E49">
        <v>126147</v>
      </c>
      <c r="F49">
        <v>120112</v>
      </c>
      <c r="G49">
        <v>94813</v>
      </c>
      <c r="H49">
        <v>12</v>
      </c>
      <c r="I49">
        <v>12</v>
      </c>
      <c r="J49">
        <v>10</v>
      </c>
      <c r="K49">
        <v>10</v>
      </c>
      <c r="L49">
        <v>10</v>
      </c>
      <c r="M49">
        <v>5</v>
      </c>
      <c r="N49">
        <v>3</v>
      </c>
      <c r="O49">
        <v>0</v>
      </c>
      <c r="P49">
        <v>0</v>
      </c>
      <c r="Q49">
        <v>23970</v>
      </c>
      <c r="R49">
        <v>4860</v>
      </c>
      <c r="S49">
        <v>18848</v>
      </c>
      <c r="T49">
        <v>2080</v>
      </c>
      <c r="U49">
        <v>1118</v>
      </c>
      <c r="V49">
        <v>1173</v>
      </c>
      <c r="W49">
        <v>2367</v>
      </c>
      <c r="X49">
        <v>602</v>
      </c>
      <c r="Y49">
        <v>552</v>
      </c>
      <c r="Z49">
        <v>1300</v>
      </c>
      <c r="AA49">
        <v>199</v>
      </c>
      <c r="AB49">
        <v>977</v>
      </c>
      <c r="AC49">
        <v>45</v>
      </c>
      <c r="AD49">
        <v>788</v>
      </c>
      <c r="AE49">
        <v>14358</v>
      </c>
      <c r="AF49">
        <v>340</v>
      </c>
      <c r="AG49">
        <v>69848</v>
      </c>
      <c r="AH49">
        <v>61512</v>
      </c>
      <c r="AI49">
        <v>510</v>
      </c>
      <c r="AJ49">
        <v>577</v>
      </c>
      <c r="AK49">
        <v>59314</v>
      </c>
      <c r="AL49">
        <v>34428</v>
      </c>
      <c r="AM49">
        <v>160</v>
      </c>
      <c r="AN49">
        <v>16384</v>
      </c>
      <c r="AO49">
        <v>11059</v>
      </c>
      <c r="AP49">
        <v>4048</v>
      </c>
      <c r="AQ49">
        <v>14413</v>
      </c>
      <c r="AR49">
        <v>12623</v>
      </c>
      <c r="AS49">
        <v>1530</v>
      </c>
      <c r="AT49">
        <v>381</v>
      </c>
      <c r="AU49">
        <v>22096</v>
      </c>
      <c r="AV49">
        <v>1237</v>
      </c>
      <c r="AW49">
        <v>227</v>
      </c>
      <c r="AX49">
        <v>8455</v>
      </c>
      <c r="AY49">
        <v>520</v>
      </c>
      <c r="AZ49">
        <v>7606</v>
      </c>
      <c r="BA49">
        <v>12629</v>
      </c>
      <c r="BB49">
        <v>7694</v>
      </c>
      <c r="BC49">
        <v>208</v>
      </c>
    </row>
    <row r="50" spans="1:55">
      <c r="A50" s="1">
        <v>1204</v>
      </c>
      <c r="B50" s="1" t="s">
        <v>29</v>
      </c>
      <c r="C50" t="s">
        <v>225</v>
      </c>
      <c r="D50">
        <v>129019</v>
      </c>
      <c r="E50">
        <v>125046</v>
      </c>
      <c r="F50">
        <v>121389</v>
      </c>
      <c r="G50">
        <v>85644</v>
      </c>
      <c r="H50">
        <v>95</v>
      </c>
      <c r="I50">
        <v>94</v>
      </c>
      <c r="J50">
        <v>89</v>
      </c>
      <c r="K50">
        <v>89</v>
      </c>
      <c r="L50">
        <v>89</v>
      </c>
      <c r="M50">
        <v>14</v>
      </c>
      <c r="N50">
        <v>68</v>
      </c>
      <c r="O50">
        <v>0</v>
      </c>
      <c r="P50">
        <v>1</v>
      </c>
      <c r="Q50">
        <v>22951</v>
      </c>
      <c r="R50">
        <v>4476</v>
      </c>
      <c r="S50">
        <v>18070</v>
      </c>
      <c r="T50">
        <v>2316</v>
      </c>
      <c r="U50">
        <v>5017</v>
      </c>
      <c r="V50">
        <v>5347</v>
      </c>
      <c r="W50">
        <v>2259</v>
      </c>
      <c r="X50">
        <v>1123</v>
      </c>
      <c r="Y50">
        <v>981</v>
      </c>
      <c r="Z50">
        <v>1831</v>
      </c>
      <c r="AA50">
        <v>641</v>
      </c>
      <c r="AB50">
        <v>1034</v>
      </c>
      <c r="AC50">
        <v>499</v>
      </c>
      <c r="AD50">
        <v>410</v>
      </c>
      <c r="AE50">
        <v>13158</v>
      </c>
      <c r="AF50">
        <v>120</v>
      </c>
      <c r="AG50">
        <v>62018</v>
      </c>
      <c r="AH50">
        <v>58887</v>
      </c>
      <c r="AI50">
        <v>1197</v>
      </c>
      <c r="AJ50">
        <v>1129</v>
      </c>
      <c r="AK50">
        <v>52400</v>
      </c>
      <c r="AL50">
        <v>35018</v>
      </c>
      <c r="AM50">
        <v>217</v>
      </c>
      <c r="AN50">
        <v>14679</v>
      </c>
      <c r="AO50">
        <v>5023</v>
      </c>
      <c r="AP50">
        <v>8154</v>
      </c>
      <c r="AQ50">
        <v>18292</v>
      </c>
      <c r="AR50">
        <v>18120</v>
      </c>
      <c r="AS50">
        <v>2379</v>
      </c>
      <c r="AT50">
        <v>1363</v>
      </c>
      <c r="AU50">
        <v>16555</v>
      </c>
      <c r="AV50">
        <v>2027</v>
      </c>
      <c r="AW50">
        <v>704</v>
      </c>
      <c r="AX50">
        <v>5055</v>
      </c>
      <c r="AY50">
        <v>726</v>
      </c>
      <c r="AZ50">
        <v>3941</v>
      </c>
      <c r="BA50">
        <v>10968</v>
      </c>
      <c r="BB50">
        <v>7112</v>
      </c>
      <c r="BC50">
        <v>32</v>
      </c>
    </row>
    <row r="51" spans="1:55">
      <c r="A51" s="1">
        <v>1207</v>
      </c>
      <c r="B51" s="1" t="s">
        <v>29</v>
      </c>
      <c r="C51" t="s">
        <v>227</v>
      </c>
      <c r="D51">
        <v>82779</v>
      </c>
      <c r="E51">
        <v>76468</v>
      </c>
      <c r="F51">
        <v>75354</v>
      </c>
      <c r="G51">
        <v>43236</v>
      </c>
      <c r="H51">
        <v>549</v>
      </c>
      <c r="I51">
        <v>499</v>
      </c>
      <c r="J51">
        <v>439</v>
      </c>
      <c r="K51">
        <v>437</v>
      </c>
      <c r="L51">
        <v>417</v>
      </c>
      <c r="M51">
        <v>101</v>
      </c>
      <c r="N51">
        <v>220</v>
      </c>
      <c r="O51">
        <v>26</v>
      </c>
      <c r="P51">
        <v>8</v>
      </c>
      <c r="Q51">
        <v>21638</v>
      </c>
      <c r="R51">
        <v>12539</v>
      </c>
      <c r="S51">
        <v>8046</v>
      </c>
      <c r="T51">
        <v>656</v>
      </c>
      <c r="U51">
        <v>1027</v>
      </c>
      <c r="V51">
        <v>1316</v>
      </c>
      <c r="W51">
        <v>2187</v>
      </c>
      <c r="X51">
        <v>568</v>
      </c>
      <c r="Y51">
        <v>534</v>
      </c>
      <c r="Z51">
        <v>1305</v>
      </c>
      <c r="AA51">
        <v>309</v>
      </c>
      <c r="AB51">
        <v>763</v>
      </c>
      <c r="AC51">
        <v>101</v>
      </c>
      <c r="AD51">
        <v>558</v>
      </c>
      <c r="AE51">
        <v>4097</v>
      </c>
      <c r="AF51">
        <v>31</v>
      </c>
      <c r="AG51">
        <v>18168</v>
      </c>
      <c r="AH51">
        <v>14978</v>
      </c>
      <c r="AI51">
        <v>325</v>
      </c>
      <c r="AJ51">
        <v>76</v>
      </c>
      <c r="AK51">
        <v>13641</v>
      </c>
      <c r="AL51">
        <v>9594</v>
      </c>
      <c r="AM51">
        <v>376</v>
      </c>
      <c r="AN51">
        <v>5658</v>
      </c>
      <c r="AO51">
        <v>3292</v>
      </c>
      <c r="AP51">
        <v>2263</v>
      </c>
      <c r="AQ51">
        <v>2817</v>
      </c>
      <c r="AR51">
        <v>2708</v>
      </c>
      <c r="AS51">
        <v>3366</v>
      </c>
      <c r="AT51">
        <v>2439</v>
      </c>
      <c r="AU51">
        <v>3048</v>
      </c>
      <c r="AV51">
        <v>1553</v>
      </c>
      <c r="AW51">
        <v>1097</v>
      </c>
      <c r="AX51">
        <v>1384</v>
      </c>
      <c r="AY51">
        <v>255</v>
      </c>
      <c r="AZ51">
        <v>1108</v>
      </c>
      <c r="BA51">
        <v>1310</v>
      </c>
      <c r="BB51">
        <v>1071</v>
      </c>
      <c r="BC51">
        <v>57</v>
      </c>
    </row>
    <row r="52" spans="1:55">
      <c r="A52" s="1">
        <v>1210</v>
      </c>
      <c r="B52" s="1" t="s">
        <v>29</v>
      </c>
      <c r="C52" t="s">
        <v>228</v>
      </c>
      <c r="D52">
        <v>66184</v>
      </c>
      <c r="E52">
        <v>59940</v>
      </c>
      <c r="F52">
        <v>58794</v>
      </c>
      <c r="G52">
        <v>20753</v>
      </c>
      <c r="H52">
        <v>432</v>
      </c>
      <c r="I52">
        <v>422</v>
      </c>
      <c r="J52">
        <v>396</v>
      </c>
      <c r="K52">
        <v>395</v>
      </c>
      <c r="L52">
        <v>393</v>
      </c>
      <c r="M52">
        <v>147</v>
      </c>
      <c r="N52">
        <v>186</v>
      </c>
      <c r="O52">
        <v>2</v>
      </c>
      <c r="P52">
        <v>4</v>
      </c>
      <c r="Q52">
        <v>10268</v>
      </c>
      <c r="R52">
        <v>4359</v>
      </c>
      <c r="S52">
        <v>5368</v>
      </c>
      <c r="T52">
        <v>203</v>
      </c>
      <c r="U52">
        <v>30</v>
      </c>
      <c r="V52">
        <v>123</v>
      </c>
      <c r="W52">
        <v>1915</v>
      </c>
      <c r="X52">
        <v>605</v>
      </c>
      <c r="Y52">
        <v>560</v>
      </c>
      <c r="Z52">
        <v>1231</v>
      </c>
      <c r="AA52">
        <v>279</v>
      </c>
      <c r="AB52">
        <v>661</v>
      </c>
      <c r="AC52">
        <v>40</v>
      </c>
      <c r="AD52">
        <v>594</v>
      </c>
      <c r="AE52">
        <v>1435</v>
      </c>
      <c r="AF52">
        <v>20</v>
      </c>
      <c r="AG52">
        <v>9664</v>
      </c>
      <c r="AH52">
        <v>9186</v>
      </c>
      <c r="AI52">
        <v>30</v>
      </c>
      <c r="AJ52">
        <v>45</v>
      </c>
      <c r="AK52">
        <v>8927</v>
      </c>
      <c r="AL52">
        <v>5747</v>
      </c>
      <c r="AM52">
        <v>30</v>
      </c>
      <c r="AN52">
        <v>3604</v>
      </c>
      <c r="AO52">
        <v>701</v>
      </c>
      <c r="AP52">
        <v>2546</v>
      </c>
      <c r="AQ52">
        <v>1653</v>
      </c>
      <c r="AR52">
        <v>1594</v>
      </c>
      <c r="AS52">
        <v>416</v>
      </c>
      <c r="AT52">
        <v>103</v>
      </c>
      <c r="AU52">
        <v>2729</v>
      </c>
      <c r="AV52">
        <v>1005</v>
      </c>
      <c r="AW52">
        <v>79</v>
      </c>
      <c r="AX52">
        <v>765</v>
      </c>
      <c r="AY52">
        <v>259</v>
      </c>
      <c r="AZ52">
        <v>427</v>
      </c>
      <c r="BA52">
        <v>1883</v>
      </c>
      <c r="BB52">
        <v>1577</v>
      </c>
      <c r="BC52">
        <v>5</v>
      </c>
    </row>
    <row r="53" spans="1:55">
      <c r="A53" s="1">
        <v>1226</v>
      </c>
      <c r="B53" s="1" t="s">
        <v>29</v>
      </c>
      <c r="C53" t="s">
        <v>229</v>
      </c>
      <c r="D53">
        <v>38823</v>
      </c>
      <c r="E53">
        <v>36155</v>
      </c>
      <c r="F53">
        <v>35289</v>
      </c>
      <c r="G53">
        <v>18899</v>
      </c>
      <c r="H53">
        <v>114</v>
      </c>
      <c r="I53">
        <v>111</v>
      </c>
      <c r="J53">
        <v>103</v>
      </c>
      <c r="K53">
        <v>103</v>
      </c>
      <c r="L53">
        <v>102</v>
      </c>
      <c r="M53">
        <v>27</v>
      </c>
      <c r="N53">
        <v>67</v>
      </c>
      <c r="O53">
        <v>1</v>
      </c>
      <c r="P53">
        <v>2</v>
      </c>
      <c r="Q53">
        <v>5934</v>
      </c>
      <c r="R53">
        <v>1447</v>
      </c>
      <c r="S53">
        <v>3828</v>
      </c>
      <c r="T53">
        <v>1287</v>
      </c>
      <c r="U53">
        <v>59</v>
      </c>
      <c r="V53">
        <v>56</v>
      </c>
      <c r="W53">
        <v>315</v>
      </c>
      <c r="X53">
        <v>65</v>
      </c>
      <c r="Y53">
        <v>57</v>
      </c>
      <c r="Z53">
        <v>909</v>
      </c>
      <c r="AA53">
        <v>270</v>
      </c>
      <c r="AB53">
        <v>323</v>
      </c>
      <c r="AC53">
        <v>10</v>
      </c>
      <c r="AD53">
        <v>295</v>
      </c>
      <c r="AE53">
        <v>2324</v>
      </c>
      <c r="AF53">
        <v>29</v>
      </c>
      <c r="AG53">
        <v>12539</v>
      </c>
      <c r="AH53">
        <v>11702</v>
      </c>
      <c r="AI53">
        <v>71</v>
      </c>
      <c r="AJ53">
        <v>32</v>
      </c>
      <c r="AK53">
        <v>11296</v>
      </c>
      <c r="AL53">
        <v>8903</v>
      </c>
      <c r="AM53">
        <v>27</v>
      </c>
      <c r="AN53">
        <v>3823</v>
      </c>
      <c r="AO53">
        <v>1252</v>
      </c>
      <c r="AP53">
        <v>2170</v>
      </c>
      <c r="AQ53">
        <v>3963</v>
      </c>
      <c r="AR53">
        <v>3563</v>
      </c>
      <c r="AS53">
        <v>519</v>
      </c>
      <c r="AT53">
        <v>224</v>
      </c>
      <c r="AU53">
        <v>2022</v>
      </c>
      <c r="AV53">
        <v>292</v>
      </c>
      <c r="AW53">
        <v>73</v>
      </c>
      <c r="AX53">
        <v>621</v>
      </c>
      <c r="AY53">
        <v>98</v>
      </c>
      <c r="AZ53">
        <v>487</v>
      </c>
      <c r="BA53">
        <v>1258</v>
      </c>
      <c r="BB53">
        <v>745</v>
      </c>
      <c r="BC53">
        <v>4</v>
      </c>
    </row>
    <row r="54" spans="1:55">
      <c r="A54" s="1">
        <v>1227</v>
      </c>
      <c r="B54" s="1" t="s">
        <v>29</v>
      </c>
      <c r="C54" t="s">
        <v>230</v>
      </c>
      <c r="D54">
        <v>149245</v>
      </c>
      <c r="E54">
        <v>146074</v>
      </c>
      <c r="F54">
        <v>145481</v>
      </c>
      <c r="G54">
        <v>135150</v>
      </c>
      <c r="H54">
        <v>37</v>
      </c>
      <c r="I54">
        <v>36</v>
      </c>
      <c r="J54">
        <v>33</v>
      </c>
      <c r="K54">
        <v>31</v>
      </c>
      <c r="L54">
        <v>30</v>
      </c>
      <c r="M54">
        <v>6</v>
      </c>
      <c r="N54">
        <v>18</v>
      </c>
      <c r="O54">
        <v>0</v>
      </c>
      <c r="P54">
        <v>0</v>
      </c>
      <c r="Q54">
        <v>49041</v>
      </c>
      <c r="R54">
        <v>6193</v>
      </c>
      <c r="S54">
        <v>41403</v>
      </c>
      <c r="T54">
        <v>4477</v>
      </c>
      <c r="U54">
        <v>5787</v>
      </c>
      <c r="V54">
        <v>7834</v>
      </c>
      <c r="W54">
        <v>8778</v>
      </c>
      <c r="X54">
        <v>2067</v>
      </c>
      <c r="Y54">
        <v>1389</v>
      </c>
      <c r="Z54">
        <v>2499</v>
      </c>
      <c r="AA54">
        <v>299</v>
      </c>
      <c r="AB54">
        <v>1924</v>
      </c>
      <c r="AC54">
        <v>440</v>
      </c>
      <c r="AD54">
        <v>1345</v>
      </c>
      <c r="AE54">
        <v>28939</v>
      </c>
      <c r="AF54">
        <v>285</v>
      </c>
      <c r="AG54">
        <v>85539</v>
      </c>
      <c r="AH54">
        <v>77590</v>
      </c>
      <c r="AI54">
        <v>344</v>
      </c>
      <c r="AJ54">
        <v>132</v>
      </c>
      <c r="AK54">
        <v>74877</v>
      </c>
      <c r="AL54">
        <v>57384</v>
      </c>
      <c r="AM54">
        <v>254</v>
      </c>
      <c r="AN54">
        <v>16496</v>
      </c>
      <c r="AO54">
        <v>5208</v>
      </c>
      <c r="AP54">
        <v>9764</v>
      </c>
      <c r="AQ54">
        <v>35449</v>
      </c>
      <c r="AR54">
        <v>34754</v>
      </c>
      <c r="AS54">
        <v>1904</v>
      </c>
      <c r="AT54">
        <v>581</v>
      </c>
      <c r="AU54">
        <v>14873</v>
      </c>
      <c r="AV54">
        <v>1406</v>
      </c>
      <c r="AW54">
        <v>341</v>
      </c>
      <c r="AX54">
        <v>3286</v>
      </c>
      <c r="AY54">
        <v>495</v>
      </c>
      <c r="AZ54">
        <v>2532</v>
      </c>
      <c r="BA54">
        <v>10397</v>
      </c>
      <c r="BB54">
        <v>5415</v>
      </c>
      <c r="BC54">
        <v>22</v>
      </c>
    </row>
    <row r="55" spans="1:55">
      <c r="A55" s="1">
        <v>1235</v>
      </c>
      <c r="B55" s="1" t="s">
        <v>29</v>
      </c>
      <c r="C55" t="s">
        <v>231</v>
      </c>
      <c r="D55">
        <v>36749</v>
      </c>
      <c r="E55">
        <v>35528</v>
      </c>
      <c r="F55">
        <v>35018</v>
      </c>
      <c r="G55">
        <v>30431</v>
      </c>
      <c r="H55">
        <v>31</v>
      </c>
      <c r="I55">
        <v>31</v>
      </c>
      <c r="J55">
        <v>28</v>
      </c>
      <c r="K55">
        <v>28</v>
      </c>
      <c r="L55">
        <v>28</v>
      </c>
      <c r="M55">
        <v>10</v>
      </c>
      <c r="N55">
        <v>13</v>
      </c>
      <c r="O55">
        <v>0</v>
      </c>
      <c r="P55">
        <v>0</v>
      </c>
      <c r="Q55">
        <v>15334</v>
      </c>
      <c r="R55">
        <v>2031</v>
      </c>
      <c r="S55">
        <v>13003</v>
      </c>
      <c r="T55">
        <v>887</v>
      </c>
      <c r="U55">
        <v>2258</v>
      </c>
      <c r="V55">
        <v>3213</v>
      </c>
      <c r="W55">
        <v>1897</v>
      </c>
      <c r="X55">
        <v>273</v>
      </c>
      <c r="Y55">
        <v>254</v>
      </c>
      <c r="Z55">
        <v>737</v>
      </c>
      <c r="AA55">
        <v>161</v>
      </c>
      <c r="AB55">
        <v>489</v>
      </c>
      <c r="AC55">
        <v>137</v>
      </c>
      <c r="AD55">
        <v>226</v>
      </c>
      <c r="AE55">
        <v>9501</v>
      </c>
      <c r="AF55">
        <v>46</v>
      </c>
      <c r="AG55">
        <v>14869</v>
      </c>
      <c r="AH55">
        <v>12930</v>
      </c>
      <c r="AI55">
        <v>21</v>
      </c>
      <c r="AJ55">
        <v>45</v>
      </c>
      <c r="AK55">
        <v>12680</v>
      </c>
      <c r="AL55">
        <v>6439</v>
      </c>
      <c r="AM55">
        <v>44</v>
      </c>
      <c r="AN55">
        <v>2208</v>
      </c>
      <c r="AO55">
        <v>886</v>
      </c>
      <c r="AP55">
        <v>1091</v>
      </c>
      <c r="AQ55">
        <v>3551</v>
      </c>
      <c r="AR55">
        <v>3323</v>
      </c>
      <c r="AS55">
        <v>391</v>
      </c>
      <c r="AT55">
        <v>83</v>
      </c>
      <c r="AU55">
        <v>5725</v>
      </c>
      <c r="AV55">
        <v>516</v>
      </c>
      <c r="AW55">
        <v>98</v>
      </c>
      <c r="AX55">
        <v>2156</v>
      </c>
      <c r="AY55">
        <v>119</v>
      </c>
      <c r="AZ55">
        <v>1962</v>
      </c>
      <c r="BA55">
        <v>2943</v>
      </c>
      <c r="BB55">
        <v>1820</v>
      </c>
      <c r="BC55">
        <v>14</v>
      </c>
    </row>
    <row r="56" spans="1:55">
      <c r="A56" s="1">
        <v>1245</v>
      </c>
      <c r="B56" s="1" t="s">
        <v>29</v>
      </c>
      <c r="C56" t="s">
        <v>232</v>
      </c>
      <c r="D56">
        <v>41053</v>
      </c>
      <c r="E56">
        <v>38077</v>
      </c>
      <c r="F56">
        <v>36555</v>
      </c>
      <c r="G56">
        <v>27594</v>
      </c>
      <c r="H56">
        <v>67</v>
      </c>
      <c r="I56">
        <v>65</v>
      </c>
      <c r="J56">
        <v>58</v>
      </c>
      <c r="K56">
        <v>57</v>
      </c>
      <c r="L56">
        <v>56</v>
      </c>
      <c r="M56">
        <v>14</v>
      </c>
      <c r="N56">
        <v>36</v>
      </c>
      <c r="O56">
        <v>0</v>
      </c>
      <c r="P56">
        <v>0</v>
      </c>
      <c r="Q56">
        <v>14794</v>
      </c>
      <c r="R56">
        <v>3140</v>
      </c>
      <c r="S56">
        <v>11321</v>
      </c>
      <c r="T56">
        <v>315</v>
      </c>
      <c r="U56">
        <v>55</v>
      </c>
      <c r="V56">
        <v>474</v>
      </c>
      <c r="W56">
        <v>6847</v>
      </c>
      <c r="X56">
        <v>1390</v>
      </c>
      <c r="Y56">
        <v>1356</v>
      </c>
      <c r="Z56">
        <v>1393</v>
      </c>
      <c r="AA56">
        <v>161</v>
      </c>
      <c r="AB56">
        <v>1141</v>
      </c>
      <c r="AC56">
        <v>199</v>
      </c>
      <c r="AD56">
        <v>886</v>
      </c>
      <c r="AE56">
        <v>2198</v>
      </c>
      <c r="AF56">
        <v>99</v>
      </c>
      <c r="AG56">
        <v>12479</v>
      </c>
      <c r="AH56">
        <v>11532</v>
      </c>
      <c r="AI56">
        <v>62</v>
      </c>
      <c r="AJ56">
        <v>15</v>
      </c>
      <c r="AK56">
        <v>11230</v>
      </c>
      <c r="AL56">
        <v>8824</v>
      </c>
      <c r="AM56">
        <v>18</v>
      </c>
      <c r="AN56">
        <v>4814</v>
      </c>
      <c r="AO56">
        <v>2045</v>
      </c>
      <c r="AP56">
        <v>2356</v>
      </c>
      <c r="AQ56">
        <v>3463</v>
      </c>
      <c r="AR56">
        <v>3405</v>
      </c>
      <c r="AS56">
        <v>411</v>
      </c>
      <c r="AT56">
        <v>187</v>
      </c>
      <c r="AU56">
        <v>2059</v>
      </c>
      <c r="AV56">
        <v>298</v>
      </c>
      <c r="AW56">
        <v>91</v>
      </c>
      <c r="AX56">
        <v>932</v>
      </c>
      <c r="AY56">
        <v>206</v>
      </c>
      <c r="AZ56">
        <v>676</v>
      </c>
      <c r="BA56">
        <v>1034</v>
      </c>
      <c r="BB56">
        <v>662</v>
      </c>
      <c r="BC56">
        <v>7</v>
      </c>
    </row>
    <row r="57" spans="1:55">
      <c r="A57" s="1">
        <v>1306</v>
      </c>
      <c r="B57" s="1" t="s">
        <v>29</v>
      </c>
      <c r="C57" t="s">
        <v>235</v>
      </c>
      <c r="D57">
        <v>531658</v>
      </c>
      <c r="E57">
        <v>526326</v>
      </c>
      <c r="F57">
        <v>525070</v>
      </c>
      <c r="G57">
        <v>487834</v>
      </c>
      <c r="H57">
        <v>139</v>
      </c>
      <c r="I57">
        <v>133</v>
      </c>
      <c r="J57">
        <v>126</v>
      </c>
      <c r="K57">
        <v>125</v>
      </c>
      <c r="L57">
        <v>125</v>
      </c>
      <c r="M57">
        <v>78</v>
      </c>
      <c r="N57">
        <v>24</v>
      </c>
      <c r="O57">
        <v>0</v>
      </c>
      <c r="P57">
        <v>2</v>
      </c>
      <c r="Q57">
        <v>171694</v>
      </c>
      <c r="R57">
        <v>112989</v>
      </c>
      <c r="S57">
        <v>55629</v>
      </c>
      <c r="T57">
        <v>1089</v>
      </c>
      <c r="U57">
        <v>611</v>
      </c>
      <c r="V57">
        <v>4434</v>
      </c>
      <c r="W57">
        <v>9296</v>
      </c>
      <c r="X57">
        <v>5618</v>
      </c>
      <c r="Y57">
        <v>324</v>
      </c>
      <c r="Z57">
        <v>5802</v>
      </c>
      <c r="AA57">
        <v>481</v>
      </c>
      <c r="AB57">
        <v>4927</v>
      </c>
      <c r="AC57">
        <v>1379</v>
      </c>
      <c r="AD57">
        <v>3115</v>
      </c>
      <c r="AE57">
        <v>36700</v>
      </c>
      <c r="AF57">
        <v>5315</v>
      </c>
      <c r="AG57">
        <v>302687</v>
      </c>
      <c r="AH57">
        <v>242169</v>
      </c>
      <c r="AI57">
        <v>1037</v>
      </c>
      <c r="AJ57">
        <v>2106</v>
      </c>
      <c r="AK57">
        <v>234465</v>
      </c>
      <c r="AL57">
        <v>128474</v>
      </c>
      <c r="AM57">
        <v>335</v>
      </c>
      <c r="AN57">
        <v>20581</v>
      </c>
      <c r="AO57">
        <v>5278</v>
      </c>
      <c r="AP57">
        <v>14071</v>
      </c>
      <c r="AQ57">
        <v>97729</v>
      </c>
      <c r="AR57">
        <v>93950</v>
      </c>
      <c r="AS57">
        <v>2667</v>
      </c>
      <c r="AT57">
        <v>728</v>
      </c>
      <c r="AU57">
        <v>90620</v>
      </c>
      <c r="AV57">
        <v>4253</v>
      </c>
      <c r="AW57">
        <v>892</v>
      </c>
      <c r="AX57">
        <v>13048</v>
      </c>
      <c r="AY57">
        <v>4792</v>
      </c>
      <c r="AZ57">
        <v>7619</v>
      </c>
      <c r="BA57">
        <v>71923</v>
      </c>
      <c r="BB57">
        <v>46760</v>
      </c>
      <c r="BC57">
        <v>89</v>
      </c>
    </row>
    <row r="58" spans="1:55">
      <c r="A58" s="1">
        <v>1309</v>
      </c>
      <c r="B58" s="1" t="s">
        <v>29</v>
      </c>
      <c r="C58" t="s">
        <v>236</v>
      </c>
      <c r="D58">
        <v>23831</v>
      </c>
      <c r="E58">
        <v>22120</v>
      </c>
      <c r="F58">
        <v>20852</v>
      </c>
      <c r="G58">
        <v>12950</v>
      </c>
      <c r="H58">
        <v>227</v>
      </c>
      <c r="I58">
        <v>227</v>
      </c>
      <c r="J58">
        <v>210</v>
      </c>
      <c r="K58">
        <v>210</v>
      </c>
      <c r="L58">
        <v>210</v>
      </c>
      <c r="M58">
        <v>29</v>
      </c>
      <c r="N58">
        <v>151</v>
      </c>
      <c r="O58">
        <v>12</v>
      </c>
      <c r="P58">
        <v>0</v>
      </c>
      <c r="Q58">
        <v>6366</v>
      </c>
      <c r="R58">
        <v>777</v>
      </c>
      <c r="S58">
        <v>5320</v>
      </c>
      <c r="T58">
        <v>170</v>
      </c>
      <c r="U58">
        <v>157</v>
      </c>
      <c r="V58">
        <v>357</v>
      </c>
      <c r="W58">
        <v>2174</v>
      </c>
      <c r="X58">
        <v>119</v>
      </c>
      <c r="Y58">
        <v>90</v>
      </c>
      <c r="Z58">
        <v>1120</v>
      </c>
      <c r="AA58">
        <v>146</v>
      </c>
      <c r="AB58">
        <v>864</v>
      </c>
      <c r="AC58">
        <v>18</v>
      </c>
      <c r="AD58">
        <v>805</v>
      </c>
      <c r="AE58">
        <v>1636</v>
      </c>
      <c r="AF58">
        <v>8</v>
      </c>
      <c r="AG58">
        <v>6169</v>
      </c>
      <c r="AH58">
        <v>5589</v>
      </c>
      <c r="AI58">
        <v>40</v>
      </c>
      <c r="AJ58">
        <v>53</v>
      </c>
      <c r="AK58">
        <v>5284</v>
      </c>
      <c r="AL58">
        <v>2825</v>
      </c>
      <c r="AM58">
        <v>19</v>
      </c>
      <c r="AN58">
        <v>829</v>
      </c>
      <c r="AO58">
        <v>355</v>
      </c>
      <c r="AP58">
        <v>423</v>
      </c>
      <c r="AQ58">
        <v>1907</v>
      </c>
      <c r="AR58">
        <v>1895</v>
      </c>
      <c r="AS58">
        <v>524</v>
      </c>
      <c r="AT58">
        <v>68</v>
      </c>
      <c r="AU58">
        <v>2047</v>
      </c>
      <c r="AV58">
        <v>432</v>
      </c>
      <c r="AW58">
        <v>70</v>
      </c>
      <c r="AX58">
        <v>575</v>
      </c>
      <c r="AY58">
        <v>56</v>
      </c>
      <c r="AZ58">
        <v>503</v>
      </c>
      <c r="BA58">
        <v>1411</v>
      </c>
      <c r="BB58">
        <v>886</v>
      </c>
      <c r="BC58">
        <v>23</v>
      </c>
    </row>
    <row r="59" spans="1:55">
      <c r="A59" s="1">
        <v>1315</v>
      </c>
      <c r="B59" s="1" t="s">
        <v>29</v>
      </c>
      <c r="C59" t="s">
        <v>237</v>
      </c>
      <c r="D59">
        <v>150567</v>
      </c>
      <c r="E59">
        <v>146792</v>
      </c>
      <c r="F59">
        <v>145799</v>
      </c>
      <c r="G59">
        <v>118434</v>
      </c>
      <c r="H59">
        <v>126</v>
      </c>
      <c r="I59">
        <v>125</v>
      </c>
      <c r="J59">
        <v>118</v>
      </c>
      <c r="K59">
        <v>118</v>
      </c>
      <c r="L59">
        <v>118</v>
      </c>
      <c r="M59">
        <v>54</v>
      </c>
      <c r="N59">
        <v>41</v>
      </c>
      <c r="O59">
        <v>0</v>
      </c>
      <c r="P59">
        <v>1</v>
      </c>
      <c r="Q59">
        <v>52054</v>
      </c>
      <c r="R59">
        <v>5658</v>
      </c>
      <c r="S59">
        <v>45748</v>
      </c>
      <c r="T59">
        <v>1080</v>
      </c>
      <c r="U59">
        <v>524</v>
      </c>
      <c r="V59">
        <v>1934</v>
      </c>
      <c r="W59">
        <v>25288</v>
      </c>
      <c r="X59">
        <v>4227</v>
      </c>
      <c r="Y59">
        <v>4009</v>
      </c>
      <c r="Z59">
        <v>4037</v>
      </c>
      <c r="AA59">
        <v>501</v>
      </c>
      <c r="AB59">
        <v>3222</v>
      </c>
      <c r="AC59">
        <v>146</v>
      </c>
      <c r="AD59">
        <v>2937</v>
      </c>
      <c r="AE59">
        <v>14644</v>
      </c>
      <c r="AF59">
        <v>276</v>
      </c>
      <c r="AG59">
        <v>65345</v>
      </c>
      <c r="AH59">
        <v>61533</v>
      </c>
      <c r="AI59">
        <v>242</v>
      </c>
      <c r="AJ59">
        <v>188</v>
      </c>
      <c r="AK59">
        <v>59978</v>
      </c>
      <c r="AL59">
        <v>41237</v>
      </c>
      <c r="AM59">
        <v>200</v>
      </c>
      <c r="AN59">
        <v>25588</v>
      </c>
      <c r="AO59">
        <v>12332</v>
      </c>
      <c r="AP59">
        <v>10652</v>
      </c>
      <c r="AQ59">
        <v>11507</v>
      </c>
      <c r="AR59">
        <v>10882</v>
      </c>
      <c r="AS59">
        <v>1854</v>
      </c>
      <c r="AT59">
        <v>993</v>
      </c>
      <c r="AU59">
        <v>15265</v>
      </c>
      <c r="AV59">
        <v>1251</v>
      </c>
      <c r="AW59">
        <v>415</v>
      </c>
      <c r="AX59">
        <v>7703</v>
      </c>
      <c r="AY59">
        <v>603</v>
      </c>
      <c r="AZ59">
        <v>6685</v>
      </c>
      <c r="BA59">
        <v>6738</v>
      </c>
      <c r="BB59">
        <v>3598</v>
      </c>
      <c r="BC59">
        <v>10</v>
      </c>
    </row>
    <row r="60" spans="1:55">
      <c r="A60" s="1">
        <v>1321</v>
      </c>
      <c r="B60" s="1" t="s">
        <v>29</v>
      </c>
      <c r="C60" t="s">
        <v>238</v>
      </c>
      <c r="D60">
        <v>202436</v>
      </c>
      <c r="E60">
        <v>196874</v>
      </c>
      <c r="F60">
        <v>194481</v>
      </c>
      <c r="G60">
        <v>175913</v>
      </c>
      <c r="H60">
        <v>145</v>
      </c>
      <c r="I60">
        <v>143</v>
      </c>
      <c r="J60">
        <v>134</v>
      </c>
      <c r="K60">
        <v>133</v>
      </c>
      <c r="L60">
        <v>133</v>
      </c>
      <c r="M60">
        <v>33</v>
      </c>
      <c r="N60">
        <v>69</v>
      </c>
      <c r="O60">
        <v>0</v>
      </c>
      <c r="P60">
        <v>3</v>
      </c>
      <c r="Q60">
        <v>82442</v>
      </c>
      <c r="R60">
        <v>17909</v>
      </c>
      <c r="S60">
        <v>62222</v>
      </c>
      <c r="T60">
        <v>5796</v>
      </c>
      <c r="U60">
        <v>1624</v>
      </c>
      <c r="V60">
        <v>2526</v>
      </c>
      <c r="W60">
        <v>27295</v>
      </c>
      <c r="X60">
        <v>6838</v>
      </c>
      <c r="Y60">
        <v>3</v>
      </c>
      <c r="Z60">
        <v>5248</v>
      </c>
      <c r="AA60">
        <v>945</v>
      </c>
      <c r="AB60">
        <v>4004</v>
      </c>
      <c r="AC60">
        <v>470</v>
      </c>
      <c r="AD60">
        <v>3320</v>
      </c>
      <c r="AE60">
        <v>27206</v>
      </c>
      <c r="AF60">
        <v>296</v>
      </c>
      <c r="AG60">
        <v>92854</v>
      </c>
      <c r="AH60">
        <v>85912</v>
      </c>
      <c r="AI60">
        <v>493</v>
      </c>
      <c r="AJ60">
        <v>208</v>
      </c>
      <c r="AK60">
        <v>83556</v>
      </c>
      <c r="AL60">
        <v>61612</v>
      </c>
      <c r="AM60">
        <v>151</v>
      </c>
      <c r="AN60">
        <v>42521</v>
      </c>
      <c r="AO60">
        <v>16184</v>
      </c>
      <c r="AP60">
        <v>21923</v>
      </c>
      <c r="AQ60">
        <v>14650</v>
      </c>
      <c r="AR60">
        <v>14519</v>
      </c>
      <c r="AS60">
        <v>3570</v>
      </c>
      <c r="AT60">
        <v>1428</v>
      </c>
      <c r="AU60">
        <v>19343</v>
      </c>
      <c r="AV60">
        <v>1382</v>
      </c>
      <c r="AW60">
        <v>542</v>
      </c>
      <c r="AX60">
        <v>9358</v>
      </c>
      <c r="AY60">
        <v>1720</v>
      </c>
      <c r="AZ60">
        <v>6892</v>
      </c>
      <c r="BA60">
        <v>8790</v>
      </c>
      <c r="BB60">
        <v>6449</v>
      </c>
      <c r="BC60">
        <v>101</v>
      </c>
    </row>
    <row r="61" spans="1:55">
      <c r="A61" s="1">
        <v>1010</v>
      </c>
      <c r="B61" s="1" t="s">
        <v>34</v>
      </c>
      <c r="C61" t="s">
        <v>169</v>
      </c>
      <c r="D61">
        <v>284997</v>
      </c>
      <c r="E61">
        <v>278506</v>
      </c>
      <c r="F61">
        <v>276399</v>
      </c>
      <c r="G61">
        <v>216305</v>
      </c>
      <c r="H61">
        <v>548</v>
      </c>
      <c r="I61">
        <v>536</v>
      </c>
      <c r="J61">
        <v>501</v>
      </c>
      <c r="K61">
        <v>496</v>
      </c>
      <c r="L61">
        <v>491</v>
      </c>
      <c r="M61">
        <v>114</v>
      </c>
      <c r="N61">
        <v>272</v>
      </c>
      <c r="O61">
        <v>3</v>
      </c>
      <c r="P61">
        <v>0</v>
      </c>
      <c r="Q61">
        <v>124747</v>
      </c>
      <c r="R61">
        <v>20381</v>
      </c>
      <c r="S61">
        <v>102697</v>
      </c>
      <c r="T61">
        <v>3254</v>
      </c>
      <c r="U61">
        <v>8529</v>
      </c>
      <c r="V61">
        <v>16692</v>
      </c>
      <c r="W61">
        <v>57126</v>
      </c>
      <c r="X61">
        <v>23217</v>
      </c>
      <c r="Y61">
        <v>23059</v>
      </c>
      <c r="Z61">
        <v>10814</v>
      </c>
      <c r="AA61">
        <v>1135</v>
      </c>
      <c r="AB61">
        <v>8786</v>
      </c>
      <c r="AC61">
        <v>3198</v>
      </c>
      <c r="AD61">
        <v>4026</v>
      </c>
      <c r="AE61">
        <v>28333</v>
      </c>
      <c r="AF61">
        <v>165</v>
      </c>
      <c r="AG61">
        <v>88203</v>
      </c>
      <c r="AH61">
        <v>84921</v>
      </c>
      <c r="AI61">
        <v>1050</v>
      </c>
      <c r="AJ61">
        <v>568</v>
      </c>
      <c r="AK61">
        <v>79921</v>
      </c>
      <c r="AL61">
        <v>35897</v>
      </c>
      <c r="AM61">
        <v>330</v>
      </c>
      <c r="AN61">
        <v>18789</v>
      </c>
      <c r="AO61">
        <v>6577</v>
      </c>
      <c r="AP61">
        <v>10997</v>
      </c>
      <c r="AQ61">
        <v>15251</v>
      </c>
      <c r="AR61">
        <v>14633</v>
      </c>
      <c r="AS61">
        <v>5380</v>
      </c>
      <c r="AT61">
        <v>1510</v>
      </c>
      <c r="AU61">
        <v>40007</v>
      </c>
      <c r="AV61">
        <v>7521</v>
      </c>
      <c r="AW61">
        <v>1434</v>
      </c>
      <c r="AX61">
        <v>7200</v>
      </c>
      <c r="AY61">
        <v>1680</v>
      </c>
      <c r="AZ61">
        <v>5258</v>
      </c>
      <c r="BA61">
        <v>31488</v>
      </c>
      <c r="BB61">
        <v>14743</v>
      </c>
      <c r="BC61">
        <v>49</v>
      </c>
    </row>
    <row r="62" spans="1:55">
      <c r="A62" s="1">
        <v>1031</v>
      </c>
      <c r="B62" s="1" t="s">
        <v>34</v>
      </c>
      <c r="C62" t="s">
        <v>180</v>
      </c>
      <c r="D62">
        <v>74917</v>
      </c>
      <c r="E62">
        <v>72976</v>
      </c>
      <c r="F62">
        <v>71165</v>
      </c>
      <c r="G62">
        <v>40842</v>
      </c>
      <c r="H62">
        <v>711</v>
      </c>
      <c r="I62">
        <v>707</v>
      </c>
      <c r="J62">
        <v>681</v>
      </c>
      <c r="K62">
        <v>680</v>
      </c>
      <c r="L62">
        <v>680</v>
      </c>
      <c r="M62">
        <v>268</v>
      </c>
      <c r="N62">
        <v>299</v>
      </c>
      <c r="O62">
        <v>7</v>
      </c>
      <c r="P62">
        <v>7</v>
      </c>
      <c r="Q62">
        <v>16327</v>
      </c>
      <c r="R62">
        <v>4786</v>
      </c>
      <c r="S62">
        <v>10782</v>
      </c>
      <c r="T62">
        <v>402</v>
      </c>
      <c r="U62">
        <v>279</v>
      </c>
      <c r="V62">
        <v>723</v>
      </c>
      <c r="W62">
        <v>3362</v>
      </c>
      <c r="X62">
        <v>970</v>
      </c>
      <c r="Y62">
        <v>920</v>
      </c>
      <c r="Z62">
        <v>2007</v>
      </c>
      <c r="AA62">
        <v>411</v>
      </c>
      <c r="AB62">
        <v>1361</v>
      </c>
      <c r="AC62">
        <v>42</v>
      </c>
      <c r="AD62">
        <v>1185</v>
      </c>
      <c r="AE62">
        <v>4631</v>
      </c>
      <c r="AF62">
        <v>32</v>
      </c>
      <c r="AG62">
        <v>23429</v>
      </c>
      <c r="AH62">
        <v>22711</v>
      </c>
      <c r="AI62">
        <v>159</v>
      </c>
      <c r="AJ62">
        <v>25</v>
      </c>
      <c r="AK62">
        <v>21878</v>
      </c>
      <c r="AL62">
        <v>11267</v>
      </c>
      <c r="AM62">
        <v>51</v>
      </c>
      <c r="AN62">
        <v>8299</v>
      </c>
      <c r="AO62">
        <v>1106</v>
      </c>
      <c r="AP62">
        <v>6642</v>
      </c>
      <c r="AQ62">
        <v>2226</v>
      </c>
      <c r="AR62">
        <v>2217</v>
      </c>
      <c r="AS62">
        <v>1184</v>
      </c>
      <c r="AT62">
        <v>483</v>
      </c>
      <c r="AU62">
        <v>9826</v>
      </c>
      <c r="AV62">
        <v>2509</v>
      </c>
      <c r="AW62">
        <v>278</v>
      </c>
      <c r="AX62">
        <v>3117</v>
      </c>
      <c r="AY62">
        <v>1572</v>
      </c>
      <c r="AZ62">
        <v>1232</v>
      </c>
      <c r="BA62">
        <v>6037</v>
      </c>
      <c r="BB62">
        <v>5498</v>
      </c>
      <c r="BC62">
        <v>3</v>
      </c>
    </row>
    <row r="63" spans="1:55">
      <c r="A63" s="1">
        <v>1039</v>
      </c>
      <c r="B63" s="1" t="s">
        <v>34</v>
      </c>
      <c r="C63" t="s">
        <v>182</v>
      </c>
      <c r="D63">
        <v>135493</v>
      </c>
      <c r="E63">
        <v>133046</v>
      </c>
      <c r="F63">
        <v>127178</v>
      </c>
      <c r="G63">
        <v>72801</v>
      </c>
      <c r="H63">
        <v>614</v>
      </c>
      <c r="I63">
        <v>608</v>
      </c>
      <c r="J63">
        <v>549</v>
      </c>
      <c r="K63">
        <v>548</v>
      </c>
      <c r="L63">
        <v>548</v>
      </c>
      <c r="M63">
        <v>141</v>
      </c>
      <c r="N63">
        <v>335</v>
      </c>
      <c r="O63">
        <v>7</v>
      </c>
      <c r="P63">
        <v>22</v>
      </c>
      <c r="Q63">
        <v>29246</v>
      </c>
      <c r="R63">
        <v>11935</v>
      </c>
      <c r="S63">
        <v>16230</v>
      </c>
      <c r="T63">
        <v>1327</v>
      </c>
      <c r="U63">
        <v>249</v>
      </c>
      <c r="V63">
        <v>650</v>
      </c>
      <c r="W63">
        <v>4820</v>
      </c>
      <c r="X63">
        <v>683</v>
      </c>
      <c r="Y63">
        <v>641</v>
      </c>
      <c r="Z63">
        <v>5380</v>
      </c>
      <c r="AA63">
        <v>710</v>
      </c>
      <c r="AB63">
        <v>4089</v>
      </c>
      <c r="AC63">
        <v>142</v>
      </c>
      <c r="AD63">
        <v>3736</v>
      </c>
      <c r="AE63">
        <v>4702</v>
      </c>
      <c r="AF63">
        <v>141</v>
      </c>
      <c r="AG63">
        <v>42314</v>
      </c>
      <c r="AH63">
        <v>40762</v>
      </c>
      <c r="AI63">
        <v>185</v>
      </c>
      <c r="AJ63">
        <v>75</v>
      </c>
      <c r="AK63">
        <v>39969</v>
      </c>
      <c r="AL63">
        <v>21686</v>
      </c>
      <c r="AM63">
        <v>60</v>
      </c>
      <c r="AN63">
        <v>11094</v>
      </c>
      <c r="AO63">
        <v>2039</v>
      </c>
      <c r="AP63">
        <v>8470</v>
      </c>
      <c r="AQ63">
        <v>8422</v>
      </c>
      <c r="AR63">
        <v>8345</v>
      </c>
      <c r="AS63">
        <v>3409</v>
      </c>
      <c r="AT63">
        <v>1251</v>
      </c>
      <c r="AU63">
        <v>16986</v>
      </c>
      <c r="AV63">
        <v>6980</v>
      </c>
      <c r="AW63">
        <v>883</v>
      </c>
      <c r="AX63">
        <v>4502</v>
      </c>
      <c r="AY63">
        <v>2061</v>
      </c>
      <c r="AZ63">
        <v>2107</v>
      </c>
      <c r="BA63">
        <v>11421</v>
      </c>
      <c r="BB63">
        <v>9040</v>
      </c>
      <c r="BC63">
        <v>32</v>
      </c>
    </row>
    <row r="64" spans="1:55">
      <c r="A64" s="1">
        <v>1046</v>
      </c>
      <c r="B64" s="1" t="s">
        <v>34</v>
      </c>
      <c r="C64" t="s">
        <v>184</v>
      </c>
      <c r="D64">
        <v>56307</v>
      </c>
      <c r="E64">
        <v>54235</v>
      </c>
      <c r="F64">
        <v>51105</v>
      </c>
      <c r="G64">
        <v>22098</v>
      </c>
      <c r="H64">
        <v>517</v>
      </c>
      <c r="I64">
        <v>514</v>
      </c>
      <c r="J64">
        <v>504</v>
      </c>
      <c r="K64">
        <v>504</v>
      </c>
      <c r="L64">
        <v>504</v>
      </c>
      <c r="M64">
        <v>189</v>
      </c>
      <c r="N64">
        <v>227</v>
      </c>
      <c r="O64">
        <v>0</v>
      </c>
      <c r="P64">
        <v>3</v>
      </c>
      <c r="Q64">
        <v>12597</v>
      </c>
      <c r="R64">
        <v>2186</v>
      </c>
      <c r="S64">
        <v>10164</v>
      </c>
      <c r="T64">
        <v>291</v>
      </c>
      <c r="U64">
        <v>61</v>
      </c>
      <c r="V64">
        <v>282</v>
      </c>
      <c r="W64">
        <v>3959</v>
      </c>
      <c r="X64">
        <v>933</v>
      </c>
      <c r="Y64">
        <v>881</v>
      </c>
      <c r="Z64">
        <v>3178</v>
      </c>
      <c r="AA64">
        <v>335</v>
      </c>
      <c r="AB64">
        <v>2062</v>
      </c>
      <c r="AC64">
        <v>35</v>
      </c>
      <c r="AD64">
        <v>1962</v>
      </c>
      <c r="AE64">
        <v>2148</v>
      </c>
      <c r="AF64">
        <v>14</v>
      </c>
      <c r="AG64">
        <v>8581</v>
      </c>
      <c r="AH64">
        <v>8229</v>
      </c>
      <c r="AI64">
        <v>43</v>
      </c>
      <c r="AJ64">
        <v>38</v>
      </c>
      <c r="AK64">
        <v>7908</v>
      </c>
      <c r="AL64">
        <v>2686</v>
      </c>
      <c r="AM64">
        <v>17</v>
      </c>
      <c r="AN64">
        <v>1511</v>
      </c>
      <c r="AO64">
        <v>151</v>
      </c>
      <c r="AP64">
        <v>1271</v>
      </c>
      <c r="AQ64">
        <v>1026</v>
      </c>
      <c r="AR64">
        <v>1019</v>
      </c>
      <c r="AS64">
        <v>314</v>
      </c>
      <c r="AT64">
        <v>115</v>
      </c>
      <c r="AU64">
        <v>4848</v>
      </c>
      <c r="AV64">
        <v>1584</v>
      </c>
      <c r="AW64">
        <v>153</v>
      </c>
      <c r="AX64">
        <v>1063</v>
      </c>
      <c r="AY64">
        <v>433</v>
      </c>
      <c r="AZ64">
        <v>543</v>
      </c>
      <c r="BA64">
        <v>3560</v>
      </c>
      <c r="BB64">
        <v>3103</v>
      </c>
      <c r="BC64">
        <v>9</v>
      </c>
    </row>
    <row r="65" spans="1:55">
      <c r="A65" s="1">
        <v>1050</v>
      </c>
      <c r="B65" s="1" t="s">
        <v>34</v>
      </c>
      <c r="C65" t="s">
        <v>187</v>
      </c>
      <c r="D65">
        <v>237179</v>
      </c>
      <c r="E65">
        <v>231914</v>
      </c>
      <c r="F65">
        <v>230665</v>
      </c>
      <c r="G65">
        <v>209161</v>
      </c>
      <c r="H65">
        <v>3077</v>
      </c>
      <c r="I65">
        <v>3064</v>
      </c>
      <c r="J65">
        <v>2986</v>
      </c>
      <c r="K65">
        <v>2983</v>
      </c>
      <c r="L65">
        <v>2980</v>
      </c>
      <c r="M65">
        <v>2256</v>
      </c>
      <c r="N65">
        <v>362</v>
      </c>
      <c r="O65">
        <v>7</v>
      </c>
      <c r="P65">
        <v>9</v>
      </c>
      <c r="Q65">
        <v>127011</v>
      </c>
      <c r="R65">
        <v>18926</v>
      </c>
      <c r="S65">
        <v>105764</v>
      </c>
      <c r="T65">
        <v>2370</v>
      </c>
      <c r="U65">
        <v>13138</v>
      </c>
      <c r="V65">
        <v>32213</v>
      </c>
      <c r="W65">
        <v>36972</v>
      </c>
      <c r="X65">
        <v>13681</v>
      </c>
      <c r="Y65">
        <v>13401</v>
      </c>
      <c r="Z65">
        <v>10738</v>
      </c>
      <c r="AA65">
        <v>1116</v>
      </c>
      <c r="AB65">
        <v>5687</v>
      </c>
      <c r="AC65">
        <v>739</v>
      </c>
      <c r="AD65">
        <v>4547</v>
      </c>
      <c r="AE65">
        <v>51864</v>
      </c>
      <c r="AF65">
        <v>237</v>
      </c>
      <c r="AG65">
        <v>77456</v>
      </c>
      <c r="AH65">
        <v>75151</v>
      </c>
      <c r="AI65">
        <v>1121</v>
      </c>
      <c r="AJ65">
        <v>307</v>
      </c>
      <c r="AK65">
        <v>69637</v>
      </c>
      <c r="AL65">
        <v>50709</v>
      </c>
      <c r="AM65">
        <v>521</v>
      </c>
      <c r="AN65">
        <v>36379</v>
      </c>
      <c r="AO65">
        <v>8695</v>
      </c>
      <c r="AP65">
        <v>25200</v>
      </c>
      <c r="AQ65">
        <v>9572</v>
      </c>
      <c r="AR65">
        <v>9516</v>
      </c>
      <c r="AS65">
        <v>2422</v>
      </c>
      <c r="AT65">
        <v>763</v>
      </c>
      <c r="AU65">
        <v>15914</v>
      </c>
      <c r="AV65">
        <v>4566</v>
      </c>
      <c r="AW65">
        <v>334</v>
      </c>
      <c r="AX65">
        <v>5439</v>
      </c>
      <c r="AY65">
        <v>1891</v>
      </c>
      <c r="AZ65">
        <v>3289</v>
      </c>
      <c r="BA65">
        <v>9250</v>
      </c>
      <c r="BB65">
        <v>7752</v>
      </c>
      <c r="BC65">
        <v>15</v>
      </c>
    </row>
    <row r="66" spans="1:55">
      <c r="A66" s="1">
        <v>1102</v>
      </c>
      <c r="B66" s="1" t="s">
        <v>34</v>
      </c>
      <c r="C66" t="s">
        <v>198</v>
      </c>
      <c r="D66">
        <v>325659</v>
      </c>
      <c r="E66">
        <v>316769</v>
      </c>
      <c r="F66">
        <v>305455</v>
      </c>
      <c r="G66">
        <v>212019</v>
      </c>
      <c r="H66">
        <v>163</v>
      </c>
      <c r="I66">
        <v>163</v>
      </c>
      <c r="J66">
        <v>154</v>
      </c>
      <c r="K66">
        <v>152</v>
      </c>
      <c r="L66">
        <v>149</v>
      </c>
      <c r="M66">
        <v>41</v>
      </c>
      <c r="N66">
        <v>88</v>
      </c>
      <c r="O66">
        <v>1</v>
      </c>
      <c r="P66">
        <v>1</v>
      </c>
      <c r="Q66">
        <v>89622</v>
      </c>
      <c r="R66">
        <v>31257</v>
      </c>
      <c r="S66">
        <v>56926</v>
      </c>
      <c r="T66">
        <v>3636</v>
      </c>
      <c r="U66">
        <v>6119</v>
      </c>
      <c r="V66">
        <v>8385</v>
      </c>
      <c r="W66">
        <v>17471</v>
      </c>
      <c r="X66">
        <v>10857</v>
      </c>
      <c r="Y66">
        <v>7791</v>
      </c>
      <c r="Z66">
        <v>2878</v>
      </c>
      <c r="AA66">
        <v>580</v>
      </c>
      <c r="AB66">
        <v>2024</v>
      </c>
      <c r="AC66">
        <v>209</v>
      </c>
      <c r="AD66">
        <v>1630</v>
      </c>
      <c r="AE66">
        <v>31800</v>
      </c>
      <c r="AF66">
        <v>944</v>
      </c>
      <c r="AG66">
        <v>120787</v>
      </c>
      <c r="AH66">
        <v>111758</v>
      </c>
      <c r="AI66">
        <v>7923</v>
      </c>
      <c r="AJ66">
        <v>660</v>
      </c>
      <c r="AK66">
        <v>90682</v>
      </c>
      <c r="AL66">
        <v>57620</v>
      </c>
      <c r="AM66">
        <v>76</v>
      </c>
      <c r="AN66">
        <v>28775</v>
      </c>
      <c r="AO66">
        <v>2605</v>
      </c>
      <c r="AP66">
        <v>24696</v>
      </c>
      <c r="AQ66">
        <v>24538</v>
      </c>
      <c r="AR66">
        <v>24451</v>
      </c>
      <c r="AS66">
        <v>7295</v>
      </c>
      <c r="AT66">
        <v>4602</v>
      </c>
      <c r="AU66">
        <v>24313</v>
      </c>
      <c r="AV66">
        <v>4814</v>
      </c>
      <c r="AW66">
        <v>2773</v>
      </c>
      <c r="AX66">
        <v>4029</v>
      </c>
      <c r="AY66">
        <v>2388</v>
      </c>
      <c r="AZ66">
        <v>1286</v>
      </c>
      <c r="BA66">
        <v>19131</v>
      </c>
      <c r="BB66">
        <v>15533</v>
      </c>
      <c r="BC66">
        <v>50</v>
      </c>
    </row>
    <row r="67" spans="1:55">
      <c r="A67" s="1">
        <v>1103</v>
      </c>
      <c r="B67" s="1" t="s">
        <v>34</v>
      </c>
      <c r="C67" t="s">
        <v>199</v>
      </c>
      <c r="D67">
        <v>247391</v>
      </c>
      <c r="E67">
        <v>242168</v>
      </c>
      <c r="F67">
        <v>230207</v>
      </c>
      <c r="G67">
        <v>70991</v>
      </c>
      <c r="H67">
        <v>676</v>
      </c>
      <c r="I67">
        <v>667</v>
      </c>
      <c r="J67">
        <v>646</v>
      </c>
      <c r="K67">
        <v>641</v>
      </c>
      <c r="L67">
        <v>640</v>
      </c>
      <c r="M67">
        <v>333</v>
      </c>
      <c r="N67">
        <v>54</v>
      </c>
      <c r="O67">
        <v>1</v>
      </c>
      <c r="P67">
        <v>0</v>
      </c>
      <c r="Q67">
        <v>48230</v>
      </c>
      <c r="R67">
        <v>10275</v>
      </c>
      <c r="S67">
        <v>36279</v>
      </c>
      <c r="T67">
        <v>483</v>
      </c>
      <c r="U67">
        <v>982</v>
      </c>
      <c r="V67">
        <v>5163</v>
      </c>
      <c r="W67">
        <v>18338</v>
      </c>
      <c r="X67">
        <v>7129</v>
      </c>
      <c r="Y67">
        <v>6591</v>
      </c>
      <c r="Z67">
        <v>6108</v>
      </c>
      <c r="AA67">
        <v>1259</v>
      </c>
      <c r="AB67">
        <v>3676</v>
      </c>
      <c r="AC67">
        <v>246</v>
      </c>
      <c r="AD67">
        <v>3013</v>
      </c>
      <c r="AE67">
        <v>9052</v>
      </c>
      <c r="AF67">
        <v>67</v>
      </c>
      <c r="AG67">
        <v>21111</v>
      </c>
      <c r="AH67">
        <v>18991</v>
      </c>
      <c r="AI67">
        <v>106</v>
      </c>
      <c r="AJ67">
        <v>341</v>
      </c>
      <c r="AK67">
        <v>18080</v>
      </c>
      <c r="AL67">
        <v>8542</v>
      </c>
      <c r="AM67">
        <v>57</v>
      </c>
      <c r="AN67">
        <v>2952</v>
      </c>
      <c r="AO67">
        <v>1678</v>
      </c>
      <c r="AP67">
        <v>1019</v>
      </c>
      <c r="AQ67">
        <v>4583</v>
      </c>
      <c r="AR67">
        <v>4241</v>
      </c>
      <c r="AS67">
        <v>1066</v>
      </c>
      <c r="AT67">
        <v>114</v>
      </c>
      <c r="AU67">
        <v>9039</v>
      </c>
      <c r="AV67">
        <v>3324</v>
      </c>
      <c r="AW67">
        <v>166</v>
      </c>
      <c r="AX67">
        <v>406</v>
      </c>
      <c r="AY67">
        <v>172</v>
      </c>
      <c r="AZ67">
        <v>196</v>
      </c>
      <c r="BA67">
        <v>8250</v>
      </c>
      <c r="BB67">
        <v>5610</v>
      </c>
      <c r="BC67">
        <v>55</v>
      </c>
    </row>
    <row r="68" spans="1:55">
      <c r="A68" s="1">
        <v>1107</v>
      </c>
      <c r="B68" s="1" t="s">
        <v>34</v>
      </c>
      <c r="C68" t="s">
        <v>200</v>
      </c>
      <c r="D68">
        <v>19490</v>
      </c>
      <c r="E68">
        <v>18962</v>
      </c>
      <c r="F68">
        <v>18555</v>
      </c>
      <c r="G68">
        <v>10768</v>
      </c>
      <c r="H68">
        <v>213</v>
      </c>
      <c r="I68">
        <v>213</v>
      </c>
      <c r="J68">
        <v>203</v>
      </c>
      <c r="K68">
        <v>203</v>
      </c>
      <c r="L68">
        <v>201</v>
      </c>
      <c r="M68">
        <v>88</v>
      </c>
      <c r="N68">
        <v>66</v>
      </c>
      <c r="O68">
        <v>2</v>
      </c>
      <c r="P68">
        <v>1</v>
      </c>
      <c r="Q68">
        <v>6545</v>
      </c>
      <c r="R68">
        <v>1565</v>
      </c>
      <c r="S68">
        <v>4632</v>
      </c>
      <c r="T68">
        <v>133</v>
      </c>
      <c r="U68">
        <v>83</v>
      </c>
      <c r="V68">
        <v>162</v>
      </c>
      <c r="W68">
        <v>1795</v>
      </c>
      <c r="X68">
        <v>1116</v>
      </c>
      <c r="Y68">
        <v>1099</v>
      </c>
      <c r="Z68">
        <v>725</v>
      </c>
      <c r="AA68">
        <v>33</v>
      </c>
      <c r="AB68">
        <v>594</v>
      </c>
      <c r="AC68">
        <v>34</v>
      </c>
      <c r="AD68">
        <v>500</v>
      </c>
      <c r="AE68">
        <v>1551</v>
      </c>
      <c r="AF68">
        <v>24</v>
      </c>
      <c r="AG68">
        <v>3766</v>
      </c>
      <c r="AH68">
        <v>3534</v>
      </c>
      <c r="AI68">
        <v>15</v>
      </c>
      <c r="AJ68">
        <v>112</v>
      </c>
      <c r="AK68">
        <v>3213</v>
      </c>
      <c r="AL68">
        <v>1457</v>
      </c>
      <c r="AM68">
        <v>23</v>
      </c>
      <c r="AN68">
        <v>500</v>
      </c>
      <c r="AO68">
        <v>40</v>
      </c>
      <c r="AP68">
        <v>450</v>
      </c>
      <c r="AQ68">
        <v>811</v>
      </c>
      <c r="AR68">
        <v>808</v>
      </c>
      <c r="AS68">
        <v>163</v>
      </c>
      <c r="AT68">
        <v>37</v>
      </c>
      <c r="AU68">
        <v>1547</v>
      </c>
      <c r="AV68">
        <v>346</v>
      </c>
      <c r="AW68">
        <v>27</v>
      </c>
      <c r="AX68">
        <v>240</v>
      </c>
      <c r="AY68">
        <v>190</v>
      </c>
      <c r="AZ68">
        <v>40</v>
      </c>
      <c r="BA68">
        <v>1162</v>
      </c>
      <c r="BB68">
        <v>1009</v>
      </c>
      <c r="BC68">
        <v>7</v>
      </c>
    </row>
    <row r="69" spans="1:55">
      <c r="A69" s="1">
        <v>1121</v>
      </c>
      <c r="B69" s="1" t="s">
        <v>34</v>
      </c>
      <c r="C69" t="s">
        <v>202</v>
      </c>
      <c r="D69">
        <v>205943</v>
      </c>
      <c r="E69">
        <v>200135</v>
      </c>
      <c r="F69">
        <v>194780</v>
      </c>
      <c r="G69">
        <v>141444</v>
      </c>
      <c r="H69">
        <v>200</v>
      </c>
      <c r="I69">
        <v>200</v>
      </c>
      <c r="J69">
        <v>182</v>
      </c>
      <c r="K69">
        <v>181</v>
      </c>
      <c r="L69">
        <v>179</v>
      </c>
      <c r="M69">
        <v>74</v>
      </c>
      <c r="N69">
        <v>68</v>
      </c>
      <c r="O69">
        <v>0</v>
      </c>
      <c r="P69">
        <v>6</v>
      </c>
      <c r="Q69">
        <v>73229</v>
      </c>
      <c r="R69">
        <v>14299</v>
      </c>
      <c r="S69">
        <v>57956</v>
      </c>
      <c r="T69">
        <v>2701</v>
      </c>
      <c r="U69">
        <v>1530</v>
      </c>
      <c r="V69">
        <v>5493</v>
      </c>
      <c r="W69">
        <v>27346</v>
      </c>
      <c r="X69">
        <v>8684</v>
      </c>
      <c r="Y69">
        <v>8235</v>
      </c>
      <c r="Z69">
        <v>5591</v>
      </c>
      <c r="AA69">
        <v>631</v>
      </c>
      <c r="AB69">
        <v>4571</v>
      </c>
      <c r="AC69">
        <v>1610</v>
      </c>
      <c r="AD69">
        <v>2299</v>
      </c>
      <c r="AE69">
        <v>22117</v>
      </c>
      <c r="AF69">
        <v>169</v>
      </c>
      <c r="AG69">
        <v>66838</v>
      </c>
      <c r="AH69">
        <v>63745</v>
      </c>
      <c r="AI69">
        <v>75</v>
      </c>
      <c r="AJ69">
        <v>135</v>
      </c>
      <c r="AK69">
        <v>63066</v>
      </c>
      <c r="AL69">
        <v>29342</v>
      </c>
      <c r="AM69">
        <v>372</v>
      </c>
      <c r="AN69">
        <v>10885</v>
      </c>
      <c r="AO69">
        <v>2168</v>
      </c>
      <c r="AP69">
        <v>8169</v>
      </c>
      <c r="AQ69">
        <v>15483</v>
      </c>
      <c r="AR69">
        <v>14999</v>
      </c>
      <c r="AS69">
        <v>5073</v>
      </c>
      <c r="AT69">
        <v>703</v>
      </c>
      <c r="AU69">
        <v>30667</v>
      </c>
      <c r="AV69">
        <v>6092</v>
      </c>
      <c r="AW69">
        <v>646</v>
      </c>
      <c r="AX69">
        <v>1683</v>
      </c>
      <c r="AY69">
        <v>1236</v>
      </c>
      <c r="AZ69">
        <v>402</v>
      </c>
      <c r="BA69">
        <v>27892</v>
      </c>
      <c r="BB69">
        <v>15173</v>
      </c>
      <c r="BC69">
        <v>32</v>
      </c>
    </row>
    <row r="70" spans="1:55">
      <c r="A70" s="1">
        <v>1155</v>
      </c>
      <c r="B70" s="1" t="s">
        <v>34</v>
      </c>
      <c r="C70" t="s">
        <v>209</v>
      </c>
      <c r="D70">
        <v>348111</v>
      </c>
      <c r="E70">
        <v>320999</v>
      </c>
      <c r="F70">
        <v>317961</v>
      </c>
      <c r="G70">
        <v>189871</v>
      </c>
      <c r="H70">
        <v>681</v>
      </c>
      <c r="I70">
        <v>661</v>
      </c>
      <c r="J70">
        <v>641</v>
      </c>
      <c r="K70">
        <v>635</v>
      </c>
      <c r="L70">
        <v>632</v>
      </c>
      <c r="M70">
        <v>223</v>
      </c>
      <c r="N70">
        <v>292</v>
      </c>
      <c r="O70">
        <v>1</v>
      </c>
      <c r="P70">
        <v>2</v>
      </c>
      <c r="Q70">
        <v>74044</v>
      </c>
      <c r="R70">
        <v>13874</v>
      </c>
      <c r="S70">
        <v>59298</v>
      </c>
      <c r="T70">
        <v>2902</v>
      </c>
      <c r="U70">
        <v>3767</v>
      </c>
      <c r="V70">
        <v>4702</v>
      </c>
      <c r="W70">
        <v>34939</v>
      </c>
      <c r="X70">
        <v>4768</v>
      </c>
      <c r="Y70">
        <v>686</v>
      </c>
      <c r="Z70">
        <v>6655</v>
      </c>
      <c r="AA70">
        <v>2254</v>
      </c>
      <c r="AB70">
        <v>3526</v>
      </c>
      <c r="AC70">
        <v>361</v>
      </c>
      <c r="AD70">
        <v>2871</v>
      </c>
      <c r="AE70">
        <v>15353</v>
      </c>
      <c r="AF70">
        <v>125</v>
      </c>
      <c r="AG70">
        <v>113906</v>
      </c>
      <c r="AH70">
        <v>104450</v>
      </c>
      <c r="AI70">
        <v>943</v>
      </c>
      <c r="AJ70">
        <v>1434</v>
      </c>
      <c r="AK70">
        <v>98560</v>
      </c>
      <c r="AL70">
        <v>71002</v>
      </c>
      <c r="AM70">
        <v>163</v>
      </c>
      <c r="AN70">
        <v>41835</v>
      </c>
      <c r="AO70">
        <v>10625</v>
      </c>
      <c r="AP70">
        <v>27403</v>
      </c>
      <c r="AQ70">
        <v>22552</v>
      </c>
      <c r="AR70">
        <v>21350</v>
      </c>
      <c r="AS70">
        <v>3133</v>
      </c>
      <c r="AT70">
        <v>453</v>
      </c>
      <c r="AU70">
        <v>24339</v>
      </c>
      <c r="AV70">
        <v>2576</v>
      </c>
      <c r="AW70">
        <v>143</v>
      </c>
      <c r="AX70">
        <v>2919</v>
      </c>
      <c r="AY70">
        <v>874</v>
      </c>
      <c r="AZ70">
        <v>1808</v>
      </c>
      <c r="BA70">
        <v>20550</v>
      </c>
      <c r="BB70">
        <v>9545</v>
      </c>
      <c r="BC70">
        <v>535</v>
      </c>
    </row>
    <row r="71" spans="1:55">
      <c r="A71" s="1">
        <v>1168</v>
      </c>
      <c r="B71" s="1" t="s">
        <v>34</v>
      </c>
      <c r="C71" t="s">
        <v>219</v>
      </c>
      <c r="D71">
        <v>85258</v>
      </c>
      <c r="E71">
        <v>80830</v>
      </c>
      <c r="F71">
        <v>71821</v>
      </c>
      <c r="G71">
        <v>19519</v>
      </c>
      <c r="H71">
        <v>315</v>
      </c>
      <c r="I71">
        <v>310</v>
      </c>
      <c r="J71">
        <v>284</v>
      </c>
      <c r="K71">
        <v>283</v>
      </c>
      <c r="L71">
        <v>283</v>
      </c>
      <c r="M71">
        <v>53</v>
      </c>
      <c r="N71">
        <v>180</v>
      </c>
      <c r="O71">
        <v>1</v>
      </c>
      <c r="P71">
        <v>4</v>
      </c>
      <c r="Q71">
        <v>12052</v>
      </c>
      <c r="R71">
        <v>380</v>
      </c>
      <c r="S71">
        <v>11234</v>
      </c>
      <c r="T71">
        <v>307</v>
      </c>
      <c r="U71">
        <v>521</v>
      </c>
      <c r="V71">
        <v>901</v>
      </c>
      <c r="W71">
        <v>3398</v>
      </c>
      <c r="X71">
        <v>1551</v>
      </c>
      <c r="Y71">
        <v>1454</v>
      </c>
      <c r="Z71">
        <v>2445</v>
      </c>
      <c r="AA71">
        <v>210</v>
      </c>
      <c r="AB71">
        <v>1446</v>
      </c>
      <c r="AC71">
        <v>65</v>
      </c>
      <c r="AD71">
        <v>1208</v>
      </c>
      <c r="AE71">
        <v>4080</v>
      </c>
      <c r="AF71">
        <v>52</v>
      </c>
      <c r="AG71">
        <v>6580</v>
      </c>
      <c r="AH71">
        <v>5899</v>
      </c>
      <c r="AI71">
        <v>51</v>
      </c>
      <c r="AJ71">
        <v>95</v>
      </c>
      <c r="AK71">
        <v>5583</v>
      </c>
      <c r="AL71">
        <v>1250</v>
      </c>
      <c r="AM71">
        <v>24</v>
      </c>
      <c r="AN71">
        <v>355</v>
      </c>
      <c r="AO71">
        <v>8</v>
      </c>
      <c r="AP71">
        <v>340</v>
      </c>
      <c r="AQ71">
        <v>800</v>
      </c>
      <c r="AR71">
        <v>800</v>
      </c>
      <c r="AS71">
        <v>263</v>
      </c>
      <c r="AT71">
        <v>32</v>
      </c>
      <c r="AU71">
        <v>3914</v>
      </c>
      <c r="AV71">
        <v>1101</v>
      </c>
      <c r="AW71">
        <v>60</v>
      </c>
      <c r="AX71">
        <v>239</v>
      </c>
      <c r="AY71">
        <v>222</v>
      </c>
      <c r="AZ71">
        <v>13</v>
      </c>
      <c r="BA71">
        <v>3578</v>
      </c>
      <c r="BB71">
        <v>3336</v>
      </c>
      <c r="BC71">
        <v>34</v>
      </c>
    </row>
    <row r="72" spans="1:55">
      <c r="A72" s="1">
        <v>1169</v>
      </c>
      <c r="B72" s="1" t="s">
        <v>34</v>
      </c>
      <c r="C72" t="s">
        <v>220</v>
      </c>
      <c r="D72">
        <v>123596</v>
      </c>
      <c r="E72">
        <v>120354</v>
      </c>
      <c r="F72">
        <v>110696</v>
      </c>
      <c r="G72">
        <v>48343</v>
      </c>
      <c r="H72">
        <v>310</v>
      </c>
      <c r="I72">
        <v>246</v>
      </c>
      <c r="J72">
        <v>238</v>
      </c>
      <c r="K72">
        <v>238</v>
      </c>
      <c r="L72">
        <v>238</v>
      </c>
      <c r="M72">
        <v>50</v>
      </c>
      <c r="N72">
        <v>152</v>
      </c>
      <c r="O72">
        <v>5</v>
      </c>
      <c r="P72">
        <v>1</v>
      </c>
      <c r="Q72">
        <v>23706</v>
      </c>
      <c r="R72">
        <v>6770</v>
      </c>
      <c r="S72">
        <v>16594</v>
      </c>
      <c r="T72">
        <v>673</v>
      </c>
      <c r="U72">
        <v>994</v>
      </c>
      <c r="V72">
        <v>4092</v>
      </c>
      <c r="W72">
        <v>1450</v>
      </c>
      <c r="X72">
        <v>885</v>
      </c>
      <c r="Y72">
        <v>857</v>
      </c>
      <c r="Z72">
        <v>2518</v>
      </c>
      <c r="AA72">
        <v>321</v>
      </c>
      <c r="AB72">
        <v>1404</v>
      </c>
      <c r="AC72">
        <v>513</v>
      </c>
      <c r="AD72">
        <v>376</v>
      </c>
      <c r="AE72">
        <v>9823</v>
      </c>
      <c r="AF72">
        <v>72</v>
      </c>
      <c r="AG72">
        <v>23327</v>
      </c>
      <c r="AH72">
        <v>13636</v>
      </c>
      <c r="AI72">
        <v>86</v>
      </c>
      <c r="AJ72">
        <v>40</v>
      </c>
      <c r="AK72">
        <v>13287</v>
      </c>
      <c r="AL72">
        <v>8815</v>
      </c>
      <c r="AM72">
        <v>24</v>
      </c>
      <c r="AN72">
        <v>2173</v>
      </c>
      <c r="AO72">
        <v>593</v>
      </c>
      <c r="AP72">
        <v>1431</v>
      </c>
      <c r="AQ72">
        <v>6023</v>
      </c>
      <c r="AR72">
        <v>5504</v>
      </c>
      <c r="AS72">
        <v>291</v>
      </c>
      <c r="AT72">
        <v>70</v>
      </c>
      <c r="AU72">
        <v>3987</v>
      </c>
      <c r="AV72">
        <v>335</v>
      </c>
      <c r="AW72">
        <v>43</v>
      </c>
      <c r="AX72">
        <v>1291</v>
      </c>
      <c r="AY72">
        <v>211</v>
      </c>
      <c r="AZ72">
        <v>1000</v>
      </c>
      <c r="BA72">
        <v>2493</v>
      </c>
      <c r="BB72">
        <v>1487</v>
      </c>
      <c r="BC72">
        <v>11</v>
      </c>
    </row>
    <row r="73" spans="1:55">
      <c r="A73" s="1">
        <v>1205</v>
      </c>
      <c r="B73" s="1" t="s">
        <v>34</v>
      </c>
      <c r="C73" t="s">
        <v>226</v>
      </c>
      <c r="D73">
        <v>35601</v>
      </c>
      <c r="E73">
        <v>32502</v>
      </c>
      <c r="F73">
        <v>31893</v>
      </c>
      <c r="G73">
        <v>12529</v>
      </c>
      <c r="H73">
        <v>139</v>
      </c>
      <c r="I73">
        <v>132</v>
      </c>
      <c r="J73">
        <v>121</v>
      </c>
      <c r="K73">
        <v>121</v>
      </c>
      <c r="L73">
        <v>121</v>
      </c>
      <c r="M73">
        <v>26</v>
      </c>
      <c r="N73">
        <v>73</v>
      </c>
      <c r="O73">
        <v>2</v>
      </c>
      <c r="P73">
        <v>0</v>
      </c>
      <c r="Q73">
        <v>3066</v>
      </c>
      <c r="R73">
        <v>600</v>
      </c>
      <c r="S73">
        <v>2325</v>
      </c>
      <c r="T73">
        <v>60</v>
      </c>
      <c r="U73">
        <v>13</v>
      </c>
      <c r="V73">
        <v>225</v>
      </c>
      <c r="W73">
        <v>692</v>
      </c>
      <c r="X73">
        <v>66</v>
      </c>
      <c r="Y73">
        <v>26</v>
      </c>
      <c r="Z73">
        <v>491</v>
      </c>
      <c r="AA73">
        <v>133</v>
      </c>
      <c r="AB73">
        <v>314</v>
      </c>
      <c r="AC73">
        <v>7</v>
      </c>
      <c r="AD73">
        <v>301</v>
      </c>
      <c r="AE73">
        <v>1048</v>
      </c>
      <c r="AF73">
        <v>33</v>
      </c>
      <c r="AG73">
        <v>9216</v>
      </c>
      <c r="AH73">
        <v>8684</v>
      </c>
      <c r="AI73">
        <v>41</v>
      </c>
      <c r="AJ73">
        <v>5</v>
      </c>
      <c r="AK73">
        <v>8442</v>
      </c>
      <c r="AL73">
        <v>6202</v>
      </c>
      <c r="AM73">
        <v>45</v>
      </c>
      <c r="AN73">
        <v>3116</v>
      </c>
      <c r="AO73">
        <v>1051</v>
      </c>
      <c r="AP73">
        <v>1760</v>
      </c>
      <c r="AQ73">
        <v>2621</v>
      </c>
      <c r="AR73">
        <v>2583</v>
      </c>
      <c r="AS73">
        <v>413</v>
      </c>
      <c r="AT73">
        <v>225</v>
      </c>
      <c r="AU73">
        <v>1915</v>
      </c>
      <c r="AV73">
        <v>285</v>
      </c>
      <c r="AW73">
        <v>47</v>
      </c>
      <c r="AX73">
        <v>542</v>
      </c>
      <c r="AY73">
        <v>216</v>
      </c>
      <c r="AZ73">
        <v>297</v>
      </c>
      <c r="BA73">
        <v>1252</v>
      </c>
      <c r="BB73">
        <v>1053</v>
      </c>
      <c r="BC73">
        <v>12</v>
      </c>
    </row>
    <row r="74" spans="1:55">
      <c r="A74" s="1">
        <v>1258</v>
      </c>
      <c r="B74" s="1" t="s">
        <v>34</v>
      </c>
      <c r="C74" t="s">
        <v>233</v>
      </c>
      <c r="D74">
        <v>284351</v>
      </c>
      <c r="E74">
        <v>257365</v>
      </c>
      <c r="F74">
        <v>244867</v>
      </c>
      <c r="G74">
        <v>125873</v>
      </c>
      <c r="H74">
        <v>654</v>
      </c>
      <c r="I74">
        <v>651</v>
      </c>
      <c r="J74">
        <v>612</v>
      </c>
      <c r="K74">
        <v>608</v>
      </c>
      <c r="L74">
        <v>607</v>
      </c>
      <c r="M74">
        <v>107</v>
      </c>
      <c r="N74">
        <v>377</v>
      </c>
      <c r="O74">
        <v>9</v>
      </c>
      <c r="P74">
        <v>22</v>
      </c>
      <c r="Q74">
        <v>80189</v>
      </c>
      <c r="R74">
        <v>22269</v>
      </c>
      <c r="S74">
        <v>55458</v>
      </c>
      <c r="T74">
        <v>2003</v>
      </c>
      <c r="U74">
        <v>5426</v>
      </c>
      <c r="V74">
        <v>6784</v>
      </c>
      <c r="W74">
        <v>23128</v>
      </c>
      <c r="X74">
        <v>8107</v>
      </c>
      <c r="Y74">
        <v>8010</v>
      </c>
      <c r="Z74">
        <v>8088</v>
      </c>
      <c r="AA74">
        <v>884</v>
      </c>
      <c r="AB74">
        <v>6142</v>
      </c>
      <c r="AC74">
        <v>712</v>
      </c>
      <c r="AD74">
        <v>5160</v>
      </c>
      <c r="AE74">
        <v>20229</v>
      </c>
      <c r="AF74">
        <v>136</v>
      </c>
      <c r="AG74">
        <v>43882</v>
      </c>
      <c r="AH74">
        <v>41370</v>
      </c>
      <c r="AI74">
        <v>228</v>
      </c>
      <c r="AJ74">
        <v>154</v>
      </c>
      <c r="AK74">
        <v>40179</v>
      </c>
      <c r="AL74">
        <v>29171</v>
      </c>
      <c r="AM74">
        <v>127</v>
      </c>
      <c r="AN74">
        <v>7243</v>
      </c>
      <c r="AO74">
        <v>1948</v>
      </c>
      <c r="AP74">
        <v>4680</v>
      </c>
      <c r="AQ74">
        <v>19336</v>
      </c>
      <c r="AR74">
        <v>19055</v>
      </c>
      <c r="AS74">
        <v>2222</v>
      </c>
      <c r="AT74">
        <v>377</v>
      </c>
      <c r="AU74">
        <v>9452</v>
      </c>
      <c r="AV74">
        <v>1833</v>
      </c>
      <c r="AW74">
        <v>77</v>
      </c>
      <c r="AX74">
        <v>1173</v>
      </c>
      <c r="AY74">
        <v>329</v>
      </c>
      <c r="AZ74">
        <v>776</v>
      </c>
      <c r="BA74">
        <v>7848</v>
      </c>
      <c r="BB74">
        <v>6177</v>
      </c>
      <c r="BC74">
        <v>16</v>
      </c>
    </row>
    <row r="75" spans="1:55">
      <c r="A75" s="1">
        <v>1300</v>
      </c>
      <c r="B75" s="1" t="s">
        <v>34</v>
      </c>
      <c r="C75" t="s">
        <v>234</v>
      </c>
      <c r="D75">
        <v>93789</v>
      </c>
      <c r="E75">
        <v>90800</v>
      </c>
      <c r="F75">
        <v>89845</v>
      </c>
      <c r="G75">
        <v>82551</v>
      </c>
      <c r="H75">
        <v>135</v>
      </c>
      <c r="I75">
        <v>134</v>
      </c>
      <c r="J75">
        <v>125</v>
      </c>
      <c r="K75">
        <v>124</v>
      </c>
      <c r="L75">
        <v>123</v>
      </c>
      <c r="M75">
        <v>36</v>
      </c>
      <c r="N75">
        <v>62</v>
      </c>
      <c r="O75">
        <v>0</v>
      </c>
      <c r="P75">
        <v>4</v>
      </c>
      <c r="Q75">
        <v>48721</v>
      </c>
      <c r="R75">
        <v>9631</v>
      </c>
      <c r="S75">
        <v>36839</v>
      </c>
      <c r="T75">
        <v>602</v>
      </c>
      <c r="U75">
        <v>328</v>
      </c>
      <c r="V75">
        <v>1375</v>
      </c>
      <c r="W75">
        <v>21825</v>
      </c>
      <c r="X75">
        <v>6608</v>
      </c>
      <c r="Y75">
        <v>6507</v>
      </c>
      <c r="Z75">
        <v>5880</v>
      </c>
      <c r="AA75">
        <v>908</v>
      </c>
      <c r="AB75">
        <v>1429</v>
      </c>
      <c r="AC75">
        <v>42</v>
      </c>
      <c r="AD75">
        <v>1297</v>
      </c>
      <c r="AE75">
        <v>6632</v>
      </c>
      <c r="AF75">
        <v>369</v>
      </c>
      <c r="AG75">
        <v>32949</v>
      </c>
      <c r="AH75">
        <v>30552</v>
      </c>
      <c r="AI75">
        <v>265</v>
      </c>
      <c r="AJ75">
        <v>43</v>
      </c>
      <c r="AK75">
        <v>29114</v>
      </c>
      <c r="AL75">
        <v>13414</v>
      </c>
      <c r="AM75">
        <v>227</v>
      </c>
      <c r="AN75">
        <v>3595</v>
      </c>
      <c r="AO75">
        <v>835</v>
      </c>
      <c r="AP75">
        <v>2579</v>
      </c>
      <c r="AQ75">
        <v>8681</v>
      </c>
      <c r="AR75">
        <v>8624</v>
      </c>
      <c r="AS75">
        <v>1438</v>
      </c>
      <c r="AT75">
        <v>462</v>
      </c>
      <c r="AU75">
        <v>12834</v>
      </c>
      <c r="AV75">
        <v>1084</v>
      </c>
      <c r="AW75">
        <v>441</v>
      </c>
      <c r="AX75">
        <v>2030</v>
      </c>
      <c r="AY75">
        <v>1089</v>
      </c>
      <c r="AZ75">
        <v>801</v>
      </c>
      <c r="BA75">
        <v>9594</v>
      </c>
      <c r="BB75">
        <v>8427</v>
      </c>
      <c r="BC75">
        <v>58</v>
      </c>
    </row>
    <row r="76" spans="1:55">
      <c r="A76" s="1">
        <v>1337</v>
      </c>
      <c r="B76" s="1" t="s">
        <v>34</v>
      </c>
      <c r="C76" t="s">
        <v>239</v>
      </c>
      <c r="D76">
        <v>50067</v>
      </c>
      <c r="E76">
        <v>47421</v>
      </c>
      <c r="F76">
        <v>43820</v>
      </c>
      <c r="G76">
        <v>22368</v>
      </c>
      <c r="H76">
        <v>361</v>
      </c>
      <c r="I76">
        <v>358</v>
      </c>
      <c r="J76">
        <v>335</v>
      </c>
      <c r="K76">
        <v>335</v>
      </c>
      <c r="L76">
        <v>332</v>
      </c>
      <c r="M76">
        <v>190</v>
      </c>
      <c r="N76">
        <v>75</v>
      </c>
      <c r="O76">
        <v>0</v>
      </c>
      <c r="P76">
        <v>2</v>
      </c>
      <c r="Q76">
        <v>11444</v>
      </c>
      <c r="R76">
        <v>1689</v>
      </c>
      <c r="S76">
        <v>9435</v>
      </c>
      <c r="T76">
        <v>314</v>
      </c>
      <c r="U76">
        <v>58</v>
      </c>
      <c r="V76">
        <v>203</v>
      </c>
      <c r="W76">
        <v>3044</v>
      </c>
      <c r="X76">
        <v>537</v>
      </c>
      <c r="Y76">
        <v>424</v>
      </c>
      <c r="Z76">
        <v>3699</v>
      </c>
      <c r="AA76">
        <v>365</v>
      </c>
      <c r="AB76">
        <v>2831</v>
      </c>
      <c r="AC76">
        <v>45</v>
      </c>
      <c r="AD76">
        <v>2686</v>
      </c>
      <c r="AE76">
        <v>1665</v>
      </c>
      <c r="AF76">
        <v>54</v>
      </c>
      <c r="AG76">
        <v>10116</v>
      </c>
      <c r="AH76">
        <v>9168</v>
      </c>
      <c r="AI76">
        <v>86</v>
      </c>
      <c r="AJ76">
        <v>28</v>
      </c>
      <c r="AK76">
        <v>8623</v>
      </c>
      <c r="AL76">
        <v>4259</v>
      </c>
      <c r="AM76">
        <v>11</v>
      </c>
      <c r="AN76">
        <v>1376</v>
      </c>
      <c r="AO76">
        <v>475</v>
      </c>
      <c r="AP76">
        <v>770</v>
      </c>
      <c r="AQ76">
        <v>2608</v>
      </c>
      <c r="AR76">
        <v>2580</v>
      </c>
      <c r="AS76">
        <v>261</v>
      </c>
      <c r="AT76">
        <v>107</v>
      </c>
      <c r="AU76">
        <v>3537</v>
      </c>
      <c r="AV76">
        <v>1024</v>
      </c>
      <c r="AW76">
        <v>148</v>
      </c>
      <c r="AX76">
        <v>1250</v>
      </c>
      <c r="AY76">
        <v>215</v>
      </c>
      <c r="AZ76">
        <v>947</v>
      </c>
      <c r="BA76">
        <v>2143</v>
      </c>
      <c r="BB76">
        <v>1339</v>
      </c>
      <c r="BC76">
        <v>2</v>
      </c>
    </row>
  </sheetData>
  <sortState xmlns:xlrd2="http://schemas.microsoft.com/office/spreadsheetml/2017/richdata2" ref="A1:BX76">
    <sortCondition ref="B1:B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Vaishali  Kaushal</cp:lastModifiedBy>
  <cp:revision/>
  <dcterms:created xsi:type="dcterms:W3CDTF">2025-04-10T20:55:07Z</dcterms:created>
  <dcterms:modified xsi:type="dcterms:W3CDTF">2025-06-18T16:18:38Z</dcterms:modified>
  <cp:category/>
  <cp:contentStatus/>
</cp:coreProperties>
</file>